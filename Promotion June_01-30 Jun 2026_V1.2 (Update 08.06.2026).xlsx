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Subscription\Promotion\Y2026\2026_06_Jun\update\"/>
    </mc:Choice>
  </mc:AlternateContent>
  <xr:revisionPtr revIDLastSave="0" documentId="13_ncr:1_{A54360D3-1385-4541-B6DE-B7809BA85509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Price Jun_Water Purifier" sheetId="27" r:id="rId1"/>
    <sheet name="REF, WM, Styler,DW,MWO" sheetId="61" r:id="rId2"/>
    <sheet name="VCC, AP, Dehumidifier" sheetId="62" r:id="rId3"/>
    <sheet name="RAC, SAC" sheetId="63" r:id="rId4"/>
    <sheet name="TV, MNT, AV" sheetId="55" r:id="rId5"/>
    <sheet name="2606_RAW_All Channel" sheetId="137" state="hidden" r:id="rId6"/>
    <sheet name="2606_RAW_OBS Exclusive" sheetId="138" state="hidden" r:id="rId7"/>
    <sheet name="2606_Promotion " sheetId="140" state="hidden" r:id="rId8"/>
    <sheet name="Combo" sheetId="133" state="hidden" r:id="rId9"/>
    <sheet name="2605" sheetId="122" state="hidden" r:id="rId10"/>
    <sheet name="2605_RAW" sheetId="123" state="hidden" r:id="rId11"/>
    <sheet name="Subs." sheetId="126" state="hidden" r:id="rId12"/>
    <sheet name="PRM" sheetId="124" state="hidden" r:id="rId13"/>
    <sheet name="RAC" sheetId="94" state="hidden" r:id="rId14"/>
    <sheet name="SAC data" sheetId="56" state="hidden" r:id="rId15"/>
    <sheet name="SAC1" sheetId="48" state="hidden" r:id="rId16"/>
  </sheets>
  <externalReferences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xlnm._FilterDatabase" localSheetId="10" hidden="1">'2605_RAW'!$A$2:$BQ$401</definedName>
    <definedName name="_xlnm._FilterDatabase" localSheetId="5" hidden="1">'2606_RAW_All Channel'!$A$3:$BW$185</definedName>
    <definedName name="_xlnm._FilterDatabase" localSheetId="6" hidden="1">'2606_RAW_OBS Exclusive'!$A$3:$BW$3</definedName>
    <definedName name="_xlnm._FilterDatabase" localSheetId="0" hidden="1">'Price Jun_Water Purifier'!$A$2:$AS$13</definedName>
    <definedName name="_xlnm._FilterDatabase" localSheetId="12" hidden="1">PRM!$A$1:$S$97</definedName>
    <definedName name="_xlnm._FilterDatabase" localSheetId="3" hidden="1">'RAC, SAC'!$A$1:$Y$36</definedName>
    <definedName name="_xlnm._FilterDatabase" localSheetId="1" hidden="1">'REF, WM, Styler,DW,MWO'!$A$1:$BW$35</definedName>
    <definedName name="_xlnm._FilterDatabase" localSheetId="4" hidden="1">'TV, MNT, AV'!$A$1:$Z$27</definedName>
    <definedName name="_xlnm._FilterDatabase" localSheetId="2" hidden="1">'VCC, AP, Dehumidifier'!$A$1:$AF$13</definedName>
    <definedName name="CalendarYear">[1]January!$K$5</definedName>
    <definedName name="ColumnTitleRegion1..H12.6" localSheetId="0">#REF!</definedName>
    <definedName name="ColumnTitleRegion1..H12.6" localSheetId="3">#REF!</definedName>
    <definedName name="ColumnTitleRegion1..H12.6" localSheetId="1">#REF!</definedName>
    <definedName name="ColumnTitleRegion1..H12.6" localSheetId="4">#REF!</definedName>
    <definedName name="ColumnTitleRegion1..H12.6" localSheetId="2">#REF!</definedName>
    <definedName name="ColumnTitleRegion1..H12.6">#REF!</definedName>
    <definedName name="ColumnTitleRegion2..C14.6" localSheetId="0">#REF!</definedName>
    <definedName name="ColumnTitleRegion2..C14.6" localSheetId="3">#REF!</definedName>
    <definedName name="ColumnTitleRegion2..C14.6" localSheetId="1">#REF!</definedName>
    <definedName name="ColumnTitleRegion2..C14.6" localSheetId="4">#REF!</definedName>
    <definedName name="ColumnTitleRegion2..C14.6" localSheetId="2">#REF!</definedName>
    <definedName name="ColumnTitleRegion2..C14.6">#REF!</definedName>
    <definedName name="DaysAndWeeks">{0,1,2,3,4,5,6} + {0;1;2;3;4;5}*7</definedName>
    <definedName name="_xlnm.Print_Area" localSheetId="0">'Price Jun_Water Purifier'!$B$2:$AS$14</definedName>
    <definedName name="_xlnm.Print_Area" localSheetId="3">'RAC, SAC'!#REF!</definedName>
    <definedName name="_xlnm.Print_Area" localSheetId="1">'REF, WM, Styler,DW,MWO'!#REF!</definedName>
    <definedName name="_xlnm.Print_Area" localSheetId="4">'TV, MNT, AV'!$C$1:$Z$27</definedName>
    <definedName name="_xlnm.Print_Area" localSheetId="2">'VCC, AP, Dehumidifier'!#REF!</definedName>
    <definedName name="Raw_data">OFFSET([2]로데이터!$A$1,0,0,COUNTA([2]로데이터!$A:$A),COUNTA([2]로데이터!$1:$1))</definedName>
    <definedName name="WeekStart">[1]January!$L$5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4" i="61" l="1"/>
  <c r="AO36" i="61"/>
  <c r="AO35" i="61"/>
  <c r="BU34" i="61"/>
  <c r="BP34" i="61"/>
  <c r="X22" i="63" l="1"/>
  <c r="X23" i="63"/>
  <c r="X24" i="63"/>
  <c r="W22" i="63"/>
  <c r="W23" i="63"/>
  <c r="W24" i="63"/>
  <c r="W21" i="63"/>
  <c r="T24" i="63"/>
  <c r="T23" i="63"/>
  <c r="T22" i="63"/>
  <c r="T21" i="63"/>
  <c r="BP36" i="61"/>
  <c r="BM36" i="61"/>
  <c r="BU36" i="61" s="1"/>
  <c r="BV36" i="61" s="1"/>
  <c r="BU35" i="61"/>
  <c r="BP35" i="61"/>
  <c r="BN25" i="61"/>
  <c r="BM25" i="61"/>
  <c r="BU25" i="61" s="1"/>
  <c r="BN24" i="61"/>
  <c r="BM24" i="61"/>
  <c r="BU24" i="61" s="1"/>
  <c r="BN23" i="61"/>
  <c r="BM23" i="61"/>
  <c r="BU23" i="61" s="1"/>
  <c r="BN22" i="61"/>
  <c r="BM22" i="61"/>
  <c r="BN21" i="61"/>
  <c r="AJ36" i="61"/>
  <c r="AG36" i="61"/>
  <c r="AJ35" i="61"/>
  <c r="AG35" i="61"/>
  <c r="AJ34" i="61"/>
  <c r="AH25" i="61"/>
  <c r="AO25" i="61" s="1"/>
  <c r="AG25" i="61"/>
  <c r="AH24" i="61"/>
  <c r="AO24" i="61" s="1"/>
  <c r="AG24" i="61"/>
  <c r="AH23" i="61"/>
  <c r="AO23" i="61" s="1"/>
  <c r="AG23" i="61"/>
  <c r="AH22" i="61"/>
  <c r="AO22" i="61" s="1"/>
  <c r="AG22" i="61"/>
  <c r="AH21" i="61"/>
  <c r="AO21" i="61" s="1"/>
  <c r="U36" i="61"/>
  <c r="P36" i="61"/>
  <c r="U35" i="61"/>
  <c r="S25" i="61"/>
  <c r="Q25" i="61"/>
  <c r="P25" i="61"/>
  <c r="Z25" i="61" s="1"/>
  <c r="S24" i="61"/>
  <c r="Q24" i="61"/>
  <c r="P24" i="61"/>
  <c r="S23" i="61"/>
  <c r="Q23" i="61"/>
  <c r="P23" i="61"/>
  <c r="S22" i="61"/>
  <c r="Q22" i="61"/>
  <c r="P22" i="61"/>
  <c r="S21" i="61"/>
  <c r="AV36" i="61"/>
  <c r="AV35" i="61"/>
  <c r="BA36" i="61"/>
  <c r="BA35" i="61"/>
  <c r="AY25" i="61"/>
  <c r="AV25" i="61"/>
  <c r="AY24" i="61"/>
  <c r="AV24" i="61"/>
  <c r="AY23" i="61"/>
  <c r="AV23" i="61"/>
  <c r="AY22" i="61"/>
  <c r="AV22" i="61"/>
  <c r="AY21" i="61"/>
  <c r="AV21" i="61"/>
  <c r="BU22" i="61" l="1"/>
  <c r="Z23" i="61"/>
  <c r="Z24" i="61"/>
  <c r="Z36" i="61"/>
  <c r="Z22" i="61"/>
  <c r="BF35" i="61"/>
  <c r="BF21" i="61"/>
  <c r="BF23" i="61"/>
  <c r="BF24" i="61"/>
  <c r="BF36" i="61"/>
  <c r="BF22" i="61"/>
  <c r="BF25" i="61"/>
  <c r="J9" i="55" l="1"/>
  <c r="I9" i="55" s="1"/>
  <c r="Y9" i="55" s="1"/>
  <c r="M9" i="55"/>
  <c r="P9" i="55"/>
  <c r="T8" i="55"/>
  <c r="S8" i="55"/>
  <c r="M8" i="55"/>
  <c r="J8" i="55"/>
  <c r="I8" i="55" s="1"/>
  <c r="Z9" i="55" l="1"/>
  <c r="Y8" i="55"/>
  <c r="Z8" i="55" s="1"/>
  <c r="H15" i="55" l="1"/>
  <c r="P15" i="55" s="1"/>
  <c r="H16" i="55"/>
  <c r="P16" i="55" s="1"/>
  <c r="S15" i="62"/>
  <c r="X15" i="62" s="1"/>
  <c r="AD15" i="62" s="1"/>
  <c r="L15" i="62"/>
  <c r="Q15" i="62" s="1"/>
  <c r="G15" i="62"/>
  <c r="I15" i="62" s="1"/>
  <c r="BH31" i="61"/>
  <c r="BM31" i="61" s="1"/>
  <c r="BU31" i="61" s="1"/>
  <c r="AQ31" i="61"/>
  <c r="AS31" i="61" s="1"/>
  <c r="AB31" i="61"/>
  <c r="AG31" i="61" s="1"/>
  <c r="AO31" i="61" s="1"/>
  <c r="K31" i="61"/>
  <c r="M31" i="61" s="1"/>
  <c r="BH32" i="61"/>
  <c r="BJ32" i="61" s="1"/>
  <c r="AQ32" i="61"/>
  <c r="AS32" i="61" s="1"/>
  <c r="AB32" i="61"/>
  <c r="AG32" i="61" s="1"/>
  <c r="AO32" i="61" s="1"/>
  <c r="K32" i="61"/>
  <c r="M32" i="61" s="1"/>
  <c r="AQ17" i="61"/>
  <c r="AV17" i="61" s="1"/>
  <c r="BF17" i="61" s="1"/>
  <c r="K17" i="61"/>
  <c r="M17" i="61" s="1"/>
  <c r="AQ18" i="61"/>
  <c r="AV18" i="61" s="1"/>
  <c r="BF18" i="61" s="1"/>
  <c r="K18" i="61"/>
  <c r="M18" i="61" s="1"/>
  <c r="AQ19" i="61"/>
  <c r="AV19" i="61" s="1"/>
  <c r="BF19" i="61" s="1"/>
  <c r="K19" i="61"/>
  <c r="M19" i="61" s="1"/>
  <c r="AW16" i="61"/>
  <c r="AV16" i="61"/>
  <c r="AS16" i="61"/>
  <c r="Q16" i="61"/>
  <c r="P16" i="61"/>
  <c r="M16" i="61"/>
  <c r="AD31" i="61" l="1"/>
  <c r="AP31" i="61" s="1"/>
  <c r="J15" i="55"/>
  <c r="I15" i="55" s="1"/>
  <c r="Y15" i="55" s="1"/>
  <c r="M15" i="55"/>
  <c r="J16" i="55"/>
  <c r="I16" i="55" s="1"/>
  <c r="Y16" i="55" s="1"/>
  <c r="M16" i="55"/>
  <c r="R15" i="62"/>
  <c r="U15" i="62"/>
  <c r="AE15" i="62" s="1"/>
  <c r="P31" i="61"/>
  <c r="Z31" i="61" s="1"/>
  <c r="AA31" i="61" s="1"/>
  <c r="AV31" i="61"/>
  <c r="BF31" i="61" s="1"/>
  <c r="BG31" i="61" s="1"/>
  <c r="BJ31" i="61"/>
  <c r="BV31" i="61" s="1"/>
  <c r="AV32" i="61"/>
  <c r="BF32" i="61" s="1"/>
  <c r="BG32" i="61" s="1"/>
  <c r="BM32" i="61"/>
  <c r="BU32" i="61" s="1"/>
  <c r="BV32" i="61" s="1"/>
  <c r="AD32" i="61"/>
  <c r="AP32" i="61" s="1"/>
  <c r="P32" i="61"/>
  <c r="Z32" i="61" s="1"/>
  <c r="AA32" i="61" s="1"/>
  <c r="P17" i="61"/>
  <c r="Z17" i="61" s="1"/>
  <c r="AA17" i="61" s="1"/>
  <c r="P19" i="61"/>
  <c r="Z19" i="61" s="1"/>
  <c r="AA19" i="61" s="1"/>
  <c r="AS17" i="61"/>
  <c r="BG17" i="61" s="1"/>
  <c r="P18" i="61"/>
  <c r="Z18" i="61" s="1"/>
  <c r="AA18" i="61" s="1"/>
  <c r="AS18" i="61"/>
  <c r="BG18" i="61" s="1"/>
  <c r="AS19" i="61"/>
  <c r="BG19" i="61" s="1"/>
  <c r="Z16" i="61"/>
  <c r="AA16" i="61" s="1"/>
  <c r="BF16" i="61"/>
  <c r="BG16" i="61" s="1"/>
  <c r="Z16" i="55" l="1"/>
  <c r="Z15" i="55"/>
  <c r="X16" i="62" l="1"/>
  <c r="L16" i="62"/>
  <c r="H22" i="55" l="1"/>
  <c r="S17" i="62"/>
  <c r="G17" i="62"/>
  <c r="M32" i="63"/>
  <c r="M31" i="63"/>
  <c r="M30" i="63"/>
  <c r="M29" i="63"/>
  <c r="K20" i="61" l="1"/>
  <c r="P20" i="61" s="1"/>
  <c r="BW206" i="138"/>
  <c r="AL206" i="138"/>
  <c r="AE206" i="138"/>
  <c r="AC206" i="138"/>
  <c r="AF206" i="138" s="1"/>
  <c r="X206" i="138"/>
  <c r="Z206" i="138" s="1"/>
  <c r="W206" i="138"/>
  <c r="R206" i="138"/>
  <c r="Q206" i="138"/>
  <c r="M206" i="138"/>
  <c r="G206" i="138"/>
  <c r="E206" i="138"/>
  <c r="BW205" i="138"/>
  <c r="AE205" i="138"/>
  <c r="AC205" i="138"/>
  <c r="W205" i="138"/>
  <c r="R205" i="138"/>
  <c r="X205" i="138" s="1"/>
  <c r="Z205" i="138" s="1"/>
  <c r="Q205" i="138"/>
  <c r="M205" i="138"/>
  <c r="G205" i="138"/>
  <c r="E205" i="138"/>
  <c r="BW204" i="138"/>
  <c r="BB204" i="138"/>
  <c r="AY204" i="138"/>
  <c r="AX204" i="138"/>
  <c r="AW204" i="138"/>
  <c r="BI204" i="138" s="1"/>
  <c r="BN204" i="138" s="1"/>
  <c r="AL204" i="138"/>
  <c r="AM204" i="138" s="1"/>
  <c r="AF204" i="138"/>
  <c r="AG204" i="138" s="1"/>
  <c r="AR204" i="138" s="1"/>
  <c r="AE204" i="138"/>
  <c r="AD204" i="138"/>
  <c r="W204" i="138"/>
  <c r="X204" i="138" s="1"/>
  <c r="R204" i="138"/>
  <c r="Q204" i="138"/>
  <c r="M204" i="138"/>
  <c r="G204" i="138"/>
  <c r="E204" i="138"/>
  <c r="BW203" i="138"/>
  <c r="AY203" i="138"/>
  <c r="BC203" i="138" s="1"/>
  <c r="AX203" i="138"/>
  <c r="AW203" i="138"/>
  <c r="BB203" i="138" s="1"/>
  <c r="AU203" i="138"/>
  <c r="AL203" i="138"/>
  <c r="AM203" i="138" s="1"/>
  <c r="AF203" i="138"/>
  <c r="AG203" i="138" s="1"/>
  <c r="AE203" i="138"/>
  <c r="AC203" i="138"/>
  <c r="W203" i="138"/>
  <c r="X203" i="138" s="1"/>
  <c r="R203" i="138"/>
  <c r="Q203" i="138"/>
  <c r="M203" i="138"/>
  <c r="G203" i="138"/>
  <c r="E203" i="138"/>
  <c r="BW202" i="138"/>
  <c r="AY202" i="138"/>
  <c r="BC202" i="138" s="1"/>
  <c r="AW202" i="138"/>
  <c r="BB202" i="138" s="1"/>
  <c r="AL202" i="138"/>
  <c r="AG202" i="138"/>
  <c r="AE202" i="138"/>
  <c r="AC202" i="138"/>
  <c r="AF202" i="138" s="1"/>
  <c r="AM202" i="138" s="1"/>
  <c r="W202" i="138"/>
  <c r="X202" i="138" s="1"/>
  <c r="R202" i="138"/>
  <c r="Q202" i="138"/>
  <c r="N202" i="138"/>
  <c r="M202" i="138"/>
  <c r="G202" i="138"/>
  <c r="E202" i="138"/>
  <c r="BW201" i="138"/>
  <c r="BI201" i="138"/>
  <c r="BN201" i="138" s="1"/>
  <c r="BB201" i="138"/>
  <c r="AW201" i="138"/>
  <c r="AY201" i="138" s="1"/>
  <c r="BC201" i="138" s="1"/>
  <c r="AL201" i="138"/>
  <c r="AM201" i="138" s="1"/>
  <c r="AF201" i="138"/>
  <c r="AG201" i="138" s="1"/>
  <c r="AE201" i="138"/>
  <c r="AC201" i="138"/>
  <c r="W201" i="138"/>
  <c r="X201" i="138" s="1"/>
  <c r="R201" i="138"/>
  <c r="Q201" i="138"/>
  <c r="N201" i="138"/>
  <c r="M201" i="138"/>
  <c r="G201" i="138"/>
  <c r="BW200" i="138"/>
  <c r="BI200" i="138"/>
  <c r="BN200" i="138" s="1"/>
  <c r="AY200" i="138"/>
  <c r="AW200" i="138"/>
  <c r="BB200" i="138" s="1"/>
  <c r="AL200" i="138"/>
  <c r="AM200" i="138" s="1"/>
  <c r="AF200" i="138"/>
  <c r="AG200" i="138" s="1"/>
  <c r="AE200" i="138"/>
  <c r="AC200" i="138"/>
  <c r="W200" i="138"/>
  <c r="X200" i="138" s="1"/>
  <c r="R200" i="138"/>
  <c r="Q200" i="138"/>
  <c r="N200" i="138"/>
  <c r="M200" i="138"/>
  <c r="G200" i="138"/>
  <c r="BW199" i="138"/>
  <c r="AU199" i="138"/>
  <c r="AE199" i="138"/>
  <c r="AC199" i="138"/>
  <c r="AF199" i="138" s="1"/>
  <c r="AG199" i="138" s="1"/>
  <c r="Z199" i="138"/>
  <c r="Y199" i="138"/>
  <c r="S199" i="138" s="1"/>
  <c r="X199" i="138"/>
  <c r="W199" i="138"/>
  <c r="R199" i="138"/>
  <c r="Q199" i="138"/>
  <c r="M199" i="138"/>
  <c r="G199" i="138"/>
  <c r="BW198" i="138"/>
  <c r="AY198" i="138"/>
  <c r="AW198" i="138"/>
  <c r="BI198" i="138" s="1"/>
  <c r="AU198" i="138"/>
  <c r="AL198" i="138"/>
  <c r="AM198" i="138" s="1"/>
  <c r="AE198" i="138"/>
  <c r="AC198" i="138"/>
  <c r="AF198" i="138" s="1"/>
  <c r="AG198" i="138" s="1"/>
  <c r="Z198" i="138"/>
  <c r="X198" i="138"/>
  <c r="Y198" i="138" s="1"/>
  <c r="S198" i="138" s="1"/>
  <c r="W198" i="138"/>
  <c r="R198" i="138"/>
  <c r="Q198" i="138"/>
  <c r="M198" i="138"/>
  <c r="G198" i="138"/>
  <c r="BW197" i="138"/>
  <c r="BJ197" i="138"/>
  <c r="BI197" i="138"/>
  <c r="BN197" i="138" s="1"/>
  <c r="BB197" i="138"/>
  <c r="AY197" i="138"/>
  <c r="AX197" i="138"/>
  <c r="BH197" i="138" s="1"/>
  <c r="AW197" i="138"/>
  <c r="AM197" i="138"/>
  <c r="AL197" i="138"/>
  <c r="AF197" i="138"/>
  <c r="AG197" i="138" s="1"/>
  <c r="AE197" i="138"/>
  <c r="AC197" i="138"/>
  <c r="X197" i="138"/>
  <c r="Z197" i="138" s="1"/>
  <c r="W197" i="138"/>
  <c r="R197" i="138"/>
  <c r="Q197" i="138"/>
  <c r="N197" i="138"/>
  <c r="M197" i="138"/>
  <c r="G197" i="138"/>
  <c r="BW196" i="138"/>
  <c r="AL196" i="138"/>
  <c r="AE196" i="138"/>
  <c r="AC196" i="138"/>
  <c r="AF196" i="138" s="1"/>
  <c r="AM196" i="138" s="1"/>
  <c r="X196" i="138"/>
  <c r="Z196" i="138" s="1"/>
  <c r="W196" i="138"/>
  <c r="R196" i="138"/>
  <c r="Q196" i="138"/>
  <c r="N196" i="138"/>
  <c r="M196" i="138"/>
  <c r="G196" i="138"/>
  <c r="E196" i="138"/>
  <c r="BW195" i="138"/>
  <c r="AM195" i="138"/>
  <c r="AL195" i="138"/>
  <c r="AE195" i="138"/>
  <c r="AC195" i="138"/>
  <c r="AF195" i="138" s="1"/>
  <c r="AG195" i="138" s="1"/>
  <c r="W195" i="138"/>
  <c r="X195" i="138" s="1"/>
  <c r="R195" i="138"/>
  <c r="Q195" i="138"/>
  <c r="M195" i="138"/>
  <c r="G195" i="138"/>
  <c r="BW194" i="138"/>
  <c r="AL194" i="138"/>
  <c r="AG194" i="138"/>
  <c r="AF194" i="138"/>
  <c r="AE194" i="138"/>
  <c r="AC194" i="138"/>
  <c r="X194" i="138"/>
  <c r="W194" i="138"/>
  <c r="R194" i="138"/>
  <c r="Q194" i="138"/>
  <c r="M194" i="138"/>
  <c r="G194" i="138"/>
  <c r="BW193" i="138"/>
  <c r="AP193" i="138"/>
  <c r="AN193" i="138"/>
  <c r="AL193" i="138"/>
  <c r="AF193" i="138"/>
  <c r="AM193" i="138" s="1"/>
  <c r="AO193" i="138" s="1"/>
  <c r="AE193" i="138"/>
  <c r="AC193" i="138"/>
  <c r="Z193" i="138"/>
  <c r="X193" i="138"/>
  <c r="W193" i="138"/>
  <c r="R193" i="138"/>
  <c r="Q193" i="138"/>
  <c r="M193" i="138"/>
  <c r="G193" i="138"/>
  <c r="BW192" i="138"/>
  <c r="AL192" i="138"/>
  <c r="AM192" i="138" s="1"/>
  <c r="AG192" i="138"/>
  <c r="AE192" i="138"/>
  <c r="AC192" i="138"/>
  <c r="AF192" i="138" s="1"/>
  <c r="Z192" i="138"/>
  <c r="Y192" i="138"/>
  <c r="X192" i="138"/>
  <c r="W192" i="138"/>
  <c r="S192" i="138"/>
  <c r="R192" i="138"/>
  <c r="Q192" i="138"/>
  <c r="M192" i="138"/>
  <c r="G192" i="138"/>
  <c r="BW191" i="138"/>
  <c r="AN191" i="138"/>
  <c r="AM191" i="138"/>
  <c r="AL191" i="138"/>
  <c r="AG191" i="138"/>
  <c r="AE191" i="138"/>
  <c r="AC191" i="138"/>
  <c r="AF191" i="138" s="1"/>
  <c r="Y191" i="138"/>
  <c r="S191" i="138" s="1"/>
  <c r="X191" i="138"/>
  <c r="Z191" i="138" s="1"/>
  <c r="W191" i="138"/>
  <c r="R191" i="138"/>
  <c r="Q191" i="138"/>
  <c r="M191" i="138"/>
  <c r="G191" i="138"/>
  <c r="BW190" i="138"/>
  <c r="AN190" i="138"/>
  <c r="AL190" i="138"/>
  <c r="AF190" i="138"/>
  <c r="AM190" i="138" s="1"/>
  <c r="AO190" i="138" s="1"/>
  <c r="AE190" i="138"/>
  <c r="AD190" i="138"/>
  <c r="W190" i="138"/>
  <c r="R190" i="138"/>
  <c r="X190" i="138" s="1"/>
  <c r="Z190" i="138" s="1"/>
  <c r="Q190" i="138"/>
  <c r="M190" i="138"/>
  <c r="Y190" i="138" s="1"/>
  <c r="S190" i="138" s="1"/>
  <c r="G190" i="138"/>
  <c r="BW189" i="138"/>
  <c r="AL189" i="138"/>
  <c r="AF189" i="138"/>
  <c r="AE189" i="138"/>
  <c r="AC189" i="138"/>
  <c r="W189" i="138"/>
  <c r="R189" i="138"/>
  <c r="X189" i="138" s="1"/>
  <c r="Q189" i="138"/>
  <c r="M189" i="138"/>
  <c r="G189" i="138"/>
  <c r="BW188" i="138"/>
  <c r="AL188" i="138"/>
  <c r="AF188" i="138"/>
  <c r="AG188" i="138" s="1"/>
  <c r="AR188" i="138" s="1"/>
  <c r="AE188" i="138"/>
  <c r="AD188" i="138"/>
  <c r="W188" i="138"/>
  <c r="S188" i="138"/>
  <c r="R188" i="138"/>
  <c r="X188" i="138" s="1"/>
  <c r="Z188" i="138" s="1"/>
  <c r="Q188" i="138"/>
  <c r="N188" i="138"/>
  <c r="M188" i="138"/>
  <c r="G188" i="138"/>
  <c r="BW187" i="138"/>
  <c r="AE187" i="138"/>
  <c r="AC187" i="138"/>
  <c r="AL187" i="138" s="1"/>
  <c r="W187" i="138"/>
  <c r="R187" i="138"/>
  <c r="X187" i="138" s="1"/>
  <c r="Q187" i="138"/>
  <c r="M187" i="138"/>
  <c r="G187" i="138"/>
  <c r="BW186" i="138"/>
  <c r="AE186" i="138"/>
  <c r="AC186" i="138"/>
  <c r="AL186" i="138" s="1"/>
  <c r="Z186" i="138"/>
  <c r="Y186" i="138"/>
  <c r="X186" i="138"/>
  <c r="W186" i="138"/>
  <c r="S186" i="138"/>
  <c r="R186" i="138"/>
  <c r="Q186" i="138"/>
  <c r="M186" i="138"/>
  <c r="G186" i="138"/>
  <c r="BW185" i="138"/>
  <c r="AL185" i="138"/>
  <c r="AE185" i="138"/>
  <c r="AC185" i="138"/>
  <c r="AF185" i="138" s="1"/>
  <c r="AM185" i="138" s="1"/>
  <c r="W185" i="138"/>
  <c r="X185" i="138" s="1"/>
  <c r="R185" i="138"/>
  <c r="Q185" i="138"/>
  <c r="M185" i="138"/>
  <c r="G185" i="138"/>
  <c r="BW184" i="138"/>
  <c r="AL184" i="138"/>
  <c r="AM184" i="138" s="1"/>
  <c r="AG184" i="138"/>
  <c r="AF184" i="138"/>
  <c r="AE184" i="138"/>
  <c r="AC184" i="138"/>
  <c r="W184" i="138"/>
  <c r="X184" i="138" s="1"/>
  <c r="R184" i="138"/>
  <c r="Q184" i="138"/>
  <c r="M184" i="138"/>
  <c r="G184" i="138"/>
  <c r="BW183" i="138"/>
  <c r="AQ183" i="138"/>
  <c r="AR183" i="138" s="1"/>
  <c r="AI183" i="138" s="1"/>
  <c r="AN183" i="138"/>
  <c r="AL183" i="138"/>
  <c r="AF183" i="138"/>
  <c r="AM183" i="138" s="1"/>
  <c r="AP183" i="138" s="1"/>
  <c r="AE183" i="138"/>
  <c r="AC183" i="138"/>
  <c r="X183" i="138"/>
  <c r="Y183" i="138" s="1"/>
  <c r="S183" i="138" s="1"/>
  <c r="W183" i="138"/>
  <c r="R183" i="138"/>
  <c r="Q183" i="138"/>
  <c r="M183" i="138"/>
  <c r="G183" i="138"/>
  <c r="BW182" i="138"/>
  <c r="AF182" i="138"/>
  <c r="AG182" i="138" s="1"/>
  <c r="AE182" i="138"/>
  <c r="AC182" i="138"/>
  <c r="AL182" i="138" s="1"/>
  <c r="AM182" i="138" s="1"/>
  <c r="X182" i="138"/>
  <c r="Y182" i="138" s="1"/>
  <c r="S182" i="138" s="1"/>
  <c r="W182" i="138"/>
  <c r="R182" i="138"/>
  <c r="Q182" i="138"/>
  <c r="M182" i="138"/>
  <c r="G182" i="138"/>
  <c r="BW181" i="138"/>
  <c r="AN181" i="138"/>
  <c r="AM181" i="138"/>
  <c r="AL181" i="138"/>
  <c r="AG181" i="138"/>
  <c r="AE181" i="138"/>
  <c r="AC181" i="138"/>
  <c r="AF181" i="138" s="1"/>
  <c r="Y181" i="138"/>
  <c r="S181" i="138" s="1"/>
  <c r="X181" i="138"/>
  <c r="Z181" i="138" s="1"/>
  <c r="W181" i="138"/>
  <c r="R181" i="138"/>
  <c r="Q181" i="138"/>
  <c r="M181" i="138"/>
  <c r="G181" i="138"/>
  <c r="BW180" i="138"/>
  <c r="AM180" i="138"/>
  <c r="AO180" i="138" s="1"/>
  <c r="AL180" i="138"/>
  <c r="AG180" i="138"/>
  <c r="AF180" i="138"/>
  <c r="AE180" i="138"/>
  <c r="AC180" i="138"/>
  <c r="W180" i="138"/>
  <c r="R180" i="138"/>
  <c r="X180" i="138" s="1"/>
  <c r="Q180" i="138"/>
  <c r="M180" i="138"/>
  <c r="G180" i="138"/>
  <c r="BW179" i="138"/>
  <c r="AE179" i="138"/>
  <c r="AC179" i="138"/>
  <c r="AF179" i="138" s="1"/>
  <c r="W179" i="138"/>
  <c r="R179" i="138"/>
  <c r="X179" i="138" s="1"/>
  <c r="Q179" i="138"/>
  <c r="M179" i="138"/>
  <c r="G179" i="138"/>
  <c r="BW178" i="138"/>
  <c r="AL178" i="138"/>
  <c r="AE178" i="138"/>
  <c r="AC178" i="138"/>
  <c r="AF178" i="138" s="1"/>
  <c r="W178" i="138"/>
  <c r="R178" i="138"/>
  <c r="X178" i="138" s="1"/>
  <c r="Q178" i="138"/>
  <c r="M178" i="138"/>
  <c r="G178" i="138"/>
  <c r="BW177" i="138"/>
  <c r="AE177" i="138"/>
  <c r="AC177" i="138"/>
  <c r="AF177" i="138" s="1"/>
  <c r="W177" i="138"/>
  <c r="X177" i="138" s="1"/>
  <c r="R177" i="138"/>
  <c r="Q177" i="138"/>
  <c r="M177" i="138"/>
  <c r="G177" i="138"/>
  <c r="BW176" i="138"/>
  <c r="AL176" i="138"/>
  <c r="AG176" i="138"/>
  <c r="AF176" i="138"/>
  <c r="AM176" i="138" s="1"/>
  <c r="AE176" i="138"/>
  <c r="AC176" i="138"/>
  <c r="X176" i="138"/>
  <c r="W176" i="138"/>
  <c r="R176" i="138"/>
  <c r="Q176" i="138"/>
  <c r="M176" i="138"/>
  <c r="G176" i="138"/>
  <c r="BW175" i="138"/>
  <c r="AL175" i="138"/>
  <c r="AF175" i="138"/>
  <c r="AE175" i="138"/>
  <c r="AC175" i="138"/>
  <c r="X175" i="138"/>
  <c r="W175" i="138"/>
  <c r="R175" i="138"/>
  <c r="Q175" i="138"/>
  <c r="M175" i="138"/>
  <c r="G175" i="138"/>
  <c r="BW174" i="138"/>
  <c r="AL174" i="138"/>
  <c r="AF174" i="138"/>
  <c r="AE174" i="138"/>
  <c r="AC174" i="138"/>
  <c r="W174" i="138"/>
  <c r="R174" i="138"/>
  <c r="X174" i="138" s="1"/>
  <c r="Z174" i="138" s="1"/>
  <c r="Q174" i="138"/>
  <c r="M174" i="138"/>
  <c r="G174" i="138"/>
  <c r="BW173" i="138"/>
  <c r="AG173" i="138"/>
  <c r="AE173" i="138"/>
  <c r="AC173" i="138"/>
  <c r="AF173" i="138" s="1"/>
  <c r="X173" i="138"/>
  <c r="Z173" i="138" s="1"/>
  <c r="W173" i="138"/>
  <c r="R173" i="138"/>
  <c r="Q173" i="138"/>
  <c r="M173" i="138"/>
  <c r="G173" i="138"/>
  <c r="BW172" i="138"/>
  <c r="BH172" i="138"/>
  <c r="BB172" i="138"/>
  <c r="AY172" i="138"/>
  <c r="AX172" i="138"/>
  <c r="AW172" i="138"/>
  <c r="BI172" i="138" s="1"/>
  <c r="BN172" i="138" s="1"/>
  <c r="AU172" i="138"/>
  <c r="AL172" i="138"/>
  <c r="AF172" i="138"/>
  <c r="AE172" i="138"/>
  <c r="AD172" i="138"/>
  <c r="Y172" i="138"/>
  <c r="S172" i="138" s="1"/>
  <c r="W172" i="138"/>
  <c r="R172" i="138"/>
  <c r="X172" i="138" s="1"/>
  <c r="Z172" i="138" s="1"/>
  <c r="Q172" i="138"/>
  <c r="M172" i="138"/>
  <c r="G172" i="138"/>
  <c r="BW171" i="138"/>
  <c r="BB171" i="138"/>
  <c r="AY171" i="138"/>
  <c r="BC171" i="138" s="1"/>
  <c r="AW171" i="138"/>
  <c r="AX171" i="138" s="1"/>
  <c r="BH171" i="138" s="1"/>
  <c r="AU171" i="138"/>
  <c r="AM171" i="138"/>
  <c r="AL171" i="138"/>
  <c r="AF171" i="138"/>
  <c r="AE171" i="138"/>
  <c r="AD171" i="138"/>
  <c r="W171" i="138"/>
  <c r="R171" i="138"/>
  <c r="X171" i="138" s="1"/>
  <c r="Q171" i="138"/>
  <c r="M171" i="138"/>
  <c r="G171" i="138"/>
  <c r="BW170" i="138"/>
  <c r="BI170" i="138"/>
  <c r="AW170" i="138"/>
  <c r="AU170" i="138"/>
  <c r="AN170" i="138"/>
  <c r="AL170" i="138"/>
  <c r="AF170" i="138"/>
  <c r="AM170" i="138" s="1"/>
  <c r="AE170" i="138"/>
  <c r="AC170" i="138"/>
  <c r="W170" i="138"/>
  <c r="R170" i="138"/>
  <c r="X170" i="138" s="1"/>
  <c r="Y170" i="138" s="1"/>
  <c r="S170" i="138" s="1"/>
  <c r="Q170" i="138"/>
  <c r="M170" i="138"/>
  <c r="G170" i="138"/>
  <c r="BW169" i="138"/>
  <c r="BI169" i="138"/>
  <c r="AW169" i="138"/>
  <c r="AU169" i="138"/>
  <c r="AN169" i="138"/>
  <c r="AL169" i="138"/>
  <c r="AG169" i="138"/>
  <c r="AF169" i="138"/>
  <c r="AM169" i="138" s="1"/>
  <c r="AO169" i="138" s="1"/>
  <c r="AE169" i="138"/>
  <c r="AC169" i="138"/>
  <c r="W169" i="138"/>
  <c r="R169" i="138"/>
  <c r="Q169" i="138"/>
  <c r="M169" i="138"/>
  <c r="G169" i="138"/>
  <c r="BW168" i="138"/>
  <c r="BN168" i="138"/>
  <c r="BJ168" i="138"/>
  <c r="BI168" i="138"/>
  <c r="BK168" i="138" s="1"/>
  <c r="AY168" i="138"/>
  <c r="BC168" i="138" s="1"/>
  <c r="AX168" i="138"/>
  <c r="BH168" i="138" s="1"/>
  <c r="AW168" i="138"/>
  <c r="BB168" i="138" s="1"/>
  <c r="AU168" i="138"/>
  <c r="AM168" i="138"/>
  <c r="AL168" i="138"/>
  <c r="AF168" i="138"/>
  <c r="AE168" i="138"/>
  <c r="W168" i="138"/>
  <c r="R168" i="138"/>
  <c r="X168" i="138" s="1"/>
  <c r="Y168" i="138" s="1"/>
  <c r="S168" i="138" s="1"/>
  <c r="Q168" i="138"/>
  <c r="M168" i="138"/>
  <c r="G168" i="138"/>
  <c r="BW167" i="138"/>
  <c r="AU167" i="138"/>
  <c r="AL167" i="138"/>
  <c r="AG167" i="138"/>
  <c r="AR167" i="138" s="1"/>
  <c r="AE167" i="138"/>
  <c r="AC167" i="138"/>
  <c r="AF167" i="138" s="1"/>
  <c r="W167" i="138"/>
  <c r="R167" i="138"/>
  <c r="Q167" i="138"/>
  <c r="M167" i="138"/>
  <c r="G167" i="138"/>
  <c r="BW166" i="138"/>
  <c r="AU166" i="138"/>
  <c r="AE166" i="138"/>
  <c r="AC166" i="138"/>
  <c r="W166" i="138"/>
  <c r="R166" i="138"/>
  <c r="Q166" i="138"/>
  <c r="N166" i="138"/>
  <c r="M166" i="138"/>
  <c r="G166" i="138"/>
  <c r="BW165" i="138"/>
  <c r="AU165" i="138"/>
  <c r="AL165" i="138"/>
  <c r="AE165" i="138"/>
  <c r="AC165" i="138"/>
  <c r="AF165" i="138" s="1"/>
  <c r="X165" i="138"/>
  <c r="Y165" i="138" s="1"/>
  <c r="S165" i="138" s="1"/>
  <c r="W165" i="138"/>
  <c r="R165" i="138"/>
  <c r="Q165" i="138"/>
  <c r="N165" i="138"/>
  <c r="M165" i="138"/>
  <c r="G165" i="138"/>
  <c r="BW164" i="138"/>
  <c r="AW164" i="138"/>
  <c r="AU164" i="138"/>
  <c r="AE164" i="138"/>
  <c r="AC164" i="138"/>
  <c r="W164" i="138"/>
  <c r="X164" i="138" s="1"/>
  <c r="Y164" i="138" s="1"/>
  <c r="S164" i="138" s="1"/>
  <c r="R164" i="138"/>
  <c r="Q164" i="138"/>
  <c r="M164" i="138"/>
  <c r="G164" i="138"/>
  <c r="BW163" i="138"/>
  <c r="AU163" i="138"/>
  <c r="AE163" i="138"/>
  <c r="AC163" i="138"/>
  <c r="Z163" i="138"/>
  <c r="Y163" i="138"/>
  <c r="S163" i="138" s="1"/>
  <c r="X163" i="138"/>
  <c r="W163" i="138"/>
  <c r="R163" i="138"/>
  <c r="Q163" i="138"/>
  <c r="M163" i="138"/>
  <c r="G163" i="138"/>
  <c r="BW162" i="138"/>
  <c r="BN162" i="138"/>
  <c r="BB162" i="138"/>
  <c r="AU162" i="138"/>
  <c r="AE162" i="138"/>
  <c r="AC162" i="138"/>
  <c r="AW162" i="138" s="1"/>
  <c r="X162" i="138"/>
  <c r="Z162" i="138" s="1"/>
  <c r="W162" i="138"/>
  <c r="R162" i="138"/>
  <c r="Q162" i="138"/>
  <c r="M162" i="138"/>
  <c r="G162" i="138"/>
  <c r="BW161" i="138"/>
  <c r="BP161" i="138"/>
  <c r="BN161" i="138"/>
  <c r="BK161" i="138"/>
  <c r="BO161" i="138" s="1"/>
  <c r="BJ161" i="138"/>
  <c r="BB161" i="138"/>
  <c r="AY161" i="138"/>
  <c r="BC161" i="138" s="1"/>
  <c r="AX161" i="138"/>
  <c r="BH161" i="138" s="1"/>
  <c r="AW161" i="138"/>
  <c r="BI161" i="138" s="1"/>
  <c r="AU161" i="138"/>
  <c r="AL161" i="138"/>
  <c r="AM161" i="138" s="1"/>
  <c r="AG161" i="138"/>
  <c r="AE161" i="138"/>
  <c r="AC161" i="138"/>
  <c r="AF161" i="138" s="1"/>
  <c r="W161" i="138"/>
  <c r="X161" i="138" s="1"/>
  <c r="R161" i="138"/>
  <c r="Q161" i="138"/>
  <c r="M161" i="138"/>
  <c r="G161" i="138"/>
  <c r="BW160" i="138"/>
  <c r="AX160" i="138"/>
  <c r="AW160" i="138"/>
  <c r="AU160" i="138"/>
  <c r="AM160" i="138"/>
  <c r="AL160" i="138"/>
  <c r="AG160" i="138"/>
  <c r="AF160" i="138"/>
  <c r="AE160" i="138"/>
  <c r="AC160" i="138"/>
  <c r="X160" i="138"/>
  <c r="Z160" i="138" s="1"/>
  <c r="W160" i="138"/>
  <c r="R160" i="138"/>
  <c r="Q160" i="138"/>
  <c r="M160" i="138"/>
  <c r="G160" i="138"/>
  <c r="BW159" i="138"/>
  <c r="AU159" i="138"/>
  <c r="AL159" i="138"/>
  <c r="AE159" i="138"/>
  <c r="AC159" i="138"/>
  <c r="W159" i="138"/>
  <c r="X159" i="138" s="1"/>
  <c r="R159" i="138"/>
  <c r="Q159" i="138"/>
  <c r="M159" i="138"/>
  <c r="G159" i="138"/>
  <c r="BW158" i="138"/>
  <c r="BI158" i="138"/>
  <c r="AW158" i="138"/>
  <c r="BB158" i="138" s="1"/>
  <c r="AU158" i="138"/>
  <c r="AL158" i="138"/>
  <c r="AM158" i="138" s="1"/>
  <c r="AG158" i="138"/>
  <c r="AF158" i="138"/>
  <c r="AE158" i="138"/>
  <c r="AC158" i="138"/>
  <c r="X158" i="138"/>
  <c r="Y158" i="138" s="1"/>
  <c r="S158" i="138" s="1"/>
  <c r="W158" i="138"/>
  <c r="R158" i="138"/>
  <c r="Q158" i="138"/>
  <c r="M158" i="138"/>
  <c r="G158" i="138"/>
  <c r="BW157" i="138"/>
  <c r="BJ157" i="138"/>
  <c r="BI157" i="138"/>
  <c r="AY157" i="138"/>
  <c r="BC157" i="138" s="1"/>
  <c r="AW157" i="138"/>
  <c r="BB157" i="138" s="1"/>
  <c r="AU157" i="138"/>
  <c r="AM157" i="138"/>
  <c r="AL157" i="138"/>
  <c r="AG157" i="138"/>
  <c r="AF157" i="138"/>
  <c r="AE157" i="138"/>
  <c r="AC157" i="138"/>
  <c r="W157" i="138"/>
  <c r="X157" i="138" s="1"/>
  <c r="R157" i="138"/>
  <c r="Q157" i="138"/>
  <c r="M157" i="138"/>
  <c r="G157" i="138"/>
  <c r="BW156" i="138"/>
  <c r="AW156" i="138"/>
  <c r="BI156" i="138" s="1"/>
  <c r="AU156" i="138"/>
  <c r="AL156" i="138"/>
  <c r="AF156" i="138"/>
  <c r="AG156" i="138" s="1"/>
  <c r="AE156" i="138"/>
  <c r="AC156" i="138"/>
  <c r="W156" i="138"/>
  <c r="R156" i="138"/>
  <c r="X156" i="138" s="1"/>
  <c r="Q156" i="138"/>
  <c r="M156" i="138"/>
  <c r="G156" i="138"/>
  <c r="BW155" i="138"/>
  <c r="AX155" i="138"/>
  <c r="AW155" i="138"/>
  <c r="BI155" i="138" s="1"/>
  <c r="AU155" i="138"/>
  <c r="AL155" i="138"/>
  <c r="AF155" i="138"/>
  <c r="AG155" i="138" s="1"/>
  <c r="AE155" i="138"/>
  <c r="AC155" i="138"/>
  <c r="W155" i="138"/>
  <c r="R155" i="138"/>
  <c r="X155" i="138" s="1"/>
  <c r="Q155" i="138"/>
  <c r="M155" i="138"/>
  <c r="G155" i="138"/>
  <c r="BW154" i="138"/>
  <c r="AY154" i="138"/>
  <c r="BC154" i="138" s="1"/>
  <c r="AW154" i="138"/>
  <c r="BB154" i="138" s="1"/>
  <c r="AU154" i="138"/>
  <c r="AM154" i="138"/>
  <c r="AO154" i="138" s="1"/>
  <c r="AL154" i="138"/>
  <c r="AG154" i="138"/>
  <c r="AF154" i="138"/>
  <c r="AE154" i="138"/>
  <c r="AC154" i="138"/>
  <c r="W154" i="138"/>
  <c r="R154" i="138"/>
  <c r="X154" i="138" s="1"/>
  <c r="Q154" i="138"/>
  <c r="M154" i="138"/>
  <c r="G154" i="138"/>
  <c r="BW153" i="138"/>
  <c r="AL153" i="138"/>
  <c r="AE153" i="138"/>
  <c r="AC153" i="138"/>
  <c r="AF153" i="138" s="1"/>
  <c r="X153" i="138"/>
  <c r="Y153" i="138" s="1"/>
  <c r="S153" i="138" s="1"/>
  <c r="W153" i="138"/>
  <c r="R153" i="138"/>
  <c r="Q153" i="138"/>
  <c r="M153" i="138"/>
  <c r="G153" i="138"/>
  <c r="BW152" i="138"/>
  <c r="AE152" i="138"/>
  <c r="AD152" i="138"/>
  <c r="AC152" i="138"/>
  <c r="AL152" i="138" s="1"/>
  <c r="W152" i="138"/>
  <c r="R152" i="138"/>
  <c r="X152" i="138" s="1"/>
  <c r="Q152" i="138"/>
  <c r="M152" i="138"/>
  <c r="G152" i="138"/>
  <c r="BW151" i="138"/>
  <c r="AL151" i="138"/>
  <c r="AE151" i="138"/>
  <c r="AD151" i="138"/>
  <c r="AC151" i="138"/>
  <c r="AF151" i="138" s="1"/>
  <c r="W151" i="138"/>
  <c r="X151" i="138" s="1"/>
  <c r="R151" i="138"/>
  <c r="Q151" i="138"/>
  <c r="M151" i="138"/>
  <c r="G151" i="138"/>
  <c r="BW150" i="138"/>
  <c r="AL150" i="138"/>
  <c r="AG150" i="138"/>
  <c r="AR150" i="138" s="1"/>
  <c r="AF150" i="138"/>
  <c r="AM150" i="138" s="1"/>
  <c r="AE150" i="138"/>
  <c r="AD150" i="138"/>
  <c r="AC150" i="138"/>
  <c r="W150" i="138"/>
  <c r="R150" i="138"/>
  <c r="X150" i="138" s="1"/>
  <c r="Q150" i="138"/>
  <c r="M150" i="138"/>
  <c r="G150" i="138"/>
  <c r="BW149" i="138"/>
  <c r="AE149" i="138"/>
  <c r="AD149" i="138"/>
  <c r="AC149" i="138"/>
  <c r="AL149" i="138" s="1"/>
  <c r="X149" i="138"/>
  <c r="Y149" i="138" s="1"/>
  <c r="S149" i="138" s="1"/>
  <c r="W149" i="138"/>
  <c r="R149" i="138"/>
  <c r="Q149" i="138"/>
  <c r="M149" i="138"/>
  <c r="G149" i="138"/>
  <c r="BW148" i="138"/>
  <c r="AM148" i="138"/>
  <c r="AQ148" i="138" s="1"/>
  <c r="AL148" i="138"/>
  <c r="AF148" i="138"/>
  <c r="AE148" i="138"/>
  <c r="AC148" i="138"/>
  <c r="AD148" i="138" s="1"/>
  <c r="X148" i="138"/>
  <c r="Z148" i="138" s="1"/>
  <c r="W148" i="138"/>
  <c r="R148" i="138"/>
  <c r="Q148" i="138"/>
  <c r="M148" i="138"/>
  <c r="G148" i="138"/>
  <c r="BW147" i="138"/>
  <c r="AE147" i="138"/>
  <c r="AD147" i="138"/>
  <c r="AC147" i="138"/>
  <c r="AL147" i="138" s="1"/>
  <c r="W147" i="138"/>
  <c r="X147" i="138" s="1"/>
  <c r="R147" i="138"/>
  <c r="Q147" i="138"/>
  <c r="M147" i="138"/>
  <c r="G147" i="138"/>
  <c r="BW146" i="138"/>
  <c r="AN146" i="138"/>
  <c r="AM146" i="138"/>
  <c r="AO146" i="138" s="1"/>
  <c r="AL146" i="138"/>
  <c r="AG146" i="138"/>
  <c r="AR146" i="138" s="1"/>
  <c r="AF146" i="138"/>
  <c r="AE146" i="138"/>
  <c r="AD146" i="138"/>
  <c r="AC146" i="138"/>
  <c r="W146" i="138"/>
  <c r="X146" i="138" s="1"/>
  <c r="R146" i="138"/>
  <c r="Q146" i="138"/>
  <c r="M146" i="138"/>
  <c r="G146" i="138"/>
  <c r="BW145" i="138"/>
  <c r="AL145" i="138"/>
  <c r="AG145" i="138"/>
  <c r="AR145" i="138" s="1"/>
  <c r="AF145" i="138"/>
  <c r="AM145" i="138" s="1"/>
  <c r="AE145" i="138"/>
  <c r="AD145" i="138"/>
  <c r="AC145" i="138"/>
  <c r="W145" i="138"/>
  <c r="R145" i="138"/>
  <c r="X145" i="138" s="1"/>
  <c r="Q145" i="138"/>
  <c r="M145" i="138"/>
  <c r="G145" i="138"/>
  <c r="BW144" i="138"/>
  <c r="AE144" i="138"/>
  <c r="AC144" i="138"/>
  <c r="X144" i="138"/>
  <c r="Y144" i="138" s="1"/>
  <c r="S144" i="138" s="1"/>
  <c r="W144" i="138"/>
  <c r="R144" i="138"/>
  <c r="Q144" i="138"/>
  <c r="M144" i="138"/>
  <c r="G144" i="138"/>
  <c r="BW143" i="138"/>
  <c r="AL143" i="138"/>
  <c r="AG143" i="138"/>
  <c r="AE143" i="138"/>
  <c r="AC143" i="138"/>
  <c r="AF143" i="138" s="1"/>
  <c r="AM143" i="138" s="1"/>
  <c r="W143" i="138"/>
  <c r="X143" i="138" s="1"/>
  <c r="R143" i="138"/>
  <c r="Q143" i="138"/>
  <c r="M143" i="138"/>
  <c r="G143" i="138"/>
  <c r="BW142" i="138"/>
  <c r="AM142" i="138"/>
  <c r="AO142" i="138" s="1"/>
  <c r="AL142" i="138"/>
  <c r="AG142" i="138"/>
  <c r="AF142" i="138"/>
  <c r="AE142" i="138"/>
  <c r="AC142" i="138"/>
  <c r="W142" i="138"/>
  <c r="X142" i="138" s="1"/>
  <c r="AP142" i="138" s="1"/>
  <c r="R142" i="138"/>
  <c r="Q142" i="138"/>
  <c r="M142" i="138"/>
  <c r="G142" i="138"/>
  <c r="BW141" i="138"/>
  <c r="AL141" i="138"/>
  <c r="AE141" i="138"/>
  <c r="AC141" i="138"/>
  <c r="AF141" i="138" s="1"/>
  <c r="X141" i="138"/>
  <c r="W141" i="138"/>
  <c r="R141" i="138"/>
  <c r="Q141" i="138"/>
  <c r="M141" i="138"/>
  <c r="G141" i="138"/>
  <c r="BW140" i="138"/>
  <c r="AL140" i="138"/>
  <c r="AF140" i="138"/>
  <c r="AE140" i="138"/>
  <c r="AC140" i="138"/>
  <c r="W140" i="138"/>
  <c r="R140" i="138"/>
  <c r="X140" i="138" s="1"/>
  <c r="Q140" i="138"/>
  <c r="M140" i="138"/>
  <c r="G140" i="138"/>
  <c r="BW139" i="138"/>
  <c r="AE139" i="138"/>
  <c r="AC139" i="138"/>
  <c r="X139" i="138"/>
  <c r="Z139" i="138" s="1"/>
  <c r="W139" i="138"/>
  <c r="R139" i="138"/>
  <c r="Q139" i="138"/>
  <c r="M139" i="138"/>
  <c r="G139" i="138"/>
  <c r="BW138" i="138"/>
  <c r="AL138" i="138"/>
  <c r="AF138" i="138"/>
  <c r="AM138" i="138" s="1"/>
  <c r="AE138" i="138"/>
  <c r="AC138" i="138"/>
  <c r="W138" i="138"/>
  <c r="R138" i="138"/>
  <c r="X138" i="138" s="1"/>
  <c r="Q138" i="138"/>
  <c r="M138" i="138"/>
  <c r="G138" i="138"/>
  <c r="BW137" i="138"/>
  <c r="AE137" i="138"/>
  <c r="AC137" i="138"/>
  <c r="AL137" i="138" s="1"/>
  <c r="Z137" i="138"/>
  <c r="W137" i="138"/>
  <c r="X137" i="138" s="1"/>
  <c r="Y137" i="138" s="1"/>
  <c r="S137" i="138" s="1"/>
  <c r="R137" i="138"/>
  <c r="Q137" i="138"/>
  <c r="M137" i="138"/>
  <c r="G137" i="138"/>
  <c r="BW136" i="138"/>
  <c r="AN136" i="138"/>
  <c r="AL136" i="138"/>
  <c r="AG136" i="138"/>
  <c r="AE136" i="138"/>
  <c r="AC136" i="138"/>
  <c r="AF136" i="138" s="1"/>
  <c r="AM136" i="138" s="1"/>
  <c r="Y136" i="138"/>
  <c r="S136" i="138" s="1"/>
  <c r="W136" i="138"/>
  <c r="R136" i="138"/>
  <c r="X136" i="138" s="1"/>
  <c r="Z136" i="138" s="1"/>
  <c r="Q136" i="138"/>
  <c r="M136" i="138"/>
  <c r="G136" i="138"/>
  <c r="BW135" i="138"/>
  <c r="AE135" i="138"/>
  <c r="AC135" i="138"/>
  <c r="Z135" i="138"/>
  <c r="X135" i="138"/>
  <c r="Y135" i="138" s="1"/>
  <c r="S135" i="138" s="1"/>
  <c r="W135" i="138"/>
  <c r="R135" i="138"/>
  <c r="Q135" i="138"/>
  <c r="M135" i="138"/>
  <c r="G135" i="138"/>
  <c r="BW134" i="138"/>
  <c r="AL134" i="138"/>
  <c r="AF134" i="138"/>
  <c r="AE134" i="138"/>
  <c r="AC134" i="138"/>
  <c r="W134" i="138"/>
  <c r="R134" i="138"/>
  <c r="X134" i="138" s="1"/>
  <c r="Q134" i="138"/>
  <c r="M134" i="138"/>
  <c r="G134" i="138"/>
  <c r="BW133" i="138"/>
  <c r="AL133" i="138"/>
  <c r="AF133" i="138"/>
  <c r="AE133" i="138"/>
  <c r="AC133" i="138"/>
  <c r="W133" i="138"/>
  <c r="X133" i="138" s="1"/>
  <c r="Y133" i="138" s="1"/>
  <c r="S133" i="138" s="1"/>
  <c r="R133" i="138"/>
  <c r="Q133" i="138"/>
  <c r="M133" i="138"/>
  <c r="G133" i="138"/>
  <c r="BW132" i="138"/>
  <c r="AE132" i="138"/>
  <c r="AC132" i="138"/>
  <c r="X132" i="138"/>
  <c r="Z132" i="138" s="1"/>
  <c r="W132" i="138"/>
  <c r="R132" i="138"/>
  <c r="Q132" i="138"/>
  <c r="M132" i="138"/>
  <c r="G132" i="138"/>
  <c r="BW131" i="138"/>
  <c r="AL131" i="138"/>
  <c r="AG131" i="138"/>
  <c r="AE131" i="138"/>
  <c r="AC131" i="138"/>
  <c r="AF131" i="138" s="1"/>
  <c r="AM131" i="138" s="1"/>
  <c r="AO131" i="138" s="1"/>
  <c r="W131" i="138"/>
  <c r="X131" i="138" s="1"/>
  <c r="Y131" i="138" s="1"/>
  <c r="S131" i="138" s="1"/>
  <c r="R131" i="138"/>
  <c r="Q131" i="138"/>
  <c r="M131" i="138"/>
  <c r="G131" i="138"/>
  <c r="BW130" i="138"/>
  <c r="AM130" i="138"/>
  <c r="AL130" i="138"/>
  <c r="AF130" i="138"/>
  <c r="AG130" i="138" s="1"/>
  <c r="AE130" i="138"/>
  <c r="AC130" i="138"/>
  <c r="W130" i="138"/>
  <c r="X130" i="138" s="1"/>
  <c r="Z130" i="138" s="1"/>
  <c r="R130" i="138"/>
  <c r="Q130" i="138"/>
  <c r="M130" i="138"/>
  <c r="G130" i="138"/>
  <c r="BW129" i="138"/>
  <c r="AG129" i="138"/>
  <c r="AF129" i="138"/>
  <c r="AE129" i="138"/>
  <c r="AC129" i="138"/>
  <c r="AL129" i="138" s="1"/>
  <c r="X129" i="138"/>
  <c r="W129" i="138"/>
  <c r="R129" i="138"/>
  <c r="Q129" i="138"/>
  <c r="M129" i="138"/>
  <c r="G129" i="138"/>
  <c r="BW128" i="138"/>
  <c r="AE128" i="138"/>
  <c r="AC128" i="138"/>
  <c r="Y128" i="138"/>
  <c r="S128" i="138" s="1"/>
  <c r="X128" i="138"/>
  <c r="Z128" i="138" s="1"/>
  <c r="W128" i="138"/>
  <c r="R128" i="138"/>
  <c r="Q128" i="138"/>
  <c r="M128" i="138"/>
  <c r="G128" i="138"/>
  <c r="BW127" i="138"/>
  <c r="AL127" i="138"/>
  <c r="AM127" i="138" s="1"/>
  <c r="AG127" i="138"/>
  <c r="AF127" i="138"/>
  <c r="AE127" i="138"/>
  <c r="AC127" i="138"/>
  <c r="W127" i="138"/>
  <c r="X127" i="138" s="1"/>
  <c r="R127" i="138"/>
  <c r="Q127" i="138"/>
  <c r="M127" i="138"/>
  <c r="G127" i="138"/>
  <c r="BW126" i="138"/>
  <c r="AL126" i="138"/>
  <c r="AF126" i="138"/>
  <c r="AM126" i="138" s="1"/>
  <c r="AE126" i="138"/>
  <c r="AC126" i="138"/>
  <c r="W126" i="138"/>
  <c r="R126" i="138"/>
  <c r="X126" i="138" s="1"/>
  <c r="Q126" i="138"/>
  <c r="M126" i="138"/>
  <c r="G126" i="138"/>
  <c r="BW125" i="138"/>
  <c r="AL125" i="138"/>
  <c r="AE125" i="138"/>
  <c r="AC125" i="138"/>
  <c r="AF125" i="138" s="1"/>
  <c r="W125" i="138"/>
  <c r="R125" i="138"/>
  <c r="X125" i="138" s="1"/>
  <c r="Q125" i="138"/>
  <c r="M125" i="138"/>
  <c r="G125" i="138"/>
  <c r="BW124" i="138"/>
  <c r="AL124" i="138"/>
  <c r="AM124" i="138" s="1"/>
  <c r="AG124" i="138"/>
  <c r="AE124" i="138"/>
  <c r="AC124" i="138"/>
  <c r="AF124" i="138" s="1"/>
  <c r="X124" i="138"/>
  <c r="Z124" i="138" s="1"/>
  <c r="W124" i="138"/>
  <c r="R124" i="138"/>
  <c r="Q124" i="138"/>
  <c r="M124" i="138"/>
  <c r="G124" i="138"/>
  <c r="BW123" i="138"/>
  <c r="AL123" i="138"/>
  <c r="AM123" i="138" s="1"/>
  <c r="AG123" i="138"/>
  <c r="AF123" i="138"/>
  <c r="AE123" i="138"/>
  <c r="AC123" i="138"/>
  <c r="X123" i="138"/>
  <c r="Z123" i="138" s="1"/>
  <c r="W123" i="138"/>
  <c r="R123" i="138"/>
  <c r="Q123" i="138"/>
  <c r="M123" i="138"/>
  <c r="G123" i="138"/>
  <c r="BW122" i="138"/>
  <c r="AL122" i="138"/>
  <c r="AF122" i="138"/>
  <c r="AE122" i="138"/>
  <c r="AC122" i="138"/>
  <c r="W122" i="138"/>
  <c r="X122" i="138" s="1"/>
  <c r="R122" i="138"/>
  <c r="AG122" i="138" s="1"/>
  <c r="Q122" i="138"/>
  <c r="M122" i="138"/>
  <c r="G122" i="138"/>
  <c r="BW121" i="138"/>
  <c r="AE121" i="138"/>
  <c r="AC121" i="138"/>
  <c r="AF121" i="138" s="1"/>
  <c r="X121" i="138"/>
  <c r="Y121" i="138" s="1"/>
  <c r="S121" i="138" s="1"/>
  <c r="W121" i="138"/>
  <c r="R121" i="138"/>
  <c r="Q121" i="138"/>
  <c r="M121" i="138"/>
  <c r="G121" i="138"/>
  <c r="BW120" i="138"/>
  <c r="AL120" i="138"/>
  <c r="AG120" i="138"/>
  <c r="AE120" i="138"/>
  <c r="AC120" i="138"/>
  <c r="AF120" i="138" s="1"/>
  <c r="AM120" i="138" s="1"/>
  <c r="Y120" i="138"/>
  <c r="X120" i="138"/>
  <c r="Z120" i="138" s="1"/>
  <c r="W120" i="138"/>
  <c r="S120" i="138"/>
  <c r="R120" i="138"/>
  <c r="Q120" i="138"/>
  <c r="M120" i="138"/>
  <c r="G120" i="138"/>
  <c r="BW119" i="138"/>
  <c r="AM119" i="138"/>
  <c r="AL119" i="138"/>
  <c r="AG119" i="138"/>
  <c r="AF119" i="138"/>
  <c r="AE119" i="138"/>
  <c r="AC119" i="138"/>
  <c r="W119" i="138"/>
  <c r="X119" i="138" s="1"/>
  <c r="R119" i="138"/>
  <c r="Q119" i="138"/>
  <c r="M119" i="138"/>
  <c r="G119" i="138"/>
  <c r="BW118" i="138"/>
  <c r="AE118" i="138"/>
  <c r="AC118" i="138"/>
  <c r="AF118" i="138" s="1"/>
  <c r="X118" i="138"/>
  <c r="Y118" i="138" s="1"/>
  <c r="S118" i="138" s="1"/>
  <c r="W118" i="138"/>
  <c r="R118" i="138"/>
  <c r="Q118" i="138"/>
  <c r="M118" i="138"/>
  <c r="G118" i="138"/>
  <c r="BW117" i="138"/>
  <c r="AN117" i="138"/>
  <c r="AM117" i="138"/>
  <c r="AO117" i="138" s="1"/>
  <c r="AL117" i="138"/>
  <c r="AG117" i="138"/>
  <c r="AF117" i="138"/>
  <c r="AE117" i="138"/>
  <c r="AC117" i="138"/>
  <c r="W117" i="138"/>
  <c r="X117" i="138" s="1"/>
  <c r="R117" i="138"/>
  <c r="Q117" i="138"/>
  <c r="M117" i="138"/>
  <c r="G117" i="138"/>
  <c r="BW116" i="138"/>
  <c r="AN116" i="138"/>
  <c r="AL116" i="138"/>
  <c r="AF116" i="138"/>
  <c r="AM116" i="138" s="1"/>
  <c r="AO116" i="138" s="1"/>
  <c r="AE116" i="138"/>
  <c r="AC116" i="138"/>
  <c r="X116" i="138"/>
  <c r="W116" i="138"/>
  <c r="R116" i="138"/>
  <c r="AG116" i="138" s="1"/>
  <c r="Q116" i="138"/>
  <c r="M116" i="138"/>
  <c r="G116" i="138"/>
  <c r="BW115" i="138"/>
  <c r="AL115" i="138"/>
  <c r="AF115" i="138"/>
  <c r="AM115" i="138" s="1"/>
  <c r="AQ115" i="138" s="1"/>
  <c r="AR115" i="138" s="1"/>
  <c r="AE115" i="138"/>
  <c r="AC115" i="138"/>
  <c r="X115" i="138"/>
  <c r="Y115" i="138" s="1"/>
  <c r="S115" i="138" s="1"/>
  <c r="W115" i="138"/>
  <c r="R115" i="138"/>
  <c r="Q115" i="138"/>
  <c r="M115" i="138"/>
  <c r="G115" i="138"/>
  <c r="BW114" i="138"/>
  <c r="AL114" i="138"/>
  <c r="AM114" i="138" s="1"/>
  <c r="AE114" i="138"/>
  <c r="AC114" i="138"/>
  <c r="AF114" i="138" s="1"/>
  <c r="AG114" i="138" s="1"/>
  <c r="X114" i="138"/>
  <c r="Z114" i="138" s="1"/>
  <c r="W114" i="138"/>
  <c r="R114" i="138"/>
  <c r="Q114" i="138"/>
  <c r="M114" i="138"/>
  <c r="G114" i="138"/>
  <c r="BW113" i="138"/>
  <c r="AN113" i="138"/>
  <c r="AL113" i="138"/>
  <c r="AM113" i="138" s="1"/>
  <c r="AG113" i="138"/>
  <c r="AF113" i="138"/>
  <c r="AE113" i="138"/>
  <c r="AC113" i="138"/>
  <c r="Z113" i="138"/>
  <c r="W113" i="138"/>
  <c r="X113" i="138" s="1"/>
  <c r="Y113" i="138" s="1"/>
  <c r="S113" i="138" s="1"/>
  <c r="R113" i="138"/>
  <c r="Q113" i="138"/>
  <c r="M113" i="138"/>
  <c r="G113" i="138"/>
  <c r="BW112" i="138"/>
  <c r="AL112" i="138"/>
  <c r="AF112" i="138"/>
  <c r="AE112" i="138"/>
  <c r="AD112" i="138"/>
  <c r="W112" i="138"/>
  <c r="R112" i="138"/>
  <c r="Q112" i="138"/>
  <c r="M112" i="138"/>
  <c r="G112" i="138"/>
  <c r="BW111" i="138"/>
  <c r="AL111" i="138"/>
  <c r="AM111" i="138" s="1"/>
  <c r="AG111" i="138"/>
  <c r="AR111" i="138" s="1"/>
  <c r="AF111" i="138"/>
  <c r="AE111" i="138"/>
  <c r="AD111" i="138"/>
  <c r="W111" i="138"/>
  <c r="X111" i="138" s="1"/>
  <c r="R111" i="138"/>
  <c r="Q111" i="138"/>
  <c r="M111" i="138"/>
  <c r="G111" i="138"/>
  <c r="BW110" i="138"/>
  <c r="AL110" i="138"/>
  <c r="AM110" i="138" s="1"/>
  <c r="AF110" i="138"/>
  <c r="AE110" i="138"/>
  <c r="AD110" i="138"/>
  <c r="W110" i="138"/>
  <c r="R110" i="138"/>
  <c r="X110" i="138" s="1"/>
  <c r="Q110" i="138"/>
  <c r="M110" i="138"/>
  <c r="G110" i="138"/>
  <c r="BW109" i="138"/>
  <c r="AM109" i="138"/>
  <c r="AN109" i="138" s="1"/>
  <c r="AL109" i="138"/>
  <c r="AF109" i="138"/>
  <c r="AG109" i="138" s="1"/>
  <c r="AR109" i="138" s="1"/>
  <c r="AE109" i="138"/>
  <c r="AD109" i="138"/>
  <c r="X109" i="138"/>
  <c r="Y109" i="138" s="1"/>
  <c r="S109" i="138" s="1"/>
  <c r="W109" i="138"/>
  <c r="R109" i="138"/>
  <c r="Q109" i="138"/>
  <c r="M109" i="138"/>
  <c r="G109" i="138"/>
  <c r="BW108" i="138"/>
  <c r="AE108" i="138"/>
  <c r="AC108" i="138"/>
  <c r="W108" i="138"/>
  <c r="X108" i="138" s="1"/>
  <c r="R108" i="138"/>
  <c r="Q108" i="138"/>
  <c r="M108" i="138"/>
  <c r="G108" i="138"/>
  <c r="BW107" i="138"/>
  <c r="AL107" i="138"/>
  <c r="AM107" i="138" s="1"/>
  <c r="AF107" i="138"/>
  <c r="AG107" i="138" s="1"/>
  <c r="AE107" i="138"/>
  <c r="AC107" i="138"/>
  <c r="X107" i="138"/>
  <c r="W107" i="138"/>
  <c r="R107" i="138"/>
  <c r="Q107" i="138"/>
  <c r="M107" i="138"/>
  <c r="G107" i="138"/>
  <c r="BW106" i="138"/>
  <c r="AL106" i="138"/>
  <c r="AF106" i="138"/>
  <c r="AE106" i="138"/>
  <c r="AC106" i="138"/>
  <c r="W106" i="138"/>
  <c r="R106" i="138"/>
  <c r="X106" i="138" s="1"/>
  <c r="Q106" i="138"/>
  <c r="M106" i="138"/>
  <c r="G106" i="138"/>
  <c r="BW105" i="138"/>
  <c r="AE105" i="138"/>
  <c r="AC105" i="138"/>
  <c r="AL105" i="138" s="1"/>
  <c r="W105" i="138"/>
  <c r="R105" i="138"/>
  <c r="X105" i="138" s="1"/>
  <c r="Z105" i="138" s="1"/>
  <c r="Q105" i="138"/>
  <c r="M105" i="138"/>
  <c r="G105" i="138"/>
  <c r="BW104" i="138"/>
  <c r="AM104" i="138"/>
  <c r="AL104" i="138"/>
  <c r="AG104" i="138"/>
  <c r="AE104" i="138"/>
  <c r="AC104" i="138"/>
  <c r="AF104" i="138" s="1"/>
  <c r="X104" i="138"/>
  <c r="Z104" i="138" s="1"/>
  <c r="W104" i="138"/>
  <c r="R104" i="138"/>
  <c r="Q104" i="138"/>
  <c r="M104" i="138"/>
  <c r="G104" i="138"/>
  <c r="BW103" i="138"/>
  <c r="AL103" i="138"/>
  <c r="AF103" i="138"/>
  <c r="AM103" i="138" s="1"/>
  <c r="AE103" i="138"/>
  <c r="AC103" i="138"/>
  <c r="W103" i="138"/>
  <c r="R103" i="138"/>
  <c r="X103" i="138" s="1"/>
  <c r="Y103" i="138" s="1"/>
  <c r="S103" i="138" s="1"/>
  <c r="Q103" i="138"/>
  <c r="M103" i="138"/>
  <c r="G103" i="138"/>
  <c r="BW102" i="138"/>
  <c r="AL102" i="138"/>
  <c r="AF102" i="138"/>
  <c r="AE102" i="138"/>
  <c r="AC102" i="138"/>
  <c r="W102" i="138"/>
  <c r="X102" i="138" s="1"/>
  <c r="R102" i="138"/>
  <c r="Q102" i="138"/>
  <c r="M102" i="138"/>
  <c r="G102" i="138"/>
  <c r="BW101" i="138"/>
  <c r="AE101" i="138"/>
  <c r="AC101" i="138"/>
  <c r="X101" i="138"/>
  <c r="Z101" i="138" s="1"/>
  <c r="W101" i="138"/>
  <c r="R101" i="138"/>
  <c r="Q101" i="138"/>
  <c r="M101" i="138"/>
  <c r="G101" i="138"/>
  <c r="BW100" i="138"/>
  <c r="AL100" i="138"/>
  <c r="AM100" i="138" s="1"/>
  <c r="AE100" i="138"/>
  <c r="AC100" i="138"/>
  <c r="AF100" i="138" s="1"/>
  <c r="AG100" i="138" s="1"/>
  <c r="X100" i="138"/>
  <c r="W100" i="138"/>
  <c r="R100" i="138"/>
  <c r="Q100" i="138"/>
  <c r="M100" i="138"/>
  <c r="G100" i="138"/>
  <c r="BW99" i="138"/>
  <c r="AL99" i="138"/>
  <c r="AF99" i="138"/>
  <c r="AE99" i="138"/>
  <c r="AC99" i="138"/>
  <c r="W99" i="138"/>
  <c r="R99" i="138"/>
  <c r="X99" i="138" s="1"/>
  <c r="Q99" i="138"/>
  <c r="M99" i="138"/>
  <c r="G99" i="138"/>
  <c r="BW98" i="138"/>
  <c r="AF98" i="138"/>
  <c r="AE98" i="138"/>
  <c r="AC98" i="138"/>
  <c r="AL98" i="138" s="1"/>
  <c r="Z98" i="138"/>
  <c r="X98" i="138"/>
  <c r="Y98" i="138" s="1"/>
  <c r="S98" i="138" s="1"/>
  <c r="W98" i="138"/>
  <c r="R98" i="138"/>
  <c r="Q98" i="138"/>
  <c r="M98" i="138"/>
  <c r="G98" i="138"/>
  <c r="BW97" i="138"/>
  <c r="AL97" i="138"/>
  <c r="AF97" i="138"/>
  <c r="AE97" i="138"/>
  <c r="AC97" i="138"/>
  <c r="W97" i="138"/>
  <c r="R97" i="138"/>
  <c r="X97" i="138" s="1"/>
  <c r="Q97" i="138"/>
  <c r="M97" i="138"/>
  <c r="G97" i="138"/>
  <c r="BW96" i="138"/>
  <c r="AG96" i="138"/>
  <c r="AE96" i="138"/>
  <c r="AC96" i="138"/>
  <c r="AF96" i="138" s="1"/>
  <c r="Z96" i="138"/>
  <c r="Y96" i="138"/>
  <c r="S96" i="138" s="1"/>
  <c r="W96" i="138"/>
  <c r="X96" i="138" s="1"/>
  <c r="R96" i="138"/>
  <c r="Q96" i="138"/>
  <c r="M96" i="138"/>
  <c r="G96" i="138"/>
  <c r="BW95" i="138"/>
  <c r="AM95" i="138"/>
  <c r="AO95" i="138" s="1"/>
  <c r="AL95" i="138"/>
  <c r="AG95" i="138"/>
  <c r="AF95" i="138"/>
  <c r="AE95" i="138"/>
  <c r="AC95" i="138"/>
  <c r="W95" i="138"/>
  <c r="X95" i="138" s="1"/>
  <c r="R95" i="138"/>
  <c r="Q95" i="138"/>
  <c r="M95" i="138"/>
  <c r="G95" i="138"/>
  <c r="BW94" i="138"/>
  <c r="AE94" i="138"/>
  <c r="AC94" i="138"/>
  <c r="W94" i="138"/>
  <c r="R94" i="138"/>
  <c r="X94" i="138" s="1"/>
  <c r="Q94" i="138"/>
  <c r="M94" i="138"/>
  <c r="G94" i="138"/>
  <c r="BW93" i="138"/>
  <c r="AL93" i="138"/>
  <c r="AE93" i="138"/>
  <c r="AC93" i="138"/>
  <c r="AF93" i="138" s="1"/>
  <c r="X93" i="138"/>
  <c r="W93" i="138"/>
  <c r="R93" i="138"/>
  <c r="Q93" i="138"/>
  <c r="M93" i="138"/>
  <c r="G93" i="138"/>
  <c r="BW92" i="138"/>
  <c r="AE92" i="138"/>
  <c r="AC92" i="138"/>
  <c r="X92" i="138"/>
  <c r="Z92" i="138" s="1"/>
  <c r="W92" i="138"/>
  <c r="R92" i="138"/>
  <c r="Q92" i="138"/>
  <c r="M92" i="138"/>
  <c r="G92" i="138"/>
  <c r="BW91" i="138"/>
  <c r="AM91" i="138"/>
  <c r="AL91" i="138"/>
  <c r="AF91" i="138"/>
  <c r="AG91" i="138" s="1"/>
  <c r="AE91" i="138"/>
  <c r="AC91" i="138"/>
  <c r="Y91" i="138"/>
  <c r="S91" i="138" s="1"/>
  <c r="X91" i="138"/>
  <c r="Z91" i="138" s="1"/>
  <c r="W91" i="138"/>
  <c r="R91" i="138"/>
  <c r="Q91" i="138"/>
  <c r="M91" i="138"/>
  <c r="G91" i="138"/>
  <c r="BW90" i="138"/>
  <c r="AL90" i="138"/>
  <c r="AF90" i="138"/>
  <c r="AE90" i="138"/>
  <c r="AC90" i="138"/>
  <c r="W90" i="138"/>
  <c r="R90" i="138"/>
  <c r="X90" i="138" s="1"/>
  <c r="Q90" i="138"/>
  <c r="M90" i="138"/>
  <c r="G90" i="138"/>
  <c r="BW89" i="138"/>
  <c r="AE89" i="138"/>
  <c r="AC89" i="138"/>
  <c r="AL89" i="138" s="1"/>
  <c r="Y89" i="138"/>
  <c r="S89" i="138" s="1"/>
  <c r="W89" i="138"/>
  <c r="R89" i="138"/>
  <c r="X89" i="138" s="1"/>
  <c r="Z89" i="138" s="1"/>
  <c r="Q89" i="138"/>
  <c r="M89" i="138"/>
  <c r="G89" i="138"/>
  <c r="BW88" i="138"/>
  <c r="AM88" i="138"/>
  <c r="AL88" i="138"/>
  <c r="AG88" i="138"/>
  <c r="AE88" i="138"/>
  <c r="AC88" i="138"/>
  <c r="AF88" i="138" s="1"/>
  <c r="X88" i="138"/>
  <c r="W88" i="138"/>
  <c r="R88" i="138"/>
  <c r="Q88" i="138"/>
  <c r="M88" i="138"/>
  <c r="G88" i="138"/>
  <c r="BW87" i="138"/>
  <c r="AL87" i="138"/>
  <c r="AF87" i="138"/>
  <c r="AE87" i="138"/>
  <c r="AC87" i="138"/>
  <c r="W87" i="138"/>
  <c r="R87" i="138"/>
  <c r="Q87" i="138"/>
  <c r="M87" i="138"/>
  <c r="G87" i="138"/>
  <c r="BW86" i="138"/>
  <c r="AL86" i="138"/>
  <c r="AE86" i="138"/>
  <c r="AC86" i="138"/>
  <c r="AF86" i="138" s="1"/>
  <c r="W86" i="138"/>
  <c r="X86" i="138" s="1"/>
  <c r="R86" i="138"/>
  <c r="Q86" i="138"/>
  <c r="M86" i="138"/>
  <c r="G86" i="138"/>
  <c r="BW85" i="138"/>
  <c r="AE85" i="138"/>
  <c r="AC85" i="138"/>
  <c r="AF85" i="138" s="1"/>
  <c r="X85" i="138"/>
  <c r="W85" i="138"/>
  <c r="R85" i="138"/>
  <c r="Q85" i="138"/>
  <c r="M85" i="138"/>
  <c r="G85" i="138"/>
  <c r="BW84" i="138"/>
  <c r="AL84" i="138"/>
  <c r="AE84" i="138"/>
  <c r="AC84" i="138"/>
  <c r="AF84" i="138" s="1"/>
  <c r="AG84" i="138" s="1"/>
  <c r="X84" i="138"/>
  <c r="W84" i="138"/>
  <c r="R84" i="138"/>
  <c r="Q84" i="138"/>
  <c r="M84" i="138"/>
  <c r="G84" i="138"/>
  <c r="BW83" i="138"/>
  <c r="AL83" i="138"/>
  <c r="AF83" i="138"/>
  <c r="AE83" i="138"/>
  <c r="AC83" i="138"/>
  <c r="W83" i="138"/>
  <c r="R83" i="138"/>
  <c r="X83" i="138" s="1"/>
  <c r="Z83" i="138" s="1"/>
  <c r="Q83" i="138"/>
  <c r="M83" i="138"/>
  <c r="G83" i="138"/>
  <c r="BW82" i="138"/>
  <c r="AG82" i="138"/>
  <c r="AF82" i="138"/>
  <c r="AM82" i="138" s="1"/>
  <c r="AE82" i="138"/>
  <c r="AC82" i="138"/>
  <c r="AL82" i="138" s="1"/>
  <c r="W82" i="138"/>
  <c r="R82" i="138"/>
  <c r="X82" i="138" s="1"/>
  <c r="Y82" i="138" s="1"/>
  <c r="S82" i="138" s="1"/>
  <c r="Q82" i="138"/>
  <c r="M82" i="138"/>
  <c r="G82" i="138"/>
  <c r="BW81" i="138"/>
  <c r="AE81" i="138"/>
  <c r="AC81" i="138"/>
  <c r="AL81" i="138" s="1"/>
  <c r="W81" i="138"/>
  <c r="R81" i="138"/>
  <c r="X81" i="138" s="1"/>
  <c r="Q81" i="138"/>
  <c r="M81" i="138"/>
  <c r="G81" i="138"/>
  <c r="BW80" i="138"/>
  <c r="AE80" i="138"/>
  <c r="AC80" i="138"/>
  <c r="Y80" i="138"/>
  <c r="S80" i="138" s="1"/>
  <c r="W80" i="138"/>
  <c r="X80" i="138" s="1"/>
  <c r="Z80" i="138" s="1"/>
  <c r="R80" i="138"/>
  <c r="Q80" i="138"/>
  <c r="M80" i="138"/>
  <c r="G80" i="138"/>
  <c r="BW79" i="138"/>
  <c r="AL79" i="138"/>
  <c r="AM79" i="138" s="1"/>
  <c r="AG79" i="138"/>
  <c r="AF79" i="138"/>
  <c r="AE79" i="138"/>
  <c r="AC79" i="138"/>
  <c r="W79" i="138"/>
  <c r="X79" i="138" s="1"/>
  <c r="R79" i="138"/>
  <c r="Q79" i="138"/>
  <c r="M79" i="138"/>
  <c r="G79" i="138"/>
  <c r="BW78" i="138"/>
  <c r="AL78" i="138"/>
  <c r="AF78" i="138"/>
  <c r="AE78" i="138"/>
  <c r="AC78" i="138"/>
  <c r="W78" i="138"/>
  <c r="R78" i="138"/>
  <c r="X78" i="138" s="1"/>
  <c r="Q78" i="138"/>
  <c r="M78" i="138"/>
  <c r="G78" i="138"/>
  <c r="BW77" i="138"/>
  <c r="AL77" i="138"/>
  <c r="AF77" i="138"/>
  <c r="AE77" i="138"/>
  <c r="AC77" i="138"/>
  <c r="W77" i="138"/>
  <c r="R77" i="138"/>
  <c r="X77" i="138" s="1"/>
  <c r="Z77" i="138" s="1"/>
  <c r="Q77" i="138"/>
  <c r="M77" i="138"/>
  <c r="G77" i="138"/>
  <c r="BW76" i="138"/>
  <c r="AM76" i="138"/>
  <c r="AL76" i="138"/>
  <c r="AG76" i="138"/>
  <c r="AE76" i="138"/>
  <c r="AC76" i="138"/>
  <c r="AF76" i="138" s="1"/>
  <c r="W76" i="138"/>
  <c r="X76" i="138" s="1"/>
  <c r="R76" i="138"/>
  <c r="Q76" i="138"/>
  <c r="M76" i="138"/>
  <c r="G76" i="138"/>
  <c r="BW75" i="138"/>
  <c r="AM75" i="138"/>
  <c r="AL75" i="138"/>
  <c r="AG75" i="138"/>
  <c r="AF75" i="138"/>
  <c r="AE75" i="138"/>
  <c r="AC75" i="138"/>
  <c r="X75" i="138"/>
  <c r="Y75" i="138" s="1"/>
  <c r="S75" i="138" s="1"/>
  <c r="W75" i="138"/>
  <c r="R75" i="138"/>
  <c r="Q75" i="138"/>
  <c r="M75" i="138"/>
  <c r="G75" i="138"/>
  <c r="BW74" i="138"/>
  <c r="AF74" i="138"/>
  <c r="AE74" i="138"/>
  <c r="AC74" i="138"/>
  <c r="AL74" i="138" s="1"/>
  <c r="W74" i="138"/>
  <c r="R74" i="138"/>
  <c r="Q74" i="138"/>
  <c r="M74" i="138"/>
  <c r="G74" i="138"/>
  <c r="BW73" i="138"/>
  <c r="AE73" i="138"/>
  <c r="AC73" i="138"/>
  <c r="W73" i="138"/>
  <c r="R73" i="138"/>
  <c r="X73" i="138" s="1"/>
  <c r="Q73" i="138"/>
  <c r="M73" i="138"/>
  <c r="G73" i="138"/>
  <c r="BW72" i="138"/>
  <c r="AL72" i="138"/>
  <c r="AG72" i="138"/>
  <c r="AE72" i="138"/>
  <c r="AC72" i="138"/>
  <c r="AF72" i="138" s="1"/>
  <c r="Y72" i="138"/>
  <c r="S72" i="138" s="1"/>
  <c r="W72" i="138"/>
  <c r="X72" i="138" s="1"/>
  <c r="Z72" i="138" s="1"/>
  <c r="R72" i="138"/>
  <c r="Q72" i="138"/>
  <c r="M72" i="138"/>
  <c r="G72" i="138"/>
  <c r="BW71" i="138"/>
  <c r="AQ71" i="138"/>
  <c r="AR71" i="138" s="1"/>
  <c r="AN71" i="138"/>
  <c r="AM71" i="138"/>
  <c r="AL71" i="138"/>
  <c r="AG71" i="138"/>
  <c r="AF71" i="138"/>
  <c r="AE71" i="138"/>
  <c r="AC71" i="138"/>
  <c r="Z71" i="138"/>
  <c r="Y71" i="138"/>
  <c r="S71" i="138" s="1"/>
  <c r="X71" i="138"/>
  <c r="W71" i="138"/>
  <c r="R71" i="138"/>
  <c r="Q71" i="138"/>
  <c r="M71" i="138"/>
  <c r="G71" i="138"/>
  <c r="BW70" i="138"/>
  <c r="AL70" i="138"/>
  <c r="AF70" i="138"/>
  <c r="AE70" i="138"/>
  <c r="AC70" i="138"/>
  <c r="W70" i="138"/>
  <c r="R70" i="138"/>
  <c r="X70" i="138" s="1"/>
  <c r="Q70" i="138"/>
  <c r="M70" i="138"/>
  <c r="G70" i="138"/>
  <c r="BW69" i="138"/>
  <c r="AP69" i="138"/>
  <c r="AM69" i="138"/>
  <c r="AL69" i="138"/>
  <c r="AE69" i="138"/>
  <c r="AC69" i="138"/>
  <c r="AF69" i="138" s="1"/>
  <c r="AG69" i="138" s="1"/>
  <c r="Z69" i="138"/>
  <c r="X69" i="138"/>
  <c r="Y69" i="138" s="1"/>
  <c r="S69" i="138" s="1"/>
  <c r="W69" i="138"/>
  <c r="R69" i="138"/>
  <c r="Q69" i="138"/>
  <c r="M69" i="138"/>
  <c r="G69" i="138"/>
  <c r="BW68" i="138"/>
  <c r="AE68" i="138"/>
  <c r="AC68" i="138"/>
  <c r="AF68" i="138" s="1"/>
  <c r="AG68" i="138" s="1"/>
  <c r="Y68" i="138"/>
  <c r="S68" i="138" s="1"/>
  <c r="X68" i="138"/>
  <c r="Z68" i="138" s="1"/>
  <c r="W68" i="138"/>
  <c r="R68" i="138"/>
  <c r="Q68" i="138"/>
  <c r="M68" i="138"/>
  <c r="G68" i="138"/>
  <c r="BW67" i="138"/>
  <c r="AL67" i="138"/>
  <c r="AF67" i="138"/>
  <c r="AE67" i="138"/>
  <c r="AC67" i="138"/>
  <c r="W67" i="138"/>
  <c r="R67" i="138"/>
  <c r="X67" i="138" s="1"/>
  <c r="Q67" i="138"/>
  <c r="M67" i="138"/>
  <c r="G67" i="138"/>
  <c r="BW66" i="138"/>
  <c r="AE66" i="138"/>
  <c r="AC66" i="138"/>
  <c r="AF66" i="138" s="1"/>
  <c r="X66" i="138"/>
  <c r="W66" i="138"/>
  <c r="R66" i="138"/>
  <c r="Q66" i="138"/>
  <c r="M66" i="138"/>
  <c r="G66" i="138"/>
  <c r="BW65" i="138"/>
  <c r="AE65" i="138"/>
  <c r="AC65" i="138"/>
  <c r="W65" i="138"/>
  <c r="R65" i="138"/>
  <c r="X65" i="138" s="1"/>
  <c r="Q65" i="138"/>
  <c r="M65" i="138"/>
  <c r="G65" i="138"/>
  <c r="BW64" i="138"/>
  <c r="AM64" i="138"/>
  <c r="AL64" i="138"/>
  <c r="AG64" i="138"/>
  <c r="AE64" i="138"/>
  <c r="AC64" i="138"/>
  <c r="AF64" i="138" s="1"/>
  <c r="X64" i="138"/>
  <c r="W64" i="138"/>
  <c r="R64" i="138"/>
  <c r="Q64" i="138"/>
  <c r="M64" i="138"/>
  <c r="G64" i="138"/>
  <c r="BW63" i="138"/>
  <c r="AL63" i="138"/>
  <c r="AF63" i="138"/>
  <c r="AE63" i="138"/>
  <c r="AC63" i="138"/>
  <c r="X63" i="138"/>
  <c r="Y63" i="138" s="1"/>
  <c r="S63" i="138" s="1"/>
  <c r="W63" i="138"/>
  <c r="R63" i="138"/>
  <c r="AG63" i="138" s="1"/>
  <c r="Q63" i="138"/>
  <c r="M63" i="138"/>
  <c r="G63" i="138"/>
  <c r="BW62" i="138"/>
  <c r="AL62" i="138"/>
  <c r="AF62" i="138"/>
  <c r="AE62" i="138"/>
  <c r="AC62" i="138"/>
  <c r="X62" i="138"/>
  <c r="Y62" i="138" s="1"/>
  <c r="W62" i="138"/>
  <c r="S62" i="138"/>
  <c r="R62" i="138"/>
  <c r="Q62" i="138"/>
  <c r="M62" i="138"/>
  <c r="G62" i="138"/>
  <c r="BW61" i="138"/>
  <c r="AL61" i="138"/>
  <c r="AE61" i="138"/>
  <c r="AC61" i="138"/>
  <c r="AF61" i="138" s="1"/>
  <c r="AG61" i="138" s="1"/>
  <c r="Y61" i="138"/>
  <c r="S61" i="138" s="1"/>
  <c r="W61" i="138"/>
  <c r="R61" i="138"/>
  <c r="X61" i="138" s="1"/>
  <c r="Z61" i="138" s="1"/>
  <c r="Q61" i="138"/>
  <c r="M61" i="138"/>
  <c r="G61" i="138"/>
  <c r="BW60" i="138"/>
  <c r="AE60" i="138"/>
  <c r="AC60" i="138"/>
  <c r="AF60" i="138" s="1"/>
  <c r="Z60" i="138"/>
  <c r="Y60" i="138"/>
  <c r="S60" i="138" s="1"/>
  <c r="X60" i="138"/>
  <c r="W60" i="138"/>
  <c r="R60" i="138"/>
  <c r="Q60" i="138"/>
  <c r="M60" i="138"/>
  <c r="G60" i="138"/>
  <c r="BW59" i="138"/>
  <c r="AL59" i="138"/>
  <c r="AF59" i="138"/>
  <c r="AE59" i="138"/>
  <c r="AC59" i="138"/>
  <c r="W59" i="138"/>
  <c r="R59" i="138"/>
  <c r="X59" i="138" s="1"/>
  <c r="Q59" i="138"/>
  <c r="M59" i="138"/>
  <c r="G59" i="138"/>
  <c r="BW58" i="138"/>
  <c r="AE58" i="138"/>
  <c r="AC58" i="138"/>
  <c r="X58" i="138"/>
  <c r="W58" i="138"/>
  <c r="R58" i="138"/>
  <c r="Q58" i="138"/>
  <c r="M58" i="138"/>
  <c r="G58" i="138"/>
  <c r="BW57" i="138"/>
  <c r="AE57" i="138"/>
  <c r="AC57" i="138"/>
  <c r="W57" i="138"/>
  <c r="R57" i="138"/>
  <c r="X57" i="138" s="1"/>
  <c r="Q57" i="138"/>
  <c r="M57" i="138"/>
  <c r="G57" i="138"/>
  <c r="BW56" i="138"/>
  <c r="AL56" i="138"/>
  <c r="AG56" i="138"/>
  <c r="AE56" i="138"/>
  <c r="AC56" i="138"/>
  <c r="AF56" i="138" s="1"/>
  <c r="Y56" i="138"/>
  <c r="S56" i="138" s="1"/>
  <c r="W56" i="138"/>
  <c r="X56" i="138" s="1"/>
  <c r="Z56" i="138" s="1"/>
  <c r="R56" i="138"/>
  <c r="Q56" i="138"/>
  <c r="M56" i="138"/>
  <c r="G56" i="138"/>
  <c r="BW55" i="138"/>
  <c r="AQ55" i="138"/>
  <c r="AR55" i="138" s="1"/>
  <c r="AM55" i="138"/>
  <c r="AN55" i="138" s="1"/>
  <c r="AL55" i="138"/>
  <c r="AG55" i="138"/>
  <c r="AF55" i="138"/>
  <c r="AE55" i="138"/>
  <c r="AC55" i="138"/>
  <c r="Z55" i="138"/>
  <c r="Y55" i="138"/>
  <c r="S55" i="138" s="1"/>
  <c r="X55" i="138"/>
  <c r="W55" i="138"/>
  <c r="R55" i="138"/>
  <c r="Q55" i="138"/>
  <c r="M55" i="138"/>
  <c r="G55" i="138"/>
  <c r="BW54" i="138"/>
  <c r="AL54" i="138"/>
  <c r="AG54" i="138"/>
  <c r="AF54" i="138"/>
  <c r="AE54" i="138"/>
  <c r="AC54" i="138"/>
  <c r="W54" i="138"/>
  <c r="R54" i="138"/>
  <c r="X54" i="138" s="1"/>
  <c r="Q54" i="138"/>
  <c r="M54" i="138"/>
  <c r="G54" i="138"/>
  <c r="BW53" i="138"/>
  <c r="AM53" i="138"/>
  <c r="AL53" i="138"/>
  <c r="AF53" i="138"/>
  <c r="AE53" i="138"/>
  <c r="AC53" i="138"/>
  <c r="X53" i="138"/>
  <c r="Y53" i="138" s="1"/>
  <c r="S53" i="138" s="1"/>
  <c r="W53" i="138"/>
  <c r="R53" i="138"/>
  <c r="Q53" i="138"/>
  <c r="M53" i="138"/>
  <c r="G53" i="138"/>
  <c r="BW52" i="138"/>
  <c r="AE52" i="138"/>
  <c r="AC52" i="138"/>
  <c r="AF52" i="138" s="1"/>
  <c r="AG52" i="138" s="1"/>
  <c r="Y52" i="138"/>
  <c r="S52" i="138" s="1"/>
  <c r="X52" i="138"/>
  <c r="Z52" i="138" s="1"/>
  <c r="W52" i="138"/>
  <c r="R52" i="138"/>
  <c r="Q52" i="138"/>
  <c r="M52" i="138"/>
  <c r="G52" i="138"/>
  <c r="BW51" i="138"/>
  <c r="AM51" i="138"/>
  <c r="AF51" i="138"/>
  <c r="AE51" i="138"/>
  <c r="AC51" i="138"/>
  <c r="AL51" i="138" s="1"/>
  <c r="W51" i="138"/>
  <c r="R51" i="138"/>
  <c r="X51" i="138" s="1"/>
  <c r="Q51" i="138"/>
  <c r="M51" i="138"/>
  <c r="G51" i="138"/>
  <c r="BW50" i="138"/>
  <c r="AE50" i="138"/>
  <c r="AC50" i="138"/>
  <c r="X50" i="138"/>
  <c r="Z50" i="138" s="1"/>
  <c r="W50" i="138"/>
  <c r="R50" i="138"/>
  <c r="Q50" i="138"/>
  <c r="M50" i="138"/>
  <c r="G50" i="138"/>
  <c r="BW49" i="138"/>
  <c r="AF49" i="138"/>
  <c r="AE49" i="138"/>
  <c r="AC49" i="138"/>
  <c r="AL49" i="138" s="1"/>
  <c r="W49" i="138"/>
  <c r="R49" i="138"/>
  <c r="X49" i="138" s="1"/>
  <c r="Q49" i="138"/>
  <c r="M49" i="138"/>
  <c r="G49" i="138"/>
  <c r="BW48" i="138"/>
  <c r="AM48" i="138"/>
  <c r="AL48" i="138"/>
  <c r="AE48" i="138"/>
  <c r="AC48" i="138"/>
  <c r="AF48" i="138" s="1"/>
  <c r="AG48" i="138" s="1"/>
  <c r="X48" i="138"/>
  <c r="Z48" i="138" s="1"/>
  <c r="W48" i="138"/>
  <c r="R48" i="138"/>
  <c r="Q48" i="138"/>
  <c r="M48" i="138"/>
  <c r="G48" i="138"/>
  <c r="BW47" i="138"/>
  <c r="AG47" i="138"/>
  <c r="AF47" i="138"/>
  <c r="AM47" i="138" s="1"/>
  <c r="AE47" i="138"/>
  <c r="AC47" i="138"/>
  <c r="AL47" i="138" s="1"/>
  <c r="W47" i="138"/>
  <c r="R47" i="138"/>
  <c r="X47" i="138" s="1"/>
  <c r="Q47" i="138"/>
  <c r="M47" i="138"/>
  <c r="G47" i="138"/>
  <c r="BW46" i="138"/>
  <c r="AE46" i="138"/>
  <c r="AC46" i="138"/>
  <c r="X46" i="138"/>
  <c r="Z46" i="138" s="1"/>
  <c r="W46" i="138"/>
  <c r="R46" i="138"/>
  <c r="Q46" i="138"/>
  <c r="M46" i="138"/>
  <c r="G46" i="138"/>
  <c r="BW45" i="138"/>
  <c r="AF45" i="138"/>
  <c r="AE45" i="138"/>
  <c r="AC45" i="138"/>
  <c r="AL45" i="138" s="1"/>
  <c r="W45" i="138"/>
  <c r="R45" i="138"/>
  <c r="Q45" i="138"/>
  <c r="M45" i="138"/>
  <c r="G45" i="138"/>
  <c r="BW44" i="138"/>
  <c r="AQ44" i="138"/>
  <c r="AR44" i="138" s="1"/>
  <c r="AM44" i="138"/>
  <c r="AO44" i="138" s="1"/>
  <c r="AL44" i="138"/>
  <c r="AE44" i="138"/>
  <c r="AC44" i="138"/>
  <c r="AF44" i="138" s="1"/>
  <c r="AG44" i="138" s="1"/>
  <c r="X44" i="138"/>
  <c r="Z44" i="138" s="1"/>
  <c r="W44" i="138"/>
  <c r="R44" i="138"/>
  <c r="Q44" i="138"/>
  <c r="M44" i="138"/>
  <c r="G44" i="138"/>
  <c r="BW43" i="138"/>
  <c r="AM43" i="138"/>
  <c r="AG43" i="138"/>
  <c r="AF43" i="138"/>
  <c r="AE43" i="138"/>
  <c r="AC43" i="138"/>
  <c r="AL43" i="138" s="1"/>
  <c r="W43" i="138"/>
  <c r="R43" i="138"/>
  <c r="X43" i="138" s="1"/>
  <c r="Q43" i="138"/>
  <c r="M43" i="138"/>
  <c r="G43" i="138"/>
  <c r="BW42" i="138"/>
  <c r="AE42" i="138"/>
  <c r="AC42" i="138"/>
  <c r="X42" i="138"/>
  <c r="Z42" i="138" s="1"/>
  <c r="W42" i="138"/>
  <c r="R42" i="138"/>
  <c r="Q42" i="138"/>
  <c r="M42" i="138"/>
  <c r="G42" i="138"/>
  <c r="E42" i="138"/>
  <c r="BW41" i="138"/>
  <c r="AL41" i="138"/>
  <c r="AG41" i="138"/>
  <c r="AE41" i="138"/>
  <c r="AC41" i="138"/>
  <c r="AF41" i="138" s="1"/>
  <c r="AM41" i="138" s="1"/>
  <c r="W41" i="138"/>
  <c r="X41" i="138" s="1"/>
  <c r="R41" i="138"/>
  <c r="Q41" i="138"/>
  <c r="M41" i="138"/>
  <c r="G41" i="138"/>
  <c r="BW40" i="138"/>
  <c r="AM40" i="138"/>
  <c r="AL40" i="138"/>
  <c r="AG40" i="138"/>
  <c r="AF40" i="138"/>
  <c r="AE40" i="138"/>
  <c r="AC40" i="138"/>
  <c r="Z40" i="138"/>
  <c r="Y40" i="138"/>
  <c r="S40" i="138" s="1"/>
  <c r="X40" i="138"/>
  <c r="W40" i="138"/>
  <c r="R40" i="138"/>
  <c r="Q40" i="138"/>
  <c r="M40" i="138"/>
  <c r="G40" i="138"/>
  <c r="BW39" i="138"/>
  <c r="AN39" i="138"/>
  <c r="AL39" i="138"/>
  <c r="AG39" i="138"/>
  <c r="AF39" i="138"/>
  <c r="AM39" i="138" s="1"/>
  <c r="AE39" i="138"/>
  <c r="AC39" i="138"/>
  <c r="W39" i="138"/>
  <c r="R39" i="138"/>
  <c r="Q39" i="138"/>
  <c r="M39" i="138"/>
  <c r="G39" i="138"/>
  <c r="BW38" i="138"/>
  <c r="AF38" i="138"/>
  <c r="AE38" i="138"/>
  <c r="AC38" i="138"/>
  <c r="AL38" i="138" s="1"/>
  <c r="W38" i="138"/>
  <c r="R38" i="138"/>
  <c r="X38" i="138" s="1"/>
  <c r="Q38" i="138"/>
  <c r="M38" i="138"/>
  <c r="G38" i="138"/>
  <c r="BW37" i="138"/>
  <c r="AF37" i="138"/>
  <c r="AE37" i="138"/>
  <c r="AC37" i="138"/>
  <c r="AL37" i="138" s="1"/>
  <c r="Z37" i="138"/>
  <c r="W37" i="138"/>
  <c r="R37" i="138"/>
  <c r="X37" i="138" s="1"/>
  <c r="Y37" i="138" s="1"/>
  <c r="S37" i="138" s="1"/>
  <c r="Q37" i="138"/>
  <c r="M37" i="138"/>
  <c r="G37" i="138"/>
  <c r="BW36" i="138"/>
  <c r="AE36" i="138"/>
  <c r="AC36" i="138"/>
  <c r="AF36" i="138" s="1"/>
  <c r="AG36" i="138" s="1"/>
  <c r="X36" i="138"/>
  <c r="Z36" i="138" s="1"/>
  <c r="W36" i="138"/>
  <c r="R36" i="138"/>
  <c r="Q36" i="138"/>
  <c r="M36" i="138"/>
  <c r="G36" i="138"/>
  <c r="BW35" i="138"/>
  <c r="AM35" i="138"/>
  <c r="AL35" i="138"/>
  <c r="AG35" i="138"/>
  <c r="AF35" i="138"/>
  <c r="AE35" i="138"/>
  <c r="AC35" i="138"/>
  <c r="W35" i="138"/>
  <c r="R35" i="138"/>
  <c r="Q35" i="138"/>
  <c r="M35" i="138"/>
  <c r="G35" i="138"/>
  <c r="BW34" i="138"/>
  <c r="AF34" i="138"/>
  <c r="AE34" i="138"/>
  <c r="AC34" i="138"/>
  <c r="AL34" i="138" s="1"/>
  <c r="W34" i="138"/>
  <c r="R34" i="138"/>
  <c r="Q34" i="138"/>
  <c r="M34" i="138"/>
  <c r="G34" i="138"/>
  <c r="BW33" i="138"/>
  <c r="AO33" i="138"/>
  <c r="AN33" i="138"/>
  <c r="AM33" i="138"/>
  <c r="AL33" i="138"/>
  <c r="AF33" i="138"/>
  <c r="AG33" i="138" s="1"/>
  <c r="AR33" i="138" s="1"/>
  <c r="AE33" i="138"/>
  <c r="AD33" i="138"/>
  <c r="X33" i="138"/>
  <c r="AQ33" i="138" s="1"/>
  <c r="W33" i="138"/>
  <c r="R33" i="138"/>
  <c r="Q33" i="138"/>
  <c r="M33" i="138"/>
  <c r="G33" i="138"/>
  <c r="BW32" i="138"/>
  <c r="AL32" i="138"/>
  <c r="AG32" i="138"/>
  <c r="AR32" i="138" s="1"/>
  <c r="AF32" i="138"/>
  <c r="AE32" i="138"/>
  <c r="AD32" i="138"/>
  <c r="W32" i="138"/>
  <c r="R32" i="138"/>
  <c r="Q32" i="138"/>
  <c r="M32" i="138"/>
  <c r="G32" i="138"/>
  <c r="BW31" i="138"/>
  <c r="AF31" i="138"/>
  <c r="AE31" i="138"/>
  <c r="AC31" i="138"/>
  <c r="AL31" i="138" s="1"/>
  <c r="W31" i="138"/>
  <c r="R31" i="138"/>
  <c r="Q31" i="138"/>
  <c r="M31" i="138"/>
  <c r="G31" i="138"/>
  <c r="BW30" i="138"/>
  <c r="AF30" i="138"/>
  <c r="AE30" i="138"/>
  <c r="AC30" i="138"/>
  <c r="AL30" i="138" s="1"/>
  <c r="W30" i="138"/>
  <c r="R30" i="138"/>
  <c r="X30" i="138" s="1"/>
  <c r="Z30" i="138" s="1"/>
  <c r="Q30" i="138"/>
  <c r="M30" i="138"/>
  <c r="G30" i="138"/>
  <c r="BW29" i="138"/>
  <c r="AE29" i="138"/>
  <c r="AC29" i="138"/>
  <c r="AF29" i="138" s="1"/>
  <c r="AG29" i="138" s="1"/>
  <c r="W29" i="138"/>
  <c r="X29" i="138" s="1"/>
  <c r="R29" i="138"/>
  <c r="Q29" i="138"/>
  <c r="M29" i="138"/>
  <c r="G29" i="138"/>
  <c r="BW28" i="138"/>
  <c r="AM28" i="138"/>
  <c r="AL28" i="138"/>
  <c r="AG28" i="138"/>
  <c r="AF28" i="138"/>
  <c r="AE28" i="138"/>
  <c r="AC28" i="138"/>
  <c r="W28" i="138"/>
  <c r="R28" i="138"/>
  <c r="Q28" i="138"/>
  <c r="M28" i="138"/>
  <c r="G28" i="138"/>
  <c r="BW27" i="138"/>
  <c r="AP27" i="138"/>
  <c r="AL27" i="138"/>
  <c r="AG27" i="138"/>
  <c r="AR27" i="138" s="1"/>
  <c r="AF27" i="138"/>
  <c r="AM27" i="138" s="1"/>
  <c r="AN27" i="138" s="1"/>
  <c r="AE27" i="138"/>
  <c r="AD27" i="138"/>
  <c r="W27" i="138"/>
  <c r="R27" i="138"/>
  <c r="X27" i="138" s="1"/>
  <c r="Y27" i="138" s="1"/>
  <c r="S27" i="138" s="1"/>
  <c r="Q27" i="138"/>
  <c r="M27" i="138"/>
  <c r="G27" i="138"/>
  <c r="BW26" i="138"/>
  <c r="AL26" i="138"/>
  <c r="AM26" i="138" s="1"/>
  <c r="AG26" i="138"/>
  <c r="AR26" i="138" s="1"/>
  <c r="AF26" i="138"/>
  <c r="AE26" i="138"/>
  <c r="AD26" i="138"/>
  <c r="X26" i="138"/>
  <c r="Z26" i="138" s="1"/>
  <c r="W26" i="138"/>
  <c r="R26" i="138"/>
  <c r="Q26" i="138"/>
  <c r="M26" i="138"/>
  <c r="G26" i="138"/>
  <c r="BW25" i="138"/>
  <c r="AL25" i="138"/>
  <c r="AF25" i="138"/>
  <c r="AM25" i="138" s="1"/>
  <c r="AE25" i="138"/>
  <c r="AC25" i="138"/>
  <c r="W25" i="138"/>
  <c r="R25" i="138"/>
  <c r="X25" i="138" s="1"/>
  <c r="Q25" i="138"/>
  <c r="M25" i="138"/>
  <c r="G25" i="138"/>
  <c r="BW24" i="138"/>
  <c r="AP24" i="138"/>
  <c r="AO24" i="138"/>
  <c r="AG24" i="138"/>
  <c r="AF24" i="138"/>
  <c r="AM24" i="138" s="1"/>
  <c r="AN24" i="138" s="1"/>
  <c r="AE24" i="138"/>
  <c r="AC24" i="138"/>
  <c r="AL24" i="138" s="1"/>
  <c r="W24" i="138"/>
  <c r="R24" i="138"/>
  <c r="X24" i="138" s="1"/>
  <c r="Q24" i="138"/>
  <c r="M24" i="138"/>
  <c r="G24" i="138"/>
  <c r="BW23" i="138"/>
  <c r="AM23" i="138"/>
  <c r="AQ23" i="138" s="1"/>
  <c r="AL23" i="138"/>
  <c r="AF23" i="138"/>
  <c r="AG23" i="138" s="1"/>
  <c r="AR23" i="138" s="1"/>
  <c r="AE23" i="138"/>
  <c r="AD23" i="138"/>
  <c r="Y23" i="138"/>
  <c r="S23" i="138" s="1"/>
  <c r="X23" i="138"/>
  <c r="Z23" i="138" s="1"/>
  <c r="W23" i="138"/>
  <c r="R23" i="138"/>
  <c r="Q23" i="138"/>
  <c r="M23" i="138"/>
  <c r="G23" i="138"/>
  <c r="BW22" i="138"/>
  <c r="AL22" i="138"/>
  <c r="AF22" i="138"/>
  <c r="AM22" i="138" s="1"/>
  <c r="AE22" i="138"/>
  <c r="AD22" i="138"/>
  <c r="W22" i="138"/>
  <c r="X22" i="138" s="1"/>
  <c r="R22" i="138"/>
  <c r="Q22" i="138"/>
  <c r="M22" i="138"/>
  <c r="G22" i="138"/>
  <c r="BW21" i="138"/>
  <c r="AE21" i="138"/>
  <c r="AC21" i="138"/>
  <c r="AL21" i="138" s="1"/>
  <c r="W21" i="138"/>
  <c r="R21" i="138"/>
  <c r="Q21" i="138"/>
  <c r="M21" i="138"/>
  <c r="G21" i="138"/>
  <c r="BW20" i="138"/>
  <c r="AE20" i="138"/>
  <c r="AC20" i="138"/>
  <c r="AL20" i="138" s="1"/>
  <c r="W20" i="138"/>
  <c r="R20" i="138"/>
  <c r="X20" i="138" s="1"/>
  <c r="Q20" i="138"/>
  <c r="M20" i="138"/>
  <c r="G20" i="138"/>
  <c r="BW19" i="138"/>
  <c r="AL19" i="138"/>
  <c r="AF19" i="138"/>
  <c r="AM19" i="138" s="1"/>
  <c r="AE19" i="138"/>
  <c r="AD19" i="138"/>
  <c r="W19" i="138"/>
  <c r="R19" i="138"/>
  <c r="X19" i="138" s="1"/>
  <c r="Q19" i="138"/>
  <c r="M19" i="138"/>
  <c r="G19" i="138"/>
  <c r="BW18" i="138"/>
  <c r="AO18" i="138"/>
  <c r="AL18" i="138"/>
  <c r="AF18" i="138"/>
  <c r="AM18" i="138" s="1"/>
  <c r="AN18" i="138" s="1"/>
  <c r="AE18" i="138"/>
  <c r="AD18" i="138"/>
  <c r="W18" i="138"/>
  <c r="S18" i="138"/>
  <c r="R18" i="138"/>
  <c r="X18" i="138" s="1"/>
  <c r="Y18" i="138" s="1"/>
  <c r="Q18" i="138"/>
  <c r="M18" i="138"/>
  <c r="G18" i="138"/>
  <c r="BW17" i="138"/>
  <c r="AL17" i="138"/>
  <c r="AF17" i="138"/>
  <c r="AG17" i="138" s="1"/>
  <c r="AE17" i="138"/>
  <c r="AC17" i="138"/>
  <c r="W17" i="138"/>
  <c r="R17" i="138"/>
  <c r="X17" i="138" s="1"/>
  <c r="Q17" i="138"/>
  <c r="M17" i="138"/>
  <c r="G17" i="138"/>
  <c r="BW16" i="138"/>
  <c r="AL16" i="138"/>
  <c r="AE16" i="138"/>
  <c r="AC16" i="138"/>
  <c r="AF16" i="138" s="1"/>
  <c r="AG16" i="138" s="1"/>
  <c r="W16" i="138"/>
  <c r="X16" i="138" s="1"/>
  <c r="R16" i="138"/>
  <c r="Q16" i="138"/>
  <c r="M16" i="138"/>
  <c r="G16" i="138"/>
  <c r="BW15" i="138"/>
  <c r="AL15" i="138"/>
  <c r="AF15" i="138"/>
  <c r="AM15" i="138" s="1"/>
  <c r="AE15" i="138"/>
  <c r="AC15" i="138"/>
  <c r="X15" i="138"/>
  <c r="Z15" i="138" s="1"/>
  <c r="W15" i="138"/>
  <c r="R15" i="138"/>
  <c r="Q15" i="138"/>
  <c r="M15" i="138"/>
  <c r="G15" i="138"/>
  <c r="BW14" i="138"/>
  <c r="AM14" i="138"/>
  <c r="AQ14" i="138" s="1"/>
  <c r="AR14" i="138" s="1"/>
  <c r="AL14" i="138"/>
  <c r="AF14" i="138"/>
  <c r="AG14" i="138" s="1"/>
  <c r="AE14" i="138"/>
  <c r="AC14" i="138"/>
  <c r="X14" i="138"/>
  <c r="Z14" i="138" s="1"/>
  <c r="W14" i="138"/>
  <c r="R14" i="138"/>
  <c r="Q14" i="138"/>
  <c r="M14" i="138"/>
  <c r="G14" i="138"/>
  <c r="BW13" i="138"/>
  <c r="AL13" i="138"/>
  <c r="AF13" i="138"/>
  <c r="AM13" i="138" s="1"/>
  <c r="AN13" i="138" s="1"/>
  <c r="AE13" i="138"/>
  <c r="AC13" i="138"/>
  <c r="W13" i="138"/>
  <c r="R13" i="138"/>
  <c r="X13" i="138" s="1"/>
  <c r="Q13" i="138"/>
  <c r="M13" i="138"/>
  <c r="G13" i="138"/>
  <c r="BW12" i="138"/>
  <c r="AE12" i="138"/>
  <c r="AC12" i="138"/>
  <c r="AL12" i="138" s="1"/>
  <c r="W12" i="138"/>
  <c r="R12" i="138"/>
  <c r="Q12" i="138"/>
  <c r="M12" i="138"/>
  <c r="G12" i="138"/>
  <c r="BW11" i="138"/>
  <c r="AE11" i="138"/>
  <c r="AC11" i="138"/>
  <c r="AL11" i="138" s="1"/>
  <c r="Z11" i="138"/>
  <c r="W11" i="138"/>
  <c r="R11" i="138"/>
  <c r="X11" i="138" s="1"/>
  <c r="Y11" i="138" s="1"/>
  <c r="S11" i="138" s="1"/>
  <c r="Q11" i="138"/>
  <c r="M11" i="138"/>
  <c r="G11" i="138"/>
  <c r="BW10" i="138"/>
  <c r="AF10" i="138"/>
  <c r="AG10" i="138" s="1"/>
  <c r="AE10" i="138"/>
  <c r="AC10" i="138"/>
  <c r="AL10" i="138" s="1"/>
  <c r="X10" i="138"/>
  <c r="Z10" i="138" s="1"/>
  <c r="W10" i="138"/>
  <c r="R10" i="138"/>
  <c r="Q10" i="138"/>
  <c r="M10" i="138"/>
  <c r="G10" i="138"/>
  <c r="BW9" i="138"/>
  <c r="AL9" i="138"/>
  <c r="AM9" i="138" s="1"/>
  <c r="AE9" i="138"/>
  <c r="AC9" i="138"/>
  <c r="AF9" i="138" s="1"/>
  <c r="AG9" i="138" s="1"/>
  <c r="W9" i="138"/>
  <c r="X9" i="138" s="1"/>
  <c r="R9" i="138"/>
  <c r="Q9" i="138"/>
  <c r="M9" i="138"/>
  <c r="G9" i="138"/>
  <c r="BW8" i="138"/>
  <c r="AG8" i="138"/>
  <c r="AE8" i="138"/>
  <c r="AC8" i="138"/>
  <c r="AF8" i="138" s="1"/>
  <c r="Z8" i="138"/>
  <c r="Y8" i="138"/>
  <c r="S8" i="138" s="1"/>
  <c r="X8" i="138"/>
  <c r="W8" i="138"/>
  <c r="R8" i="138"/>
  <c r="Q8" i="138"/>
  <c r="M8" i="138"/>
  <c r="G8" i="138"/>
  <c r="BW7" i="138"/>
  <c r="AL7" i="138"/>
  <c r="AE7" i="138"/>
  <c r="AC7" i="138"/>
  <c r="AF7" i="138" s="1"/>
  <c r="W7" i="138"/>
  <c r="X7" i="138" s="1"/>
  <c r="R7" i="138"/>
  <c r="Q7" i="138"/>
  <c r="M7" i="138"/>
  <c r="G7" i="138"/>
  <c r="BW6" i="138"/>
  <c r="AL6" i="138"/>
  <c r="AF6" i="138"/>
  <c r="AM6" i="138" s="1"/>
  <c r="AE6" i="138"/>
  <c r="AC6" i="138"/>
  <c r="W6" i="138"/>
  <c r="R6" i="138"/>
  <c r="X6" i="138" s="1"/>
  <c r="Q6" i="138"/>
  <c r="M6" i="138"/>
  <c r="G6" i="138"/>
  <c r="BW5" i="138"/>
  <c r="AE5" i="138"/>
  <c r="AC5" i="138"/>
  <c r="AL5" i="138" s="1"/>
  <c r="W5" i="138"/>
  <c r="R5" i="138"/>
  <c r="X5" i="138" s="1"/>
  <c r="Q5" i="138"/>
  <c r="M5" i="138"/>
  <c r="G5" i="138"/>
  <c r="BW4" i="138"/>
  <c r="BT4" i="138" a="1"/>
  <c r="BT4" i="138" s="1"/>
  <c r="AE4" i="138"/>
  <c r="AC4" i="138"/>
  <c r="AL4" i="138" s="1"/>
  <c r="W4" i="138"/>
  <c r="R4" i="138"/>
  <c r="X4" i="138" s="1"/>
  <c r="Q4" i="138"/>
  <c r="M4" i="138"/>
  <c r="G4" i="138"/>
  <c r="BW3" i="138"/>
  <c r="N188" i="137"/>
  <c r="N190" i="137" s="1"/>
  <c r="BW185" i="137"/>
  <c r="AL185" i="137"/>
  <c r="AF185" i="137"/>
  <c r="AE185" i="137"/>
  <c r="W185" i="137"/>
  <c r="R185" i="137"/>
  <c r="X185" i="137" s="1"/>
  <c r="Z185" i="137" s="1"/>
  <c r="Q185" i="137"/>
  <c r="M185" i="137"/>
  <c r="G185" i="137"/>
  <c r="E185" i="137"/>
  <c r="BW184" i="137"/>
  <c r="AL184" i="137"/>
  <c r="AF184" i="137"/>
  <c r="AE184" i="137"/>
  <c r="W184" i="137"/>
  <c r="R184" i="137"/>
  <c r="X184" i="137" s="1"/>
  <c r="Q184" i="137"/>
  <c r="M184" i="137"/>
  <c r="G184" i="137"/>
  <c r="E184" i="137"/>
  <c r="BW183" i="137"/>
  <c r="AE183" i="137"/>
  <c r="AC183" i="137"/>
  <c r="AF183" i="137" s="1"/>
  <c r="W183" i="137"/>
  <c r="R183" i="137"/>
  <c r="Q183" i="137"/>
  <c r="M183" i="137"/>
  <c r="G183" i="137"/>
  <c r="E183" i="137"/>
  <c r="BW182" i="137"/>
  <c r="AE182" i="137"/>
  <c r="AC182" i="137"/>
  <c r="AL182" i="137" s="1"/>
  <c r="W182" i="137"/>
  <c r="R182" i="137"/>
  <c r="Q182" i="137"/>
  <c r="M182" i="137"/>
  <c r="G182" i="137"/>
  <c r="E182" i="137"/>
  <c r="BW181" i="137"/>
  <c r="AE181" i="137"/>
  <c r="AC181" i="137"/>
  <c r="AW181" i="137" s="1"/>
  <c r="BB181" i="137" s="1"/>
  <c r="W181" i="137"/>
  <c r="R181" i="137"/>
  <c r="Q181" i="137"/>
  <c r="N181" i="137"/>
  <c r="M181" i="137"/>
  <c r="G181" i="137"/>
  <c r="E181" i="137"/>
  <c r="BW180" i="137"/>
  <c r="AE180" i="137"/>
  <c r="AC180" i="137"/>
  <c r="AL180" i="137" s="1"/>
  <c r="W180" i="137"/>
  <c r="R180" i="137"/>
  <c r="Q180" i="137"/>
  <c r="N180" i="137"/>
  <c r="M180" i="137"/>
  <c r="G180" i="137"/>
  <c r="BW179" i="137"/>
  <c r="AE179" i="137"/>
  <c r="AC179" i="137"/>
  <c r="AL179" i="137" s="1"/>
  <c r="W179" i="137"/>
  <c r="R179" i="137"/>
  <c r="Q179" i="137"/>
  <c r="N179" i="137"/>
  <c r="M179" i="137"/>
  <c r="G179" i="137"/>
  <c r="BW178" i="137"/>
  <c r="AU178" i="137"/>
  <c r="AE178" i="137"/>
  <c r="AC178" i="137"/>
  <c r="W178" i="137"/>
  <c r="R178" i="137"/>
  <c r="Q178" i="137"/>
  <c r="M178" i="137"/>
  <c r="G178" i="137"/>
  <c r="BW177" i="137"/>
  <c r="AU177" i="137"/>
  <c r="AE177" i="137"/>
  <c r="AC177" i="137"/>
  <c r="W177" i="137"/>
  <c r="R177" i="137"/>
  <c r="Q177" i="137"/>
  <c r="M177" i="137"/>
  <c r="G177" i="137"/>
  <c r="BW176" i="137"/>
  <c r="AE176" i="137"/>
  <c r="AC176" i="137"/>
  <c r="AL176" i="137" s="1"/>
  <c r="W176" i="137"/>
  <c r="R176" i="137"/>
  <c r="Q176" i="137"/>
  <c r="N176" i="137"/>
  <c r="M176" i="137"/>
  <c r="G176" i="137"/>
  <c r="BW175" i="137"/>
  <c r="AE175" i="137"/>
  <c r="AC175" i="137"/>
  <c r="AF175" i="137" s="1"/>
  <c r="W175" i="137"/>
  <c r="R175" i="137"/>
  <c r="Q175" i="137"/>
  <c r="N175" i="137"/>
  <c r="M175" i="137"/>
  <c r="G175" i="137"/>
  <c r="E175" i="137"/>
  <c r="BW174" i="137"/>
  <c r="AE174" i="137"/>
  <c r="AC174" i="137"/>
  <c r="AL174" i="137" s="1"/>
  <c r="W174" i="137"/>
  <c r="R174" i="137"/>
  <c r="Q174" i="137"/>
  <c r="M174" i="137"/>
  <c r="G174" i="137"/>
  <c r="BW173" i="137"/>
  <c r="AE173" i="137"/>
  <c r="AC173" i="137"/>
  <c r="AF173" i="137" s="1"/>
  <c r="W173" i="137"/>
  <c r="R173" i="137"/>
  <c r="Q173" i="137"/>
  <c r="M173" i="137"/>
  <c r="G173" i="137"/>
  <c r="BW172" i="137"/>
  <c r="AE172" i="137"/>
  <c r="AC172" i="137"/>
  <c r="AF172" i="137" s="1"/>
  <c r="W172" i="137"/>
  <c r="R172" i="137"/>
  <c r="Q172" i="137"/>
  <c r="M172" i="137"/>
  <c r="G172" i="137"/>
  <c r="BW171" i="137"/>
  <c r="AE171" i="137"/>
  <c r="AC171" i="137"/>
  <c r="AF171" i="137" s="1"/>
  <c r="W171" i="137"/>
  <c r="R171" i="137"/>
  <c r="Q171" i="137"/>
  <c r="M171" i="137"/>
  <c r="G171" i="137"/>
  <c r="BW170" i="137"/>
  <c r="AE170" i="137"/>
  <c r="AC170" i="137"/>
  <c r="AF170" i="137" s="1"/>
  <c r="W170" i="137"/>
  <c r="R170" i="137"/>
  <c r="Q170" i="137"/>
  <c r="M170" i="137"/>
  <c r="G170" i="137"/>
  <c r="BW169" i="137"/>
  <c r="AE169" i="137"/>
  <c r="AC169" i="137"/>
  <c r="W169" i="137"/>
  <c r="R169" i="137"/>
  <c r="Q169" i="137"/>
  <c r="M169" i="137"/>
  <c r="G169" i="137"/>
  <c r="AL168" i="137"/>
  <c r="AF168" i="137"/>
  <c r="AE168" i="137"/>
  <c r="W168" i="137"/>
  <c r="R168" i="137"/>
  <c r="Q168" i="137"/>
  <c r="M168" i="137"/>
  <c r="BW167" i="137"/>
  <c r="AE167" i="137"/>
  <c r="AC167" i="137"/>
  <c r="W167" i="137"/>
  <c r="R167" i="137"/>
  <c r="Q167" i="137"/>
  <c r="M167" i="137"/>
  <c r="G167" i="137"/>
  <c r="BW166" i="137"/>
  <c r="AE166" i="137"/>
  <c r="AC166" i="137"/>
  <c r="AF166" i="137" s="1"/>
  <c r="W166" i="137"/>
  <c r="R166" i="137"/>
  <c r="Q166" i="137"/>
  <c r="M166" i="137"/>
  <c r="G166" i="137"/>
  <c r="BW165" i="137"/>
  <c r="AE165" i="137"/>
  <c r="AC165" i="137"/>
  <c r="AF165" i="137" s="1"/>
  <c r="W165" i="137"/>
  <c r="R165" i="137"/>
  <c r="Q165" i="137"/>
  <c r="M165" i="137"/>
  <c r="G165" i="137"/>
  <c r="BW164" i="137"/>
  <c r="AE164" i="137"/>
  <c r="AC164" i="137"/>
  <c r="AF164" i="137" s="1"/>
  <c r="W164" i="137"/>
  <c r="R164" i="137"/>
  <c r="Q164" i="137"/>
  <c r="M164" i="137"/>
  <c r="G164" i="137"/>
  <c r="BW163" i="137"/>
  <c r="AE163" i="137"/>
  <c r="AC163" i="137"/>
  <c r="AL163" i="137" s="1"/>
  <c r="W163" i="137"/>
  <c r="R163" i="137"/>
  <c r="Q163" i="137"/>
  <c r="M163" i="137"/>
  <c r="G163" i="137"/>
  <c r="BW162" i="137"/>
  <c r="AE162" i="137"/>
  <c r="AC162" i="137"/>
  <c r="AL162" i="137" s="1"/>
  <c r="W162" i="137"/>
  <c r="R162" i="137"/>
  <c r="Q162" i="137"/>
  <c r="M162" i="137"/>
  <c r="G162" i="137"/>
  <c r="BW161" i="137"/>
  <c r="AE161" i="137"/>
  <c r="AC161" i="137"/>
  <c r="AF161" i="137" s="1"/>
  <c r="W161" i="137"/>
  <c r="R161" i="137"/>
  <c r="Q161" i="137"/>
  <c r="M161" i="137"/>
  <c r="G161" i="137"/>
  <c r="BW160" i="137"/>
  <c r="AE160" i="137"/>
  <c r="AC160" i="137"/>
  <c r="AL160" i="137" s="1"/>
  <c r="W160" i="137"/>
  <c r="R160" i="137"/>
  <c r="Q160" i="137"/>
  <c r="M160" i="137"/>
  <c r="G160" i="137"/>
  <c r="BW159" i="137"/>
  <c r="AE159" i="137"/>
  <c r="AC159" i="137"/>
  <c r="AF159" i="137" s="1"/>
  <c r="W159" i="137"/>
  <c r="R159" i="137"/>
  <c r="Q159" i="137"/>
  <c r="M159" i="137"/>
  <c r="G159" i="137"/>
  <c r="BW158" i="137"/>
  <c r="AE158" i="137"/>
  <c r="AC158" i="137"/>
  <c r="AF158" i="137" s="1"/>
  <c r="W158" i="137"/>
  <c r="R158" i="137"/>
  <c r="Q158" i="137"/>
  <c r="M158" i="137"/>
  <c r="G158" i="137"/>
  <c r="BW157" i="137"/>
  <c r="AE157" i="137"/>
  <c r="AC157" i="137"/>
  <c r="AF157" i="137" s="1"/>
  <c r="W157" i="137"/>
  <c r="R157" i="137"/>
  <c r="Q157" i="137"/>
  <c r="M157" i="137"/>
  <c r="G157" i="137"/>
  <c r="BW156" i="137"/>
  <c r="AE156" i="137"/>
  <c r="AC156" i="137"/>
  <c r="AL156" i="137" s="1"/>
  <c r="W156" i="137"/>
  <c r="R156" i="137"/>
  <c r="Q156" i="137"/>
  <c r="M156" i="137"/>
  <c r="G156" i="137"/>
  <c r="BW155" i="137"/>
  <c r="AE155" i="137"/>
  <c r="AC155" i="137"/>
  <c r="AF155" i="137" s="1"/>
  <c r="W155" i="137"/>
  <c r="R155" i="137"/>
  <c r="Q155" i="137"/>
  <c r="M155" i="137"/>
  <c r="G155" i="137"/>
  <c r="BW154" i="137"/>
  <c r="AE154" i="137"/>
  <c r="AC154" i="137"/>
  <c r="AL154" i="137" s="1"/>
  <c r="W154" i="137"/>
  <c r="R154" i="137"/>
  <c r="X154" i="137" s="1"/>
  <c r="Y154" i="137" s="1"/>
  <c r="S154" i="137" s="1"/>
  <c r="Q154" i="137"/>
  <c r="M154" i="137"/>
  <c r="G154" i="137"/>
  <c r="BW153" i="137"/>
  <c r="AE153" i="137"/>
  <c r="AC153" i="137"/>
  <c r="AF153" i="137" s="1"/>
  <c r="W153" i="137"/>
  <c r="R153" i="137"/>
  <c r="X153" i="137" s="1"/>
  <c r="Y153" i="137" s="1"/>
  <c r="S153" i="137" s="1"/>
  <c r="Q153" i="137"/>
  <c r="M153" i="137"/>
  <c r="G153" i="137"/>
  <c r="BW152" i="137"/>
  <c r="AU152" i="137"/>
  <c r="AE152" i="137"/>
  <c r="AC152" i="137"/>
  <c r="W152" i="137"/>
  <c r="R152" i="137"/>
  <c r="Q152" i="137"/>
  <c r="M152" i="137"/>
  <c r="G152" i="137"/>
  <c r="BW151" i="137"/>
  <c r="AU151" i="137"/>
  <c r="AE151" i="137"/>
  <c r="AC151" i="137"/>
  <c r="AF151" i="137" s="1"/>
  <c r="W151" i="137"/>
  <c r="R151" i="137"/>
  <c r="Q151" i="137"/>
  <c r="M151" i="137"/>
  <c r="G151" i="137"/>
  <c r="BW150" i="137"/>
  <c r="AU150" i="137"/>
  <c r="AE150" i="137"/>
  <c r="AC150" i="137"/>
  <c r="AW150" i="137" s="1"/>
  <c r="AX150" i="137" s="1"/>
  <c r="BH150" i="137" s="1"/>
  <c r="W150" i="137"/>
  <c r="R150" i="137"/>
  <c r="Q150" i="137"/>
  <c r="N150" i="137"/>
  <c r="M150" i="137"/>
  <c r="G150" i="137"/>
  <c r="BW149" i="137"/>
  <c r="AU149" i="137"/>
  <c r="AE149" i="137"/>
  <c r="AC149" i="137"/>
  <c r="AW149" i="137" s="1"/>
  <c r="W149" i="137"/>
  <c r="R149" i="137"/>
  <c r="Q149" i="137"/>
  <c r="N149" i="137"/>
  <c r="M149" i="137"/>
  <c r="G149" i="137"/>
  <c r="BW148" i="137"/>
  <c r="AU148" i="137"/>
  <c r="AE148" i="137"/>
  <c r="AC148" i="137"/>
  <c r="AL148" i="137" s="1"/>
  <c r="W148" i="137"/>
  <c r="R148" i="137"/>
  <c r="Q148" i="137"/>
  <c r="M148" i="137"/>
  <c r="G148" i="137"/>
  <c r="BW147" i="137"/>
  <c r="AU147" i="137"/>
  <c r="AE147" i="137"/>
  <c r="AC147" i="137"/>
  <c r="AF147" i="137" s="1"/>
  <c r="W147" i="137"/>
  <c r="R147" i="137"/>
  <c r="Q147" i="137"/>
  <c r="M147" i="137"/>
  <c r="G147" i="137"/>
  <c r="BW146" i="137"/>
  <c r="BN146" i="137"/>
  <c r="BB146" i="137"/>
  <c r="AU146" i="137"/>
  <c r="AE146" i="137"/>
  <c r="AC146" i="137"/>
  <c r="AF146" i="137" s="1"/>
  <c r="W146" i="137"/>
  <c r="R146" i="137"/>
  <c r="Q146" i="137"/>
  <c r="M146" i="137"/>
  <c r="G146" i="137"/>
  <c r="BW145" i="137"/>
  <c r="BN145" i="137"/>
  <c r="BB145" i="137"/>
  <c r="AU145" i="137"/>
  <c r="AE145" i="137"/>
  <c r="AC145" i="137"/>
  <c r="AF145" i="137" s="1"/>
  <c r="W145" i="137"/>
  <c r="R145" i="137"/>
  <c r="Q145" i="137"/>
  <c r="M145" i="137"/>
  <c r="G145" i="137"/>
  <c r="BW144" i="137"/>
  <c r="AU144" i="137"/>
  <c r="AE144" i="137"/>
  <c r="AC144" i="137"/>
  <c r="AW144" i="137" s="1"/>
  <c r="BB144" i="137" s="1"/>
  <c r="W144" i="137"/>
  <c r="R144" i="137"/>
  <c r="Q144" i="137"/>
  <c r="M144" i="137"/>
  <c r="G144" i="137"/>
  <c r="BW143" i="137"/>
  <c r="AU143" i="137"/>
  <c r="AE143" i="137"/>
  <c r="AC143" i="137"/>
  <c r="AL143" i="137" s="1"/>
  <c r="W143" i="137"/>
  <c r="R143" i="137"/>
  <c r="Q143" i="137"/>
  <c r="M143" i="137"/>
  <c r="G143" i="137"/>
  <c r="BW142" i="137"/>
  <c r="AU142" i="137"/>
  <c r="AE142" i="137"/>
  <c r="AC142" i="137"/>
  <c r="AL142" i="137" s="1"/>
  <c r="W142" i="137"/>
  <c r="R142" i="137"/>
  <c r="Q142" i="137"/>
  <c r="M142" i="137"/>
  <c r="G142" i="137"/>
  <c r="BW141" i="137"/>
  <c r="AU141" i="137"/>
  <c r="AE141" i="137"/>
  <c r="AC141" i="137"/>
  <c r="AW141" i="137" s="1"/>
  <c r="BB141" i="137" s="1"/>
  <c r="W141" i="137"/>
  <c r="R141" i="137"/>
  <c r="Q141" i="137"/>
  <c r="M141" i="137"/>
  <c r="G141" i="137"/>
  <c r="BW140" i="137"/>
  <c r="AU140" i="137"/>
  <c r="AE140" i="137"/>
  <c r="AC140" i="137"/>
  <c r="AL140" i="137" s="1"/>
  <c r="W140" i="137"/>
  <c r="R140" i="137"/>
  <c r="Q140" i="137"/>
  <c r="M140" i="137"/>
  <c r="G140" i="137"/>
  <c r="BW139" i="137"/>
  <c r="AU139" i="137"/>
  <c r="AE139" i="137"/>
  <c r="AC139" i="137"/>
  <c r="AL139" i="137" s="1"/>
  <c r="W139" i="137"/>
  <c r="R139" i="137"/>
  <c r="Q139" i="137"/>
  <c r="M139" i="137"/>
  <c r="G139" i="137"/>
  <c r="BW138" i="137"/>
  <c r="AU138" i="137"/>
  <c r="AE138" i="137"/>
  <c r="AC138" i="137"/>
  <c r="AL138" i="137" s="1"/>
  <c r="W138" i="137"/>
  <c r="R138" i="137"/>
  <c r="Q138" i="137"/>
  <c r="M138" i="137"/>
  <c r="G138" i="137"/>
  <c r="BW137" i="137"/>
  <c r="AE137" i="137"/>
  <c r="AC137" i="137"/>
  <c r="AL137" i="137" s="1"/>
  <c r="W137" i="137"/>
  <c r="R137" i="137"/>
  <c r="Q137" i="137"/>
  <c r="M137" i="137"/>
  <c r="G137" i="137"/>
  <c r="BW136" i="137"/>
  <c r="AE136" i="137"/>
  <c r="AC136" i="137"/>
  <c r="W136" i="137"/>
  <c r="R136" i="137"/>
  <c r="Q136" i="137"/>
  <c r="M136" i="137"/>
  <c r="G136" i="137"/>
  <c r="BW135" i="137"/>
  <c r="AE135" i="137"/>
  <c r="AC135" i="137"/>
  <c r="AL135" i="137" s="1"/>
  <c r="W135" i="137"/>
  <c r="R135" i="137"/>
  <c r="Q135" i="137"/>
  <c r="M135" i="137"/>
  <c r="G135" i="137"/>
  <c r="BW134" i="137"/>
  <c r="AE134" i="137"/>
  <c r="AC134" i="137"/>
  <c r="AL134" i="137" s="1"/>
  <c r="W134" i="137"/>
  <c r="R134" i="137"/>
  <c r="Q134" i="137"/>
  <c r="M134" i="137"/>
  <c r="G134" i="137"/>
  <c r="BW133" i="137"/>
  <c r="AE133" i="137"/>
  <c r="AC133" i="137"/>
  <c r="AL133" i="137" s="1"/>
  <c r="W133" i="137"/>
  <c r="R133" i="137"/>
  <c r="Q133" i="137"/>
  <c r="M133" i="137"/>
  <c r="G133" i="137"/>
  <c r="BW132" i="137"/>
  <c r="AE132" i="137"/>
  <c r="AC132" i="137"/>
  <c r="AF132" i="137" s="1"/>
  <c r="W132" i="137"/>
  <c r="R132" i="137"/>
  <c r="Q132" i="137"/>
  <c r="M132" i="137"/>
  <c r="G132" i="137"/>
  <c r="BW131" i="137"/>
  <c r="AE131" i="137"/>
  <c r="AC131" i="137"/>
  <c r="AL131" i="137" s="1"/>
  <c r="W131" i="137"/>
  <c r="R131" i="137"/>
  <c r="Q131" i="137"/>
  <c r="M131" i="137"/>
  <c r="G131" i="137"/>
  <c r="BW130" i="137"/>
  <c r="AE130" i="137"/>
  <c r="AC130" i="137"/>
  <c r="W130" i="137"/>
  <c r="R130" i="137"/>
  <c r="Q130" i="137"/>
  <c r="M130" i="137"/>
  <c r="G130" i="137"/>
  <c r="BW129" i="137"/>
  <c r="AE129" i="137"/>
  <c r="AC129" i="137"/>
  <c r="AF129" i="137" s="1"/>
  <c r="W129" i="137"/>
  <c r="R129" i="137"/>
  <c r="Q129" i="137"/>
  <c r="M129" i="137"/>
  <c r="G129" i="137"/>
  <c r="BW128" i="137"/>
  <c r="AE128" i="137"/>
  <c r="AC128" i="137"/>
  <c r="W128" i="137"/>
  <c r="R128" i="137"/>
  <c r="Q128" i="137"/>
  <c r="M128" i="137"/>
  <c r="G128" i="137"/>
  <c r="BW127" i="137"/>
  <c r="AE127" i="137"/>
  <c r="AC127" i="137"/>
  <c r="W127" i="137"/>
  <c r="R127" i="137"/>
  <c r="Q127" i="137"/>
  <c r="M127" i="137"/>
  <c r="G127" i="137"/>
  <c r="BW126" i="137"/>
  <c r="AE126" i="137"/>
  <c r="AC126" i="137"/>
  <c r="AF126" i="137" s="1"/>
  <c r="W126" i="137"/>
  <c r="R126" i="137"/>
  <c r="Q126" i="137"/>
  <c r="M126" i="137"/>
  <c r="G126" i="137"/>
  <c r="BW125" i="137"/>
  <c r="AE125" i="137"/>
  <c r="AC125" i="137"/>
  <c r="AF125" i="137" s="1"/>
  <c r="W125" i="137"/>
  <c r="R125" i="137"/>
  <c r="Q125" i="137"/>
  <c r="M125" i="137"/>
  <c r="G125" i="137"/>
  <c r="BW124" i="137"/>
  <c r="AE124" i="137"/>
  <c r="AC124" i="137"/>
  <c r="AL124" i="137" s="1"/>
  <c r="W124" i="137"/>
  <c r="R124" i="137"/>
  <c r="Q124" i="137"/>
  <c r="M124" i="137"/>
  <c r="G124" i="137"/>
  <c r="BW123" i="137"/>
  <c r="AE123" i="137"/>
  <c r="AC123" i="137"/>
  <c r="AF123" i="137" s="1"/>
  <c r="W123" i="137"/>
  <c r="R123" i="137"/>
  <c r="Q123" i="137"/>
  <c r="M123" i="137"/>
  <c r="G123" i="137"/>
  <c r="BW122" i="137"/>
  <c r="AE122" i="137"/>
  <c r="AC122" i="137"/>
  <c r="AF122" i="137" s="1"/>
  <c r="W122" i="137"/>
  <c r="R122" i="137"/>
  <c r="Q122" i="137"/>
  <c r="M122" i="137"/>
  <c r="G122" i="137"/>
  <c r="BW121" i="137"/>
  <c r="AE121" i="137"/>
  <c r="AC121" i="137"/>
  <c r="AF121" i="137" s="1"/>
  <c r="W121" i="137"/>
  <c r="R121" i="137"/>
  <c r="Q121" i="137"/>
  <c r="M121" i="137"/>
  <c r="G121" i="137"/>
  <c r="BW120" i="137"/>
  <c r="AE120" i="137"/>
  <c r="AC120" i="137"/>
  <c r="AL120" i="137" s="1"/>
  <c r="W120" i="137"/>
  <c r="R120" i="137"/>
  <c r="Q120" i="137"/>
  <c r="M120" i="137"/>
  <c r="G120" i="137"/>
  <c r="BW119" i="137"/>
  <c r="AE119" i="137"/>
  <c r="AC119" i="137"/>
  <c r="AF119" i="137" s="1"/>
  <c r="W119" i="137"/>
  <c r="R119" i="137"/>
  <c r="Q119" i="137"/>
  <c r="M119" i="137"/>
  <c r="G119" i="137"/>
  <c r="BW118" i="137"/>
  <c r="AE118" i="137"/>
  <c r="AC118" i="137"/>
  <c r="AL118" i="137" s="1"/>
  <c r="W118" i="137"/>
  <c r="R118" i="137"/>
  <c r="Q118" i="137"/>
  <c r="M118" i="137"/>
  <c r="G118" i="137"/>
  <c r="BW117" i="137"/>
  <c r="AE117" i="137"/>
  <c r="AC117" i="137"/>
  <c r="AF117" i="137" s="1"/>
  <c r="AG117" i="137" s="1"/>
  <c r="W117" i="137"/>
  <c r="R117" i="137"/>
  <c r="Q117" i="137"/>
  <c r="M117" i="137"/>
  <c r="G117" i="137"/>
  <c r="BW116" i="137"/>
  <c r="AE116" i="137"/>
  <c r="AC116" i="137"/>
  <c r="AL116" i="137" s="1"/>
  <c r="W116" i="137"/>
  <c r="R116" i="137"/>
  <c r="Q116" i="137"/>
  <c r="M116" i="137"/>
  <c r="G116" i="137"/>
  <c r="BW115" i="137"/>
  <c r="AE115" i="137"/>
  <c r="AC115" i="137"/>
  <c r="W115" i="137"/>
  <c r="R115" i="137"/>
  <c r="Q115" i="137"/>
  <c r="M115" i="137"/>
  <c r="G115" i="137"/>
  <c r="BW114" i="137"/>
  <c r="AE114" i="137"/>
  <c r="AC114" i="137"/>
  <c r="AL114" i="137" s="1"/>
  <c r="W114" i="137"/>
  <c r="R114" i="137"/>
  <c r="Q114" i="137"/>
  <c r="M114" i="137"/>
  <c r="G114" i="137"/>
  <c r="BW113" i="137"/>
  <c r="AE113" i="137"/>
  <c r="AC113" i="137"/>
  <c r="AF113" i="137" s="1"/>
  <c r="W113" i="137"/>
  <c r="R113" i="137"/>
  <c r="Q113" i="137"/>
  <c r="M113" i="137"/>
  <c r="G113" i="137"/>
  <c r="BW112" i="137"/>
  <c r="AE112" i="137"/>
  <c r="AC112" i="137"/>
  <c r="AF112" i="137" s="1"/>
  <c r="W112" i="137"/>
  <c r="R112" i="137"/>
  <c r="Q112" i="137"/>
  <c r="M112" i="137"/>
  <c r="G112" i="137"/>
  <c r="BW111" i="137"/>
  <c r="AE111" i="137"/>
  <c r="AC111" i="137"/>
  <c r="AF111" i="137" s="1"/>
  <c r="W111" i="137"/>
  <c r="R111" i="137"/>
  <c r="Q111" i="137"/>
  <c r="M111" i="137"/>
  <c r="G111" i="137"/>
  <c r="BW110" i="137"/>
  <c r="AE110" i="137"/>
  <c r="AC110" i="137"/>
  <c r="AF110" i="137" s="1"/>
  <c r="W110" i="137"/>
  <c r="R110" i="137"/>
  <c r="Q110" i="137"/>
  <c r="M110" i="137"/>
  <c r="G110" i="137"/>
  <c r="BW109" i="137"/>
  <c r="AE109" i="137"/>
  <c r="AC109" i="137"/>
  <c r="AF109" i="137" s="1"/>
  <c r="W109" i="137"/>
  <c r="R109" i="137"/>
  <c r="Q109" i="137"/>
  <c r="M109" i="137"/>
  <c r="G109" i="137"/>
  <c r="BW108" i="137"/>
  <c r="AE108" i="137"/>
  <c r="AC108" i="137"/>
  <c r="AL108" i="137" s="1"/>
  <c r="W108" i="137"/>
  <c r="R108" i="137"/>
  <c r="Q108" i="137"/>
  <c r="M108" i="137"/>
  <c r="G108" i="137"/>
  <c r="BW107" i="137"/>
  <c r="AE107" i="137"/>
  <c r="AC107" i="137"/>
  <c r="AF107" i="137" s="1"/>
  <c r="W107" i="137"/>
  <c r="R107" i="137"/>
  <c r="Q107" i="137"/>
  <c r="M107" i="137"/>
  <c r="G107" i="137"/>
  <c r="BW106" i="137"/>
  <c r="AE106" i="137"/>
  <c r="AC106" i="137"/>
  <c r="AF106" i="137" s="1"/>
  <c r="W106" i="137"/>
  <c r="R106" i="137"/>
  <c r="Q106" i="137"/>
  <c r="M106" i="137"/>
  <c r="G106" i="137"/>
  <c r="BW105" i="137"/>
  <c r="AE105" i="137"/>
  <c r="AC105" i="137"/>
  <c r="AF105" i="137" s="1"/>
  <c r="W105" i="137"/>
  <c r="R105" i="137"/>
  <c r="Q105" i="137"/>
  <c r="M105" i="137"/>
  <c r="G105" i="137"/>
  <c r="BW104" i="137"/>
  <c r="AE104" i="137"/>
  <c r="AC104" i="137"/>
  <c r="AL104" i="137" s="1"/>
  <c r="W104" i="137"/>
  <c r="R104" i="137"/>
  <c r="Q104" i="137"/>
  <c r="M104" i="137"/>
  <c r="G104" i="137"/>
  <c r="BW103" i="137"/>
  <c r="AE103" i="137"/>
  <c r="AC103" i="137"/>
  <c r="AF103" i="137" s="1"/>
  <c r="W103" i="137"/>
  <c r="R103" i="137"/>
  <c r="Q103" i="137"/>
  <c r="M103" i="137"/>
  <c r="G103" i="137"/>
  <c r="BW102" i="137"/>
  <c r="AE102" i="137"/>
  <c r="AC102" i="137"/>
  <c r="AL102" i="137" s="1"/>
  <c r="W102" i="137"/>
  <c r="R102" i="137"/>
  <c r="Q102" i="137"/>
  <c r="M102" i="137"/>
  <c r="G102" i="137"/>
  <c r="BW101" i="137"/>
  <c r="AE101" i="137"/>
  <c r="AC101" i="137"/>
  <c r="AF101" i="137" s="1"/>
  <c r="W101" i="137"/>
  <c r="R101" i="137"/>
  <c r="Q101" i="137"/>
  <c r="M101" i="137"/>
  <c r="G101" i="137"/>
  <c r="BW100" i="137"/>
  <c r="AE100" i="137"/>
  <c r="AC100" i="137"/>
  <c r="AL100" i="137" s="1"/>
  <c r="W100" i="137"/>
  <c r="R100" i="137"/>
  <c r="Q100" i="137"/>
  <c r="M100" i="137"/>
  <c r="G100" i="137"/>
  <c r="BW99" i="137"/>
  <c r="AE99" i="137"/>
  <c r="AC99" i="137"/>
  <c r="AF99" i="137" s="1"/>
  <c r="AG99" i="137" s="1"/>
  <c r="W99" i="137"/>
  <c r="R99" i="137"/>
  <c r="Q99" i="137"/>
  <c r="M99" i="137"/>
  <c r="G99" i="137"/>
  <c r="BW98" i="137"/>
  <c r="AE98" i="137"/>
  <c r="AC98" i="137"/>
  <c r="AF98" i="137" s="1"/>
  <c r="W98" i="137"/>
  <c r="R98" i="137"/>
  <c r="Q98" i="137"/>
  <c r="M98" i="137"/>
  <c r="G98" i="137"/>
  <c r="BW97" i="137"/>
  <c r="AE97" i="137"/>
  <c r="AC97" i="137"/>
  <c r="W97" i="137"/>
  <c r="R97" i="137"/>
  <c r="X97" i="137" s="1"/>
  <c r="Q97" i="137"/>
  <c r="M97" i="137"/>
  <c r="G97" i="137"/>
  <c r="BW96" i="137"/>
  <c r="AE96" i="137"/>
  <c r="AC96" i="137"/>
  <c r="AL96" i="137" s="1"/>
  <c r="W96" i="137"/>
  <c r="R96" i="137"/>
  <c r="X96" i="137" s="1"/>
  <c r="Y96" i="137" s="1"/>
  <c r="S96" i="137" s="1"/>
  <c r="Q96" i="137"/>
  <c r="M96" i="137"/>
  <c r="G96" i="137"/>
  <c r="BW95" i="137"/>
  <c r="AE95" i="137"/>
  <c r="AC95" i="137"/>
  <c r="AF95" i="137" s="1"/>
  <c r="W95" i="137"/>
  <c r="R95" i="137"/>
  <c r="Q95" i="137"/>
  <c r="M95" i="137"/>
  <c r="G95" i="137"/>
  <c r="BW94" i="137"/>
  <c r="AF94" i="137"/>
  <c r="AE94" i="137"/>
  <c r="AC94" i="137"/>
  <c r="AL94" i="137" s="1"/>
  <c r="W94" i="137"/>
  <c r="R94" i="137"/>
  <c r="Q94" i="137"/>
  <c r="M94" i="137"/>
  <c r="G94" i="137"/>
  <c r="BW93" i="137"/>
  <c r="AE93" i="137"/>
  <c r="AC93" i="137"/>
  <c r="AF93" i="137" s="1"/>
  <c r="W93" i="137"/>
  <c r="R93" i="137"/>
  <c r="Q93" i="137"/>
  <c r="M93" i="137"/>
  <c r="G93" i="137"/>
  <c r="BW92" i="137"/>
  <c r="AE92" i="137"/>
  <c r="AC92" i="137"/>
  <c r="AF92" i="137" s="1"/>
  <c r="W92" i="137"/>
  <c r="R92" i="137"/>
  <c r="Q92" i="137"/>
  <c r="M92" i="137"/>
  <c r="G92" i="137"/>
  <c r="BW91" i="137"/>
  <c r="AE91" i="137"/>
  <c r="AC91" i="137"/>
  <c r="W91" i="137"/>
  <c r="R91" i="137"/>
  <c r="Q91" i="137"/>
  <c r="M91" i="137"/>
  <c r="G91" i="137"/>
  <c r="BW90" i="137"/>
  <c r="AE90" i="137"/>
  <c r="AC90" i="137"/>
  <c r="AF90" i="137" s="1"/>
  <c r="W90" i="137"/>
  <c r="R90" i="137"/>
  <c r="Q90" i="137"/>
  <c r="M90" i="137"/>
  <c r="G90" i="137"/>
  <c r="BW89" i="137"/>
  <c r="AE89" i="137"/>
  <c r="AC89" i="137"/>
  <c r="AL89" i="137" s="1"/>
  <c r="W89" i="137"/>
  <c r="R89" i="137"/>
  <c r="Q89" i="137"/>
  <c r="M89" i="137"/>
  <c r="G89" i="137"/>
  <c r="BW88" i="137"/>
  <c r="AE88" i="137"/>
  <c r="AC88" i="137"/>
  <c r="AL88" i="137" s="1"/>
  <c r="W88" i="137"/>
  <c r="R88" i="137"/>
  <c r="Q88" i="137"/>
  <c r="M88" i="137"/>
  <c r="G88" i="137"/>
  <c r="BW87" i="137"/>
  <c r="AE87" i="137"/>
  <c r="AC87" i="137"/>
  <c r="AF87" i="137" s="1"/>
  <c r="W87" i="137"/>
  <c r="R87" i="137"/>
  <c r="Q87" i="137"/>
  <c r="M87" i="137"/>
  <c r="G87" i="137"/>
  <c r="BW86" i="137"/>
  <c r="AE86" i="137"/>
  <c r="AC86" i="137"/>
  <c r="W86" i="137"/>
  <c r="R86" i="137"/>
  <c r="Q86" i="137"/>
  <c r="M86" i="137"/>
  <c r="G86" i="137"/>
  <c r="BW85" i="137"/>
  <c r="AE85" i="137"/>
  <c r="AC85" i="137"/>
  <c r="AF85" i="137" s="1"/>
  <c r="W85" i="137"/>
  <c r="R85" i="137"/>
  <c r="Q85" i="137"/>
  <c r="M85" i="137"/>
  <c r="G85" i="137"/>
  <c r="BW84" i="137"/>
  <c r="AE84" i="137"/>
  <c r="AC84" i="137"/>
  <c r="W84" i="137"/>
  <c r="R84" i="137"/>
  <c r="Q84" i="137"/>
  <c r="M84" i="137"/>
  <c r="G84" i="137"/>
  <c r="BW83" i="137"/>
  <c r="AE83" i="137"/>
  <c r="AC83" i="137"/>
  <c r="AF83" i="137" s="1"/>
  <c r="W83" i="137"/>
  <c r="R83" i="137"/>
  <c r="Q83" i="137"/>
  <c r="M83" i="137"/>
  <c r="G83" i="137"/>
  <c r="BW82" i="137"/>
  <c r="AE82" i="137"/>
  <c r="AC82" i="137"/>
  <c r="AL82" i="137" s="1"/>
  <c r="W82" i="137"/>
  <c r="R82" i="137"/>
  <c r="Q82" i="137"/>
  <c r="M82" i="137"/>
  <c r="G82" i="137"/>
  <c r="BW81" i="137"/>
  <c r="AE81" i="137"/>
  <c r="AC81" i="137"/>
  <c r="AL81" i="137" s="1"/>
  <c r="W81" i="137"/>
  <c r="R81" i="137"/>
  <c r="Q81" i="137"/>
  <c r="M81" i="137"/>
  <c r="G81" i="137"/>
  <c r="BW80" i="137"/>
  <c r="AE80" i="137"/>
  <c r="AC80" i="137"/>
  <c r="W80" i="137"/>
  <c r="R80" i="137"/>
  <c r="Q80" i="137"/>
  <c r="M80" i="137"/>
  <c r="G80" i="137"/>
  <c r="BW79" i="137"/>
  <c r="AE79" i="137"/>
  <c r="AC79" i="137"/>
  <c r="AF79" i="137" s="1"/>
  <c r="W79" i="137"/>
  <c r="R79" i="137"/>
  <c r="Q79" i="137"/>
  <c r="M79" i="137"/>
  <c r="G79" i="137"/>
  <c r="BW78" i="137"/>
  <c r="AE78" i="137"/>
  <c r="AC78" i="137"/>
  <c r="AL78" i="137" s="1"/>
  <c r="W78" i="137"/>
  <c r="R78" i="137"/>
  <c r="Q78" i="137"/>
  <c r="M78" i="137"/>
  <c r="G78" i="137"/>
  <c r="BW77" i="137"/>
  <c r="AE77" i="137"/>
  <c r="AC77" i="137"/>
  <c r="AF77" i="137" s="1"/>
  <c r="W77" i="137"/>
  <c r="R77" i="137"/>
  <c r="Q77" i="137"/>
  <c r="M77" i="137"/>
  <c r="G77" i="137"/>
  <c r="BW76" i="137"/>
  <c r="AE76" i="137"/>
  <c r="AC76" i="137"/>
  <c r="AF76" i="137" s="1"/>
  <c r="W76" i="137"/>
  <c r="R76" i="137"/>
  <c r="Q76" i="137"/>
  <c r="M76" i="137"/>
  <c r="G76" i="137"/>
  <c r="BW75" i="137"/>
  <c r="AE75" i="137"/>
  <c r="AC75" i="137"/>
  <c r="W75" i="137"/>
  <c r="R75" i="137"/>
  <c r="Q75" i="137"/>
  <c r="M75" i="137"/>
  <c r="G75" i="137"/>
  <c r="BW74" i="137"/>
  <c r="AE74" i="137"/>
  <c r="AC74" i="137"/>
  <c r="W74" i="137"/>
  <c r="R74" i="137"/>
  <c r="Q74" i="137"/>
  <c r="M74" i="137"/>
  <c r="G74" i="137"/>
  <c r="BW73" i="137"/>
  <c r="AE73" i="137"/>
  <c r="AC73" i="137"/>
  <c r="AF73" i="137" s="1"/>
  <c r="W73" i="137"/>
  <c r="R73" i="137"/>
  <c r="Q73" i="137"/>
  <c r="M73" i="137"/>
  <c r="G73" i="137"/>
  <c r="BW72" i="137"/>
  <c r="AE72" i="137"/>
  <c r="AC72" i="137"/>
  <c r="W72" i="137"/>
  <c r="R72" i="137"/>
  <c r="Q72" i="137"/>
  <c r="M72" i="137"/>
  <c r="G72" i="137"/>
  <c r="BW71" i="137"/>
  <c r="AE71" i="137"/>
  <c r="AC71" i="137"/>
  <c r="AF71" i="137" s="1"/>
  <c r="W71" i="137"/>
  <c r="R71" i="137"/>
  <c r="Q71" i="137"/>
  <c r="M71" i="137"/>
  <c r="G71" i="137"/>
  <c r="BW70" i="137"/>
  <c r="AE70" i="137"/>
  <c r="AC70" i="137"/>
  <c r="AL70" i="137" s="1"/>
  <c r="W70" i="137"/>
  <c r="R70" i="137"/>
  <c r="Q70" i="137"/>
  <c r="M70" i="137"/>
  <c r="G70" i="137"/>
  <c r="BW69" i="137"/>
  <c r="AE69" i="137"/>
  <c r="AC69" i="137"/>
  <c r="AF69" i="137" s="1"/>
  <c r="W69" i="137"/>
  <c r="R69" i="137"/>
  <c r="Q69" i="137"/>
  <c r="M69" i="137"/>
  <c r="G69" i="137"/>
  <c r="BW68" i="137"/>
  <c r="AE68" i="137"/>
  <c r="AC68" i="137"/>
  <c r="W68" i="137"/>
  <c r="R68" i="137"/>
  <c r="Q68" i="137"/>
  <c r="M68" i="137"/>
  <c r="G68" i="137"/>
  <c r="BW67" i="137"/>
  <c r="AE67" i="137"/>
  <c r="AC67" i="137"/>
  <c r="W67" i="137"/>
  <c r="R67" i="137"/>
  <c r="Q67" i="137"/>
  <c r="M67" i="137"/>
  <c r="G67" i="137"/>
  <c r="BW66" i="137"/>
  <c r="AE66" i="137"/>
  <c r="AC66" i="137"/>
  <c r="AL66" i="137" s="1"/>
  <c r="W66" i="137"/>
  <c r="R66" i="137"/>
  <c r="Q66" i="137"/>
  <c r="M66" i="137"/>
  <c r="G66" i="137"/>
  <c r="BW65" i="137"/>
  <c r="AE65" i="137"/>
  <c r="AC65" i="137"/>
  <c r="W65" i="137"/>
  <c r="R65" i="137"/>
  <c r="Q65" i="137"/>
  <c r="M65" i="137"/>
  <c r="G65" i="137"/>
  <c r="BW64" i="137"/>
  <c r="AE64" i="137"/>
  <c r="AC64" i="137"/>
  <c r="W64" i="137"/>
  <c r="R64" i="137"/>
  <c r="Q64" i="137"/>
  <c r="M64" i="137"/>
  <c r="G64" i="137"/>
  <c r="BW63" i="137"/>
  <c r="AE63" i="137"/>
  <c r="AC63" i="137"/>
  <c r="W63" i="137"/>
  <c r="R63" i="137"/>
  <c r="Q63" i="137"/>
  <c r="M63" i="137"/>
  <c r="G63" i="137"/>
  <c r="BW62" i="137"/>
  <c r="AE62" i="137"/>
  <c r="AC62" i="137"/>
  <c r="AL62" i="137" s="1"/>
  <c r="W62" i="137"/>
  <c r="R62" i="137"/>
  <c r="Q62" i="137"/>
  <c r="M62" i="137"/>
  <c r="G62" i="137"/>
  <c r="BW61" i="137"/>
  <c r="AE61" i="137"/>
  <c r="AC61" i="137"/>
  <c r="W61" i="137"/>
  <c r="R61" i="137"/>
  <c r="Q61" i="137"/>
  <c r="M61" i="137"/>
  <c r="G61" i="137"/>
  <c r="BW60" i="137"/>
  <c r="AE60" i="137"/>
  <c r="AC60" i="137"/>
  <c r="AF60" i="137" s="1"/>
  <c r="W60" i="137"/>
  <c r="R60" i="137"/>
  <c r="Q60" i="137"/>
  <c r="M60" i="137"/>
  <c r="G60" i="137"/>
  <c r="BW59" i="137"/>
  <c r="AE59" i="137"/>
  <c r="AC59" i="137"/>
  <c r="W59" i="137"/>
  <c r="R59" i="137"/>
  <c r="Q59" i="137"/>
  <c r="M59" i="137"/>
  <c r="G59" i="137"/>
  <c r="BW58" i="137"/>
  <c r="AE58" i="137"/>
  <c r="AC58" i="137"/>
  <c r="W58" i="137"/>
  <c r="R58" i="137"/>
  <c r="Q58" i="137"/>
  <c r="M58" i="137"/>
  <c r="G58" i="137"/>
  <c r="BW57" i="137"/>
  <c r="AE57" i="137"/>
  <c r="AC57" i="137"/>
  <c r="W57" i="137"/>
  <c r="R57" i="137"/>
  <c r="Q57" i="137"/>
  <c r="M57" i="137"/>
  <c r="G57" i="137"/>
  <c r="BW56" i="137"/>
  <c r="AE56" i="137"/>
  <c r="AC56" i="137"/>
  <c r="AF56" i="137" s="1"/>
  <c r="W56" i="137"/>
  <c r="R56" i="137"/>
  <c r="Q56" i="137"/>
  <c r="M56" i="137"/>
  <c r="G56" i="137"/>
  <c r="BW55" i="137"/>
  <c r="AE55" i="137"/>
  <c r="AC55" i="137"/>
  <c r="AF55" i="137" s="1"/>
  <c r="W55" i="137"/>
  <c r="R55" i="137"/>
  <c r="Q55" i="137"/>
  <c r="M55" i="137"/>
  <c r="G55" i="137"/>
  <c r="BW54" i="137"/>
  <c r="AE54" i="137"/>
  <c r="AC54" i="137"/>
  <c r="AF54" i="137" s="1"/>
  <c r="W54" i="137"/>
  <c r="R54" i="137"/>
  <c r="Q54" i="137"/>
  <c r="M54" i="137"/>
  <c r="G54" i="137"/>
  <c r="BW53" i="137"/>
  <c r="AE53" i="137"/>
  <c r="AC53" i="137"/>
  <c r="W53" i="137"/>
  <c r="R53" i="137"/>
  <c r="Q53" i="137"/>
  <c r="M53" i="137"/>
  <c r="G53" i="137"/>
  <c r="BW52" i="137"/>
  <c r="AE52" i="137"/>
  <c r="AC52" i="137"/>
  <c r="AL52" i="137" s="1"/>
  <c r="W52" i="137"/>
  <c r="R52" i="137"/>
  <c r="Q52" i="137"/>
  <c r="M52" i="137"/>
  <c r="G52" i="137"/>
  <c r="BW51" i="137"/>
  <c r="AE51" i="137"/>
  <c r="AC51" i="137"/>
  <c r="AF51" i="137" s="1"/>
  <c r="W51" i="137"/>
  <c r="R51" i="137"/>
  <c r="Q51" i="137"/>
  <c r="M51" i="137"/>
  <c r="G51" i="137"/>
  <c r="BW50" i="137"/>
  <c r="AE50" i="137"/>
  <c r="AC50" i="137"/>
  <c r="AL50" i="137" s="1"/>
  <c r="W50" i="137"/>
  <c r="R50" i="137"/>
  <c r="Q50" i="137"/>
  <c r="M50" i="137"/>
  <c r="G50" i="137"/>
  <c r="BW49" i="137"/>
  <c r="AE49" i="137"/>
  <c r="AC49" i="137"/>
  <c r="W49" i="137"/>
  <c r="R49" i="137"/>
  <c r="Q49" i="137"/>
  <c r="M49" i="137"/>
  <c r="G49" i="137"/>
  <c r="BW48" i="137"/>
  <c r="AE48" i="137"/>
  <c r="AC48" i="137"/>
  <c r="AL48" i="137" s="1"/>
  <c r="W48" i="137"/>
  <c r="R48" i="137"/>
  <c r="Q48" i="137"/>
  <c r="M48" i="137"/>
  <c r="G48" i="137"/>
  <c r="BW47" i="137"/>
  <c r="AE47" i="137"/>
  <c r="AC47" i="137"/>
  <c r="W47" i="137"/>
  <c r="R47" i="137"/>
  <c r="Q47" i="137"/>
  <c r="M47" i="137"/>
  <c r="G47" i="137"/>
  <c r="BW46" i="137"/>
  <c r="AE46" i="137"/>
  <c r="AC46" i="137"/>
  <c r="AF46" i="137" s="1"/>
  <c r="W46" i="137"/>
  <c r="R46" i="137"/>
  <c r="Q46" i="137"/>
  <c r="M46" i="137"/>
  <c r="G46" i="137"/>
  <c r="BW45" i="137"/>
  <c r="AE45" i="137"/>
  <c r="AC45" i="137"/>
  <c r="W45" i="137"/>
  <c r="R45" i="137"/>
  <c r="Q45" i="137"/>
  <c r="M45" i="137"/>
  <c r="G45" i="137"/>
  <c r="BW44" i="137"/>
  <c r="AE44" i="137"/>
  <c r="AC44" i="137"/>
  <c r="AL44" i="137" s="1"/>
  <c r="W44" i="137"/>
  <c r="R44" i="137"/>
  <c r="Q44" i="137"/>
  <c r="M44" i="137"/>
  <c r="G44" i="137"/>
  <c r="BW43" i="137"/>
  <c r="AE43" i="137"/>
  <c r="AC43" i="137"/>
  <c r="AL43" i="137" s="1"/>
  <c r="W43" i="137"/>
  <c r="R43" i="137"/>
  <c r="Q43" i="137"/>
  <c r="M43" i="137"/>
  <c r="G43" i="137"/>
  <c r="BW42" i="137"/>
  <c r="AE42" i="137"/>
  <c r="AC42" i="137"/>
  <c r="AL42" i="137" s="1"/>
  <c r="W42" i="137"/>
  <c r="R42" i="137"/>
  <c r="Q42" i="137"/>
  <c r="M42" i="137"/>
  <c r="G42" i="137"/>
  <c r="BW41" i="137"/>
  <c r="AE41" i="137"/>
  <c r="AC41" i="137"/>
  <c r="W41" i="137"/>
  <c r="R41" i="137"/>
  <c r="Q41" i="137"/>
  <c r="M41" i="137"/>
  <c r="G41" i="137"/>
  <c r="BW40" i="137"/>
  <c r="AE40" i="137"/>
  <c r="AC40" i="137"/>
  <c r="AL40" i="137" s="1"/>
  <c r="W40" i="137"/>
  <c r="R40" i="137"/>
  <c r="Q40" i="137"/>
  <c r="M40" i="137"/>
  <c r="G40" i="137"/>
  <c r="BW39" i="137"/>
  <c r="AE39" i="137"/>
  <c r="AC39" i="137"/>
  <c r="AF39" i="137" s="1"/>
  <c r="W39" i="137"/>
  <c r="R39" i="137"/>
  <c r="Q39" i="137"/>
  <c r="M39" i="137"/>
  <c r="G39" i="137"/>
  <c r="BW38" i="137"/>
  <c r="AE38" i="137"/>
  <c r="AC38" i="137"/>
  <c r="AL38" i="137" s="1"/>
  <c r="W38" i="137"/>
  <c r="R38" i="137"/>
  <c r="Q38" i="137"/>
  <c r="M38" i="137"/>
  <c r="G38" i="137"/>
  <c r="BW37" i="137"/>
  <c r="AE37" i="137"/>
  <c r="AC37" i="137"/>
  <c r="AF37" i="137" s="1"/>
  <c r="W37" i="137"/>
  <c r="R37" i="137"/>
  <c r="Q37" i="137"/>
  <c r="M37" i="137"/>
  <c r="G37" i="137"/>
  <c r="BW36" i="137"/>
  <c r="AE36" i="137"/>
  <c r="AC36" i="137"/>
  <c r="AL36" i="137" s="1"/>
  <c r="W36" i="137"/>
  <c r="R36" i="137"/>
  <c r="Q36" i="137"/>
  <c r="M36" i="137"/>
  <c r="G36" i="137"/>
  <c r="BW35" i="137"/>
  <c r="AE35" i="137"/>
  <c r="AC35" i="137"/>
  <c r="W35" i="137"/>
  <c r="R35" i="137"/>
  <c r="Q35" i="137"/>
  <c r="M35" i="137"/>
  <c r="G35" i="137"/>
  <c r="BW34" i="137"/>
  <c r="AE34" i="137"/>
  <c r="AC34" i="137"/>
  <c r="W34" i="137"/>
  <c r="R34" i="137"/>
  <c r="Q34" i="137"/>
  <c r="M34" i="137"/>
  <c r="G34" i="137"/>
  <c r="E34" i="137"/>
  <c r="BW33" i="137"/>
  <c r="AE33" i="137"/>
  <c r="AC33" i="137"/>
  <c r="AF33" i="137" s="1"/>
  <c r="W33" i="137"/>
  <c r="R33" i="137"/>
  <c r="Q33" i="137"/>
  <c r="M33" i="137"/>
  <c r="G33" i="137"/>
  <c r="BW32" i="137"/>
  <c r="AE32" i="137"/>
  <c r="AC32" i="137"/>
  <c r="AF32" i="137" s="1"/>
  <c r="W32" i="137"/>
  <c r="R32" i="137"/>
  <c r="Q32" i="137"/>
  <c r="M32" i="137"/>
  <c r="G32" i="137"/>
  <c r="BW31" i="137"/>
  <c r="AE31" i="137"/>
  <c r="AC31" i="137"/>
  <c r="AL31" i="137" s="1"/>
  <c r="W31" i="137"/>
  <c r="R31" i="137"/>
  <c r="Q31" i="137"/>
  <c r="M31" i="137"/>
  <c r="G31" i="137"/>
  <c r="BW30" i="137"/>
  <c r="AE30" i="137"/>
  <c r="AC30" i="137"/>
  <c r="AF30" i="137" s="1"/>
  <c r="W30" i="137"/>
  <c r="R30" i="137"/>
  <c r="Q30" i="137"/>
  <c r="M30" i="137"/>
  <c r="G30" i="137"/>
  <c r="BW29" i="137"/>
  <c r="AE29" i="137"/>
  <c r="AC29" i="137"/>
  <c r="AF29" i="137" s="1"/>
  <c r="W29" i="137"/>
  <c r="R29" i="137"/>
  <c r="Q29" i="137"/>
  <c r="M29" i="137"/>
  <c r="G29" i="137"/>
  <c r="BW28" i="137"/>
  <c r="AE28" i="137"/>
  <c r="AC28" i="137"/>
  <c r="AF28" i="137" s="1"/>
  <c r="W28" i="137"/>
  <c r="R28" i="137"/>
  <c r="Q28" i="137"/>
  <c r="M28" i="137"/>
  <c r="G28" i="137"/>
  <c r="BW27" i="137"/>
  <c r="AE27" i="137"/>
  <c r="AC27" i="137"/>
  <c r="W27" i="137"/>
  <c r="R27" i="137"/>
  <c r="Q27" i="137"/>
  <c r="M27" i="137"/>
  <c r="G27" i="137"/>
  <c r="BW26" i="137"/>
  <c r="AE26" i="137"/>
  <c r="AC26" i="137"/>
  <c r="AF26" i="137" s="1"/>
  <c r="W26" i="137"/>
  <c r="R26" i="137"/>
  <c r="Q26" i="137"/>
  <c r="M26" i="137"/>
  <c r="G26" i="137"/>
  <c r="BW25" i="137"/>
  <c r="AE25" i="137"/>
  <c r="AC25" i="137"/>
  <c r="AF25" i="137" s="1"/>
  <c r="W25" i="137"/>
  <c r="R25" i="137"/>
  <c r="Q25" i="137"/>
  <c r="M25" i="137"/>
  <c r="G25" i="137"/>
  <c r="BW24" i="137"/>
  <c r="AE24" i="137"/>
  <c r="AC24" i="137"/>
  <c r="AF24" i="137" s="1"/>
  <c r="W24" i="137"/>
  <c r="R24" i="137"/>
  <c r="Q24" i="137"/>
  <c r="M24" i="137"/>
  <c r="G24" i="137"/>
  <c r="BW23" i="137"/>
  <c r="AE23" i="137"/>
  <c r="AC23" i="137"/>
  <c r="AL23" i="137" s="1"/>
  <c r="W23" i="137"/>
  <c r="R23" i="137"/>
  <c r="Q23" i="137"/>
  <c r="M23" i="137"/>
  <c r="G23" i="137"/>
  <c r="BW22" i="137"/>
  <c r="AE22" i="137"/>
  <c r="AC22" i="137"/>
  <c r="AF22" i="137" s="1"/>
  <c r="W22" i="137"/>
  <c r="R22" i="137"/>
  <c r="Q22" i="137"/>
  <c r="M22" i="137"/>
  <c r="G22" i="137"/>
  <c r="BW21" i="137"/>
  <c r="AE21" i="137"/>
  <c r="AC21" i="137"/>
  <c r="AF21" i="137" s="1"/>
  <c r="W21" i="137"/>
  <c r="R21" i="137"/>
  <c r="Q21" i="137"/>
  <c r="M21" i="137"/>
  <c r="G21" i="137"/>
  <c r="BW20" i="137"/>
  <c r="AE20" i="137"/>
  <c r="AC20" i="137"/>
  <c r="AF20" i="137" s="1"/>
  <c r="W20" i="137"/>
  <c r="R20" i="137"/>
  <c r="Q20" i="137"/>
  <c r="M20" i="137"/>
  <c r="G20" i="137"/>
  <c r="BW19" i="137"/>
  <c r="AE19" i="137"/>
  <c r="AC19" i="137"/>
  <c r="W19" i="137"/>
  <c r="R19" i="137"/>
  <c r="Q19" i="137"/>
  <c r="M19" i="137"/>
  <c r="G19" i="137"/>
  <c r="BW18" i="137"/>
  <c r="AE18" i="137"/>
  <c r="AC18" i="137"/>
  <c r="AF18" i="137" s="1"/>
  <c r="W18" i="137"/>
  <c r="R18" i="137"/>
  <c r="Q18" i="137"/>
  <c r="M18" i="137"/>
  <c r="G18" i="137"/>
  <c r="BW17" i="137"/>
  <c r="AE17" i="137"/>
  <c r="AC17" i="137"/>
  <c r="W17" i="137"/>
  <c r="R17" i="137"/>
  <c r="Q17" i="137"/>
  <c r="M17" i="137"/>
  <c r="G17" i="137"/>
  <c r="BW16" i="137"/>
  <c r="AE16" i="137"/>
  <c r="AC16" i="137"/>
  <c r="AF16" i="137" s="1"/>
  <c r="W16" i="137"/>
  <c r="R16" i="137"/>
  <c r="Q16" i="137"/>
  <c r="M16" i="137"/>
  <c r="G16" i="137"/>
  <c r="BW15" i="137"/>
  <c r="AE15" i="137"/>
  <c r="AC15" i="137"/>
  <c r="AL15" i="137" s="1"/>
  <c r="W15" i="137"/>
  <c r="R15" i="137"/>
  <c r="Q15" i="137"/>
  <c r="M15" i="137"/>
  <c r="G15" i="137"/>
  <c r="BW14" i="137"/>
  <c r="AE14" i="137"/>
  <c r="AC14" i="137"/>
  <c r="W14" i="137"/>
  <c r="R14" i="137"/>
  <c r="X14" i="137" s="1"/>
  <c r="Y14" i="137" s="1"/>
  <c r="S14" i="137" s="1"/>
  <c r="Q14" i="137"/>
  <c r="M14" i="137"/>
  <c r="G14" i="137"/>
  <c r="BW13" i="137"/>
  <c r="AE13" i="137"/>
  <c r="AC13" i="137"/>
  <c r="W13" i="137"/>
  <c r="R13" i="137"/>
  <c r="Q13" i="137"/>
  <c r="M13" i="137"/>
  <c r="G13" i="137"/>
  <c r="BW12" i="137"/>
  <c r="AE12" i="137"/>
  <c r="AC12" i="137"/>
  <c r="AF12" i="137" s="1"/>
  <c r="W12" i="137"/>
  <c r="R12" i="137"/>
  <c r="Q12" i="137"/>
  <c r="M12" i="137"/>
  <c r="G12" i="137"/>
  <c r="BW11" i="137"/>
  <c r="AE11" i="137"/>
  <c r="AC11" i="137"/>
  <c r="AL11" i="137" s="1"/>
  <c r="W11" i="137"/>
  <c r="R11" i="137"/>
  <c r="Q11" i="137"/>
  <c r="M11" i="137"/>
  <c r="G11" i="137"/>
  <c r="BW10" i="137"/>
  <c r="AE10" i="137"/>
  <c r="AC10" i="137"/>
  <c r="AF10" i="137" s="1"/>
  <c r="W10" i="137"/>
  <c r="R10" i="137"/>
  <c r="AG10" i="137" s="1"/>
  <c r="Q10" i="137"/>
  <c r="M10" i="137"/>
  <c r="G10" i="137"/>
  <c r="BW9" i="137"/>
  <c r="AE9" i="137"/>
  <c r="AC9" i="137"/>
  <c r="W9" i="137"/>
  <c r="R9" i="137"/>
  <c r="Q9" i="137"/>
  <c r="M9" i="137"/>
  <c r="G9" i="137"/>
  <c r="BW8" i="137"/>
  <c r="AE8" i="137"/>
  <c r="AC8" i="137"/>
  <c r="AF8" i="137" s="1"/>
  <c r="W8" i="137"/>
  <c r="R8" i="137"/>
  <c r="Q8" i="137"/>
  <c r="M8" i="137"/>
  <c r="G8" i="137"/>
  <c r="BW7" i="137"/>
  <c r="AE7" i="137"/>
  <c r="AC7" i="137"/>
  <c r="W7" i="137"/>
  <c r="R7" i="137"/>
  <c r="Q7" i="137"/>
  <c r="M7" i="137"/>
  <c r="G7" i="137"/>
  <c r="BW6" i="137"/>
  <c r="AE6" i="137"/>
  <c r="AC6" i="137"/>
  <c r="W6" i="137"/>
  <c r="R6" i="137"/>
  <c r="Q6" i="137"/>
  <c r="M6" i="137"/>
  <c r="G6" i="137"/>
  <c r="BW5" i="137"/>
  <c r="AE5" i="137"/>
  <c r="AC5" i="137"/>
  <c r="AL5" i="137" s="1"/>
  <c r="W5" i="137"/>
  <c r="R5" i="137"/>
  <c r="Q5" i="137"/>
  <c r="M5" i="137"/>
  <c r="G5" i="137"/>
  <c r="BW4" i="137"/>
  <c r="BT4" i="137" a="1"/>
  <c r="BT4" i="137" s="1"/>
  <c r="AE4" i="137"/>
  <c r="AC4" i="137"/>
  <c r="W4" i="137"/>
  <c r="R4" i="137"/>
  <c r="Q4" i="137"/>
  <c r="M4" i="137"/>
  <c r="G4" i="137"/>
  <c r="BW3" i="137"/>
  <c r="X21" i="137" l="1"/>
  <c r="Z21" i="137" s="1"/>
  <c r="X84" i="137"/>
  <c r="X89" i="137"/>
  <c r="Y89" i="137" s="1"/>
  <c r="S89" i="137" s="1"/>
  <c r="AG21" i="137"/>
  <c r="AL10" i="137"/>
  <c r="AM10" i="137" s="1"/>
  <c r="AN10" i="137" s="1"/>
  <c r="AL98" i="137"/>
  <c r="AL18" i="137"/>
  <c r="AM18" i="137" s="1"/>
  <c r="X156" i="137"/>
  <c r="Z156" i="137" s="1"/>
  <c r="X164" i="137"/>
  <c r="X167" i="137"/>
  <c r="Y167" i="137" s="1"/>
  <c r="S167" i="137" s="1"/>
  <c r="AG161" i="137"/>
  <c r="AL83" i="137"/>
  <c r="AM83" i="137" s="1"/>
  <c r="X115" i="137"/>
  <c r="Z115" i="137" s="1"/>
  <c r="X121" i="137"/>
  <c r="Y121" i="137" s="1"/>
  <c r="S121" i="137" s="1"/>
  <c r="X122" i="137"/>
  <c r="Z122" i="137" s="1"/>
  <c r="X123" i="137"/>
  <c r="Y123" i="137" s="1"/>
  <c r="S123" i="137" s="1"/>
  <c r="X124" i="137"/>
  <c r="Z124" i="137" s="1"/>
  <c r="X132" i="137"/>
  <c r="Z132" i="137" s="1"/>
  <c r="X133" i="137"/>
  <c r="Y133" i="137" s="1"/>
  <c r="S133" i="137" s="1"/>
  <c r="X134" i="137"/>
  <c r="Z134" i="137" s="1"/>
  <c r="X135" i="137"/>
  <c r="Z135" i="137" s="1"/>
  <c r="AL181" i="137"/>
  <c r="X179" i="137"/>
  <c r="Z179" i="137" s="1"/>
  <c r="AL110" i="137"/>
  <c r="AM110" i="137" s="1"/>
  <c r="X150" i="137"/>
  <c r="AL164" i="137"/>
  <c r="AM164" i="137" s="1"/>
  <c r="AF174" i="137"/>
  <c r="X176" i="137"/>
  <c r="AL20" i="137"/>
  <c r="AM20" i="137" s="1"/>
  <c r="X8" i="137"/>
  <c r="Z8" i="137" s="1"/>
  <c r="AF43" i="137"/>
  <c r="AM43" i="137" s="1"/>
  <c r="X49" i="137"/>
  <c r="Z49" i="137" s="1"/>
  <c r="X52" i="137"/>
  <c r="AF181" i="137"/>
  <c r="X71" i="137"/>
  <c r="Y71" i="137" s="1"/>
  <c r="S71" i="137" s="1"/>
  <c r="X76" i="137"/>
  <c r="Y76" i="137" s="1"/>
  <c r="S76" i="137" s="1"/>
  <c r="X143" i="137"/>
  <c r="Y143" i="137" s="1"/>
  <c r="S143" i="137" s="1"/>
  <c r="X147" i="137"/>
  <c r="Z147" i="137" s="1"/>
  <c r="AG151" i="137"/>
  <c r="X152" i="137"/>
  <c r="Z152" i="137" s="1"/>
  <c r="AF48" i="137"/>
  <c r="AG48" i="137" s="1"/>
  <c r="AG71" i="137"/>
  <c r="AG76" i="137"/>
  <c r="X91" i="137"/>
  <c r="Y91" i="137" s="1"/>
  <c r="S91" i="137" s="1"/>
  <c r="AG95" i="137"/>
  <c r="X161" i="137"/>
  <c r="Z161" i="137" s="1"/>
  <c r="X22" i="137"/>
  <c r="Z22" i="137" s="1"/>
  <c r="X32" i="137"/>
  <c r="Z32" i="137" s="1"/>
  <c r="AF66" i="137"/>
  <c r="AM66" i="137" s="1"/>
  <c r="X99" i="137"/>
  <c r="Y99" i="137" s="1"/>
  <c r="S99" i="137" s="1"/>
  <c r="X100" i="137"/>
  <c r="Y100" i="137" s="1"/>
  <c r="S100" i="137" s="1"/>
  <c r="X101" i="137"/>
  <c r="X103" i="137"/>
  <c r="X107" i="137"/>
  <c r="Y107" i="137" s="1"/>
  <c r="S107" i="137" s="1"/>
  <c r="X108" i="137"/>
  <c r="Y108" i="137" s="1"/>
  <c r="S108" i="137" s="1"/>
  <c r="AM98" i="137"/>
  <c r="AP98" i="137" s="1"/>
  <c r="AL183" i="137"/>
  <c r="X113" i="137"/>
  <c r="Y113" i="137" s="1"/>
  <c r="S113" i="137" s="1"/>
  <c r="AG158" i="137"/>
  <c r="AL28" i="137"/>
  <c r="X43" i="137"/>
  <c r="Y43" i="137" s="1"/>
  <c r="S43" i="137" s="1"/>
  <c r="AF50" i="137"/>
  <c r="AG50" i="137" s="1"/>
  <c r="X68" i="137"/>
  <c r="Y68" i="137" s="1"/>
  <c r="S68" i="137" s="1"/>
  <c r="X72" i="137"/>
  <c r="Y72" i="137" s="1"/>
  <c r="S72" i="137" s="1"/>
  <c r="AL87" i="137"/>
  <c r="AG93" i="137"/>
  <c r="X95" i="137"/>
  <c r="X120" i="137"/>
  <c r="AL155" i="137"/>
  <c r="AL175" i="137"/>
  <c r="AM175" i="137" s="1"/>
  <c r="AO175" i="137" s="1"/>
  <c r="AL32" i="137"/>
  <c r="AM32" i="137" s="1"/>
  <c r="X46" i="137"/>
  <c r="Z46" i="137" s="1"/>
  <c r="AL51" i="137"/>
  <c r="AF89" i="137"/>
  <c r="AM89" i="137" s="1"/>
  <c r="AG119" i="137"/>
  <c r="X151" i="137"/>
  <c r="AQ151" i="137" s="1"/>
  <c r="AR151" i="137" s="1"/>
  <c r="AF160" i="137"/>
  <c r="X166" i="137"/>
  <c r="Z166" i="137" s="1"/>
  <c r="X168" i="137"/>
  <c r="Y168" i="137" s="1"/>
  <c r="X170" i="137"/>
  <c r="Z170" i="137" s="1"/>
  <c r="X171" i="137"/>
  <c r="Z171" i="137" s="1"/>
  <c r="AG183" i="137"/>
  <c r="AL117" i="137"/>
  <c r="AW176" i="137"/>
  <c r="AX176" i="137" s="1"/>
  <c r="BH176" i="137" s="1"/>
  <c r="AG29" i="137"/>
  <c r="X24" i="137"/>
  <c r="Z24" i="137" s="1"/>
  <c r="X26" i="137"/>
  <c r="Z26" i="137" s="1"/>
  <c r="X27" i="137"/>
  <c r="Y27" i="137" s="1"/>
  <c r="S27" i="137" s="1"/>
  <c r="X28" i="137"/>
  <c r="AF70" i="137"/>
  <c r="X110" i="137"/>
  <c r="AL122" i="137"/>
  <c r="X125" i="137"/>
  <c r="Z125" i="137" s="1"/>
  <c r="AW142" i="137"/>
  <c r="BI142" i="137" s="1"/>
  <c r="BK142" i="137" s="1"/>
  <c r="AG166" i="137"/>
  <c r="AG168" i="137"/>
  <c r="AF78" i="137"/>
  <c r="AG79" i="137"/>
  <c r="AG101" i="137"/>
  <c r="X111" i="137"/>
  <c r="X112" i="137"/>
  <c r="AF124" i="137"/>
  <c r="AM124" i="137" s="1"/>
  <c r="AN124" i="137" s="1"/>
  <c r="AG125" i="137"/>
  <c r="AG132" i="137"/>
  <c r="AG145" i="137"/>
  <c r="AL173" i="137"/>
  <c r="AG153" i="137"/>
  <c r="X158" i="137"/>
  <c r="Y158" i="137" s="1"/>
  <c r="S158" i="137" s="1"/>
  <c r="AL22" i="137"/>
  <c r="AM22" i="137" s="1"/>
  <c r="X29" i="137"/>
  <c r="Z29" i="137" s="1"/>
  <c r="X54" i="137"/>
  <c r="Z54" i="137" s="1"/>
  <c r="X55" i="137"/>
  <c r="Y55" i="137" s="1"/>
  <c r="S55" i="137" s="1"/>
  <c r="X56" i="137"/>
  <c r="X57" i="137"/>
  <c r="X58" i="137"/>
  <c r="Z58" i="137" s="1"/>
  <c r="X59" i="137"/>
  <c r="Z59" i="137" s="1"/>
  <c r="X60" i="137"/>
  <c r="X61" i="137"/>
  <c r="Y61" i="137" s="1"/>
  <c r="S61" i="137" s="1"/>
  <c r="X64" i="137"/>
  <c r="Z64" i="137" s="1"/>
  <c r="AF81" i="137"/>
  <c r="AG81" i="137" s="1"/>
  <c r="AG85" i="137"/>
  <c r="X92" i="137"/>
  <c r="Y92" i="137" s="1"/>
  <c r="S92" i="137" s="1"/>
  <c r="X93" i="137"/>
  <c r="X94" i="137"/>
  <c r="Z94" i="137" s="1"/>
  <c r="Y120" i="137"/>
  <c r="S120" i="137" s="1"/>
  <c r="Z120" i="137"/>
  <c r="AF140" i="137"/>
  <c r="AG140" i="137" s="1"/>
  <c r="X182" i="137"/>
  <c r="Z182" i="137" s="1"/>
  <c r="X10" i="137"/>
  <c r="Z10" i="137" s="1"/>
  <c r="X45" i="137"/>
  <c r="Y45" i="137" s="1"/>
  <c r="S45" i="137" s="1"/>
  <c r="AM94" i="137"/>
  <c r="AG16" i="137"/>
  <c r="AG18" i="137"/>
  <c r="AF52" i="137"/>
  <c r="AM52" i="137" s="1"/>
  <c r="AP52" i="137" s="1"/>
  <c r="AG56" i="137"/>
  <c r="X74" i="137"/>
  <c r="Z74" i="137" s="1"/>
  <c r="X75" i="137"/>
  <c r="AL90" i="137"/>
  <c r="AM90" i="137" s="1"/>
  <c r="AF108" i="137"/>
  <c r="AG108" i="137" s="1"/>
  <c r="AL119" i="137"/>
  <c r="AM119" i="137" s="1"/>
  <c r="AL126" i="137"/>
  <c r="AM126" i="137" s="1"/>
  <c r="X142" i="137"/>
  <c r="Y142" i="137" s="1"/>
  <c r="S142" i="137" s="1"/>
  <c r="AF144" i="137"/>
  <c r="AG144" i="137" s="1"/>
  <c r="X145" i="137"/>
  <c r="AL146" i="137"/>
  <c r="AM146" i="137" s="1"/>
  <c r="X157" i="137"/>
  <c r="AF163" i="137"/>
  <c r="AM163" i="137" s="1"/>
  <c r="AM185" i="137"/>
  <c r="AP185" i="137" s="1"/>
  <c r="AF44" i="137"/>
  <c r="AG44" i="137" s="1"/>
  <c r="AL12" i="137"/>
  <c r="AM12" i="137" s="1"/>
  <c r="AN12" i="137" s="1"/>
  <c r="AF31" i="137"/>
  <c r="AM31" i="137" s="1"/>
  <c r="AO31" i="137" s="1"/>
  <c r="X33" i="137"/>
  <c r="Y33" i="137" s="1"/>
  <c r="S33" i="137" s="1"/>
  <c r="X77" i="137"/>
  <c r="Y77" i="137" s="1"/>
  <c r="S77" i="137" s="1"/>
  <c r="AF82" i="137"/>
  <c r="X86" i="137"/>
  <c r="Z86" i="137" s="1"/>
  <c r="X87" i="137"/>
  <c r="Y87" i="137" s="1"/>
  <c r="S87" i="137" s="1"/>
  <c r="X102" i="137"/>
  <c r="Z102" i="137" s="1"/>
  <c r="AG111" i="137"/>
  <c r="AG112" i="137"/>
  <c r="X114" i="137"/>
  <c r="Z114" i="137" s="1"/>
  <c r="AG121" i="137"/>
  <c r="AF131" i="137"/>
  <c r="AF141" i="137"/>
  <c r="AG141" i="137" s="1"/>
  <c r="AL144" i="137"/>
  <c r="X165" i="137"/>
  <c r="Y165" i="137" s="1"/>
  <c r="S165" i="137" s="1"/>
  <c r="X180" i="137"/>
  <c r="Z180" i="137" s="1"/>
  <c r="X37" i="137"/>
  <c r="Z37" i="137" s="1"/>
  <c r="X38" i="137"/>
  <c r="Y38" i="137" s="1"/>
  <c r="S38" i="137" s="1"/>
  <c r="X42" i="137"/>
  <c r="Y42" i="137" s="1"/>
  <c r="S42" i="137" s="1"/>
  <c r="AL46" i="137"/>
  <c r="AM46" i="137" s="1"/>
  <c r="AL60" i="137"/>
  <c r="AM60" i="137" s="1"/>
  <c r="AG92" i="137"/>
  <c r="X136" i="137"/>
  <c r="Z136" i="137" s="1"/>
  <c r="AG147" i="137"/>
  <c r="X159" i="137"/>
  <c r="Y159" i="137" s="1"/>
  <c r="S159" i="137" s="1"/>
  <c r="X172" i="137"/>
  <c r="Z172" i="137" s="1"/>
  <c r="X173" i="137"/>
  <c r="AF62" i="137"/>
  <c r="AG62" i="137" s="1"/>
  <c r="X70" i="137"/>
  <c r="Y70" i="137" s="1"/>
  <c r="S70" i="137" s="1"/>
  <c r="AL73" i="137"/>
  <c r="AM73" i="137" s="1"/>
  <c r="X79" i="137"/>
  <c r="Z79" i="137" s="1"/>
  <c r="X80" i="137"/>
  <c r="Y80" i="137" s="1"/>
  <c r="S80" i="137" s="1"/>
  <c r="AF96" i="137"/>
  <c r="AM96" i="137" s="1"/>
  <c r="AO96" i="137" s="1"/>
  <c r="X104" i="137"/>
  <c r="Y104" i="137" s="1"/>
  <c r="S104" i="137" s="1"/>
  <c r="X105" i="137"/>
  <c r="Z105" i="137" s="1"/>
  <c r="X106" i="137"/>
  <c r="Y106" i="137" s="1"/>
  <c r="S106" i="137" s="1"/>
  <c r="AL112" i="137"/>
  <c r="AM112" i="137" s="1"/>
  <c r="X116" i="137"/>
  <c r="Y116" i="137" s="1"/>
  <c r="S116" i="137" s="1"/>
  <c r="X117" i="137"/>
  <c r="Z117" i="137" s="1"/>
  <c r="BI141" i="137"/>
  <c r="BN141" i="137" s="1"/>
  <c r="AW179" i="137"/>
  <c r="BB179" i="137" s="1"/>
  <c r="X181" i="137"/>
  <c r="AF182" i="137"/>
  <c r="AG182" i="137" s="1"/>
  <c r="X9" i="137"/>
  <c r="Y9" i="137" s="1"/>
  <c r="S9" i="137" s="1"/>
  <c r="AG22" i="137"/>
  <c r="X25" i="137"/>
  <c r="Y25" i="137" s="1"/>
  <c r="S25" i="137" s="1"/>
  <c r="X51" i="137"/>
  <c r="Y51" i="137" s="1"/>
  <c r="S51" i="137" s="1"/>
  <c r="AL85" i="137"/>
  <c r="X88" i="137"/>
  <c r="Z88" i="137" s="1"/>
  <c r="X90" i="137"/>
  <c r="X119" i="137"/>
  <c r="Y119" i="137" s="1"/>
  <c r="S119" i="137" s="1"/>
  <c r="AG123" i="137"/>
  <c r="X126" i="137"/>
  <c r="Z126" i="137" s="1"/>
  <c r="AL132" i="137"/>
  <c r="AM132" i="137" s="1"/>
  <c r="AP132" i="137" s="1"/>
  <c r="X140" i="137"/>
  <c r="Y140" i="137" s="1"/>
  <c r="S140" i="137" s="1"/>
  <c r="AF142" i="137"/>
  <c r="AM142" i="137" s="1"/>
  <c r="AO142" i="137" s="1"/>
  <c r="X144" i="137"/>
  <c r="Y144" i="137" s="1"/>
  <c r="S144" i="137" s="1"/>
  <c r="X146" i="137"/>
  <c r="BI150" i="137"/>
  <c r="BJ150" i="137" s="1"/>
  <c r="X162" i="137"/>
  <c r="X163" i="137"/>
  <c r="Y163" i="137" s="1"/>
  <c r="S163" i="137" s="1"/>
  <c r="AG171" i="137"/>
  <c r="X174" i="137"/>
  <c r="Z174" i="137" s="1"/>
  <c r="AF5" i="137"/>
  <c r="AG5" i="137" s="1"/>
  <c r="X11" i="137"/>
  <c r="Z11" i="137" s="1"/>
  <c r="X30" i="137"/>
  <c r="Y30" i="137" s="1"/>
  <c r="S30" i="137" s="1"/>
  <c r="AL37" i="137"/>
  <c r="AM37" i="137" s="1"/>
  <c r="AO37" i="137" s="1"/>
  <c r="X44" i="137"/>
  <c r="AG78" i="137"/>
  <c r="X82" i="137"/>
  <c r="AG87" i="137"/>
  <c r="AL93" i="137"/>
  <c r="AM93" i="137" s="1"/>
  <c r="X127" i="137"/>
  <c r="Z127" i="137" s="1"/>
  <c r="X129" i="137"/>
  <c r="Y129" i="137" s="1"/>
  <c r="S129" i="137" s="1"/>
  <c r="X130" i="137"/>
  <c r="Y130" i="137" s="1"/>
  <c r="S130" i="137" s="1"/>
  <c r="X131" i="137"/>
  <c r="Z131" i="137" s="1"/>
  <c r="AL158" i="137"/>
  <c r="AL166" i="137"/>
  <c r="AL170" i="137"/>
  <c r="AM170" i="137" s="1"/>
  <c r="X177" i="137"/>
  <c r="Z177" i="137" s="1"/>
  <c r="X6" i="137"/>
  <c r="Y6" i="137" s="1"/>
  <c r="S6" i="137" s="1"/>
  <c r="X155" i="137"/>
  <c r="AF176" i="137"/>
  <c r="AG176" i="137" s="1"/>
  <c r="X178" i="137"/>
  <c r="Z178" i="137" s="1"/>
  <c r="Z76" i="137"/>
  <c r="Z25" i="137"/>
  <c r="AF11" i="137"/>
  <c r="AM11" i="137" s="1"/>
  <c r="Z14" i="137"/>
  <c r="AM78" i="137"/>
  <c r="AO78" i="137" s="1"/>
  <c r="X4" i="137"/>
  <c r="Y4" i="137" s="1"/>
  <c r="S4" i="137" s="1"/>
  <c r="X12" i="137"/>
  <c r="X35" i="137"/>
  <c r="Y35" i="137" s="1"/>
  <c r="S35" i="137" s="1"/>
  <c r="AM82" i="137"/>
  <c r="AM122" i="137"/>
  <c r="AN122" i="137" s="1"/>
  <c r="AX144" i="137"/>
  <c r="AM87" i="137"/>
  <c r="AQ87" i="137" s="1"/>
  <c r="AR87" i="137" s="1"/>
  <c r="AG24" i="137"/>
  <c r="AF6" i="137"/>
  <c r="AG6" i="137" s="1"/>
  <c r="AL6" i="137"/>
  <c r="Z4" i="137"/>
  <c r="AL8" i="137"/>
  <c r="AM8" i="137" s="1"/>
  <c r="AL16" i="137"/>
  <c r="AM16" i="137" s="1"/>
  <c r="AF17" i="137"/>
  <c r="AL17" i="137"/>
  <c r="AL26" i="137"/>
  <c r="AM26" i="137" s="1"/>
  <c r="AF36" i="137"/>
  <c r="AM36" i="137" s="1"/>
  <c r="AG37" i="137"/>
  <c r="AM62" i="137"/>
  <c r="AO62" i="137" s="1"/>
  <c r="X65" i="137"/>
  <c r="Z65" i="137" s="1"/>
  <c r="AL80" i="137"/>
  <c r="AF80" i="137"/>
  <c r="X7" i="137"/>
  <c r="AL24" i="137"/>
  <c r="AM24" i="137" s="1"/>
  <c r="AL30" i="137"/>
  <c r="Z38" i="137"/>
  <c r="AG46" i="137"/>
  <c r="X47" i="137"/>
  <c r="Y47" i="137" s="1"/>
  <c r="S47" i="137" s="1"/>
  <c r="AL56" i="137"/>
  <c r="AM56" i="137" s="1"/>
  <c r="Y75" i="137"/>
  <c r="S75" i="137" s="1"/>
  <c r="Z75" i="137"/>
  <c r="X19" i="137"/>
  <c r="Y19" i="137" s="1"/>
  <c r="S19" i="137" s="1"/>
  <c r="X20" i="137"/>
  <c r="AG28" i="137"/>
  <c r="AL58" i="137"/>
  <c r="AF58" i="137"/>
  <c r="Y84" i="137"/>
  <c r="S84" i="137" s="1"/>
  <c r="Z84" i="137"/>
  <c r="Y152" i="137"/>
  <c r="S152" i="137" s="1"/>
  <c r="AL74" i="137"/>
  <c r="AF74" i="137"/>
  <c r="Y111" i="137"/>
  <c r="S111" i="137" s="1"/>
  <c r="Z111" i="137"/>
  <c r="Y112" i="137"/>
  <c r="S112" i="137" s="1"/>
  <c r="Z112" i="137"/>
  <c r="Z146" i="137"/>
  <c r="Y146" i="137"/>
  <c r="S146" i="137" s="1"/>
  <c r="AG170" i="137"/>
  <c r="X16" i="137"/>
  <c r="Z16" i="137" s="1"/>
  <c r="AL25" i="137"/>
  <c r="Y26" i="137"/>
  <c r="S26" i="137" s="1"/>
  <c r="Z33" i="137"/>
  <c r="AF38" i="137"/>
  <c r="AM38" i="137" s="1"/>
  <c r="AL47" i="137"/>
  <c r="AF47" i="137"/>
  <c r="X53" i="137"/>
  <c r="Z87" i="137"/>
  <c r="Z181" i="137"/>
  <c r="Y181" i="137"/>
  <c r="S181" i="137" s="1"/>
  <c r="AM160" i="137"/>
  <c r="AN160" i="137" s="1"/>
  <c r="AL39" i="137"/>
  <c r="AM39" i="137" s="1"/>
  <c r="AL61" i="137"/>
  <c r="AF61" i="137"/>
  <c r="AG61" i="137" s="1"/>
  <c r="AL68" i="137"/>
  <c r="AF68" i="137"/>
  <c r="AG68" i="137" s="1"/>
  <c r="AF15" i="137"/>
  <c r="AM15" i="137" s="1"/>
  <c r="AP15" i="137" s="1"/>
  <c r="BU15" i="137" s="1"/>
  <c r="X17" i="137"/>
  <c r="X18" i="137"/>
  <c r="AF23" i="137"/>
  <c r="AL29" i="137"/>
  <c r="AM29" i="137" s="1"/>
  <c r="Z30" i="137"/>
  <c r="AF40" i="137"/>
  <c r="AM40" i="137" s="1"/>
  <c r="X41" i="137"/>
  <c r="Y41" i="137" s="1"/>
  <c r="S41" i="137" s="1"/>
  <c r="X50" i="137"/>
  <c r="AL86" i="137"/>
  <c r="AF86" i="137"/>
  <c r="AG30" i="137"/>
  <c r="AF41" i="137"/>
  <c r="AG41" i="137" s="1"/>
  <c r="AL41" i="137"/>
  <c r="AF53" i="137"/>
  <c r="AG53" i="137" s="1"/>
  <c r="AL53" i="137"/>
  <c r="Z71" i="137"/>
  <c r="X39" i="137"/>
  <c r="Y39" i="137" s="1"/>
  <c r="S39" i="137" s="1"/>
  <c r="X40" i="137"/>
  <c r="X48" i="137"/>
  <c r="Z48" i="137" s="1"/>
  <c r="X62" i="137"/>
  <c r="X81" i="137"/>
  <c r="Y81" i="137" s="1"/>
  <c r="S81" i="137" s="1"/>
  <c r="AG83" i="137"/>
  <c r="AG109" i="137"/>
  <c r="AF118" i="137"/>
  <c r="AG118" i="137" s="1"/>
  <c r="AG122" i="137"/>
  <c r="AW140" i="137"/>
  <c r="AW143" i="137"/>
  <c r="BI144" i="137"/>
  <c r="BN144" i="137" s="1"/>
  <c r="AG146" i="137"/>
  <c r="X148" i="137"/>
  <c r="Y148" i="137" s="1"/>
  <c r="S148" i="137" s="1"/>
  <c r="Z153" i="137"/>
  <c r="AW180" i="137"/>
  <c r="AM183" i="137"/>
  <c r="AM108" i="137"/>
  <c r="AL111" i="137"/>
  <c r="AM111" i="137" s="1"/>
  <c r="AL113" i="137"/>
  <c r="AM113" i="137" s="1"/>
  <c r="AF120" i="137"/>
  <c r="AG120" i="137" s="1"/>
  <c r="BB176" i="137"/>
  <c r="AG12" i="137"/>
  <c r="X15" i="137"/>
  <c r="Z15" i="137" s="1"/>
  <c r="X34" i="137"/>
  <c r="Z34" i="137" s="1"/>
  <c r="X36" i="137"/>
  <c r="Z36" i="137" s="1"/>
  <c r="AL54" i="137"/>
  <c r="AG55" i="137"/>
  <c r="X67" i="137"/>
  <c r="AL69" i="137"/>
  <c r="AM69" i="137" s="1"/>
  <c r="AL71" i="137"/>
  <c r="AM71" i="137" s="1"/>
  <c r="AP71" i="137" s="1"/>
  <c r="AL76" i="137"/>
  <c r="AM76" i="137" s="1"/>
  <c r="AN76" i="137" s="1"/>
  <c r="X85" i="137"/>
  <c r="Z85" i="137" s="1"/>
  <c r="AG94" i="137"/>
  <c r="X98" i="137"/>
  <c r="Y98" i="137" s="1"/>
  <c r="S98" i="137" s="1"/>
  <c r="Z100" i="137"/>
  <c r="AL106" i="137"/>
  <c r="AM106" i="137" s="1"/>
  <c r="AG107" i="137"/>
  <c r="AF116" i="137"/>
  <c r="AL129" i="137"/>
  <c r="AM129" i="137" s="1"/>
  <c r="X137" i="137"/>
  <c r="X138" i="137"/>
  <c r="Z138" i="137" s="1"/>
  <c r="X149" i="137"/>
  <c r="Y149" i="137" s="1"/>
  <c r="S149" i="137" s="1"/>
  <c r="AM155" i="137"/>
  <c r="AQ155" i="137" s="1"/>
  <c r="AR155" i="137" s="1"/>
  <c r="X175" i="137"/>
  <c r="Z175" i="137" s="1"/>
  <c r="AF180" i="137"/>
  <c r="AL77" i="137"/>
  <c r="AM77" i="137" s="1"/>
  <c r="AF114" i="137"/>
  <c r="AM131" i="137"/>
  <c r="AO131" i="137" s="1"/>
  <c r="AF133" i="137"/>
  <c r="AM133" i="137" s="1"/>
  <c r="AO133" i="137" s="1"/>
  <c r="AG160" i="137"/>
  <c r="AF162" i="137"/>
  <c r="AM162" i="137" s="1"/>
  <c r="AN162" i="137" s="1"/>
  <c r="AL92" i="137"/>
  <c r="AM92" i="137" s="1"/>
  <c r="X118" i="137"/>
  <c r="Z118" i="137" s="1"/>
  <c r="Y132" i="137"/>
  <c r="S132" i="137" s="1"/>
  <c r="AL153" i="137"/>
  <c r="AM153" i="137" s="1"/>
  <c r="AL165" i="137"/>
  <c r="AM165" i="137" s="1"/>
  <c r="X169" i="137"/>
  <c r="Y169" i="137" s="1"/>
  <c r="S169" i="137" s="1"/>
  <c r="Y177" i="137"/>
  <c r="S177" i="137" s="1"/>
  <c r="AF179" i="137"/>
  <c r="X63" i="137"/>
  <c r="AF100" i="137"/>
  <c r="AG100" i="137" s="1"/>
  <c r="AF102" i="137"/>
  <c r="AF104" i="137"/>
  <c r="X128" i="137"/>
  <c r="AF135" i="137"/>
  <c r="AM135" i="137" s="1"/>
  <c r="AY141" i="137"/>
  <c r="BC141" i="137" s="1"/>
  <c r="AF143" i="137"/>
  <c r="AM143" i="137" s="1"/>
  <c r="AW146" i="137"/>
  <c r="AL151" i="137"/>
  <c r="AM151" i="137" s="1"/>
  <c r="AF156" i="137"/>
  <c r="AG156" i="137" s="1"/>
  <c r="AM173" i="137"/>
  <c r="AN173" i="137" s="1"/>
  <c r="AG184" i="137"/>
  <c r="AG157" i="137"/>
  <c r="X83" i="137"/>
  <c r="Z106" i="137"/>
  <c r="X109" i="137"/>
  <c r="X141" i="137"/>
  <c r="Y141" i="137" s="1"/>
  <c r="S141" i="137" s="1"/>
  <c r="AY144" i="137"/>
  <c r="BC144" i="137" s="1"/>
  <c r="AW151" i="137"/>
  <c r="AX151" i="137" s="1"/>
  <c r="BH151" i="137" s="1"/>
  <c r="Z154" i="137"/>
  <c r="AG173" i="137"/>
  <c r="X183" i="137"/>
  <c r="Z183" i="137" s="1"/>
  <c r="AM184" i="137"/>
  <c r="AQ184" i="137" s="1"/>
  <c r="AR184" i="137" s="1"/>
  <c r="Y185" i="137"/>
  <c r="S185" i="137" s="1"/>
  <c r="AP15" i="138"/>
  <c r="BU15" i="138" s="1"/>
  <c r="AO15" i="138"/>
  <c r="AQ15" i="138"/>
  <c r="AR15" i="138" s="1"/>
  <c r="AN15" i="138"/>
  <c r="Z22" i="138"/>
  <c r="Y22" i="138"/>
  <c r="S22" i="138" s="1"/>
  <c r="AQ47" i="138"/>
  <c r="AR47" i="138" s="1"/>
  <c r="AI47" i="138" s="1"/>
  <c r="AP47" i="138"/>
  <c r="AO47" i="138"/>
  <c r="AN47" i="138"/>
  <c r="Z4" i="138"/>
  <c r="Y4" i="138"/>
  <c r="S4" i="138" s="1"/>
  <c r="AQ19" i="138"/>
  <c r="AP19" i="138"/>
  <c r="AO19" i="138"/>
  <c r="AN19" i="138"/>
  <c r="Z29" i="138"/>
  <c r="Y29" i="138"/>
  <c r="S29" i="138" s="1"/>
  <c r="Z5" i="138"/>
  <c r="Y5" i="138"/>
  <c r="S5" i="138" s="1"/>
  <c r="Z6" i="138"/>
  <c r="Y6" i="138"/>
  <c r="S6" i="138" s="1"/>
  <c r="Z9" i="138"/>
  <c r="Y9" i="138"/>
  <c r="S9" i="138" s="1"/>
  <c r="Z25" i="138"/>
  <c r="Y25" i="138"/>
  <c r="S25" i="138" s="1"/>
  <c r="AQ22" i="138"/>
  <c r="AP22" i="138"/>
  <c r="AO22" i="138"/>
  <c r="AN22" i="138"/>
  <c r="AO26" i="138"/>
  <c r="AQ26" i="138"/>
  <c r="AN26" i="138"/>
  <c r="AP26" i="138"/>
  <c r="Z7" i="138"/>
  <c r="Y7" i="138"/>
  <c r="S7" i="138" s="1"/>
  <c r="AQ9" i="138"/>
  <c r="AR9" i="138" s="1"/>
  <c r="AI9" i="138" s="1"/>
  <c r="AP9" i="138"/>
  <c r="BU9" i="138" s="1"/>
  <c r="AO9" i="138"/>
  <c r="AN9" i="138"/>
  <c r="Z13" i="138"/>
  <c r="Y13" i="138"/>
  <c r="S13" i="138" s="1"/>
  <c r="Z19" i="138"/>
  <c r="Y19" i="138"/>
  <c r="S19" i="138" s="1"/>
  <c r="AO6" i="138"/>
  <c r="AQ6" i="138"/>
  <c r="AR6" i="138" s="1"/>
  <c r="AI6" i="138" s="1"/>
  <c r="AP6" i="138"/>
  <c r="BU6" i="138" s="1"/>
  <c r="AN6" i="138"/>
  <c r="AG7" i="138"/>
  <c r="AM7" i="138"/>
  <c r="AP25" i="138"/>
  <c r="AO25" i="138"/>
  <c r="AN25" i="138"/>
  <c r="AQ25" i="138"/>
  <c r="AR25" i="138" s="1"/>
  <c r="Z16" i="138"/>
  <c r="Y16" i="138"/>
  <c r="S16" i="138" s="1"/>
  <c r="Z17" i="138"/>
  <c r="Y17" i="138"/>
  <c r="S17" i="138" s="1"/>
  <c r="Z20" i="138"/>
  <c r="Y20" i="138"/>
  <c r="S20" i="138" s="1"/>
  <c r="X21" i="138"/>
  <c r="AG22" i="138"/>
  <c r="AR22" i="138" s="1"/>
  <c r="Y26" i="138"/>
  <c r="S26" i="138" s="1"/>
  <c r="Z27" i="138"/>
  <c r="AQ27" i="138"/>
  <c r="X32" i="138"/>
  <c r="AP33" i="138"/>
  <c r="X34" i="138"/>
  <c r="Y36" i="138"/>
  <c r="S36" i="138" s="1"/>
  <c r="Y50" i="138"/>
  <c r="S50" i="138" s="1"/>
  <c r="AQ51" i="138"/>
  <c r="AR51" i="138" s="1"/>
  <c r="AP51" i="138"/>
  <c r="AO51" i="138"/>
  <c r="AN51" i="138"/>
  <c r="AG59" i="138"/>
  <c r="AM59" i="138"/>
  <c r="AM62" i="138"/>
  <c r="AG62" i="138"/>
  <c r="Y70" i="138"/>
  <c r="S70" i="138" s="1"/>
  <c r="Z70" i="138"/>
  <c r="AI71" i="138"/>
  <c r="Z79" i="138"/>
  <c r="Y79" i="138"/>
  <c r="S79" i="138" s="1"/>
  <c r="Y84" i="138"/>
  <c r="S84" i="138" s="1"/>
  <c r="Z84" i="138"/>
  <c r="AM90" i="138"/>
  <c r="AG90" i="138"/>
  <c r="AM125" i="138"/>
  <c r="AG125" i="138"/>
  <c r="AG6" i="138"/>
  <c r="AG13" i="138"/>
  <c r="Y14" i="138"/>
  <c r="S14" i="138" s="1"/>
  <c r="AP14" i="138"/>
  <c r="BU14" i="138" s="1"/>
  <c r="AM16" i="138"/>
  <c r="Z49" i="138"/>
  <c r="Y49" i="138"/>
  <c r="S49" i="138" s="1"/>
  <c r="AL50" i="138"/>
  <c r="AF50" i="138"/>
  <c r="Y54" i="138"/>
  <c r="S54" i="138" s="1"/>
  <c r="Z54" i="138"/>
  <c r="AI55" i="138"/>
  <c r="Z64" i="138"/>
  <c r="Y64" i="138"/>
  <c r="S64" i="138" s="1"/>
  <c r="Y66" i="138"/>
  <c r="S66" i="138" s="1"/>
  <c r="Z66" i="138"/>
  <c r="AO69" i="138"/>
  <c r="AQ69" i="138"/>
  <c r="AR69" i="138" s="1"/>
  <c r="AQ76" i="138"/>
  <c r="AR76" i="138" s="1"/>
  <c r="AI76" i="138" s="1"/>
  <c r="AO76" i="138"/>
  <c r="AP76" i="138"/>
  <c r="AN76" i="138"/>
  <c r="Y78" i="138"/>
  <c r="S78" i="138" s="1"/>
  <c r="Z78" i="138"/>
  <c r="AF4" i="138"/>
  <c r="AF5" i="138"/>
  <c r="AG15" i="138"/>
  <c r="AM17" i="138"/>
  <c r="AG18" i="138"/>
  <c r="AR18" i="138" s="1"/>
  <c r="AG30" i="138"/>
  <c r="Y33" i="138"/>
  <c r="S33" i="138" s="1"/>
  <c r="Y42" i="138"/>
  <c r="S42" i="138" s="1"/>
  <c r="AQ43" i="138"/>
  <c r="AR43" i="138" s="1"/>
  <c r="AI43" i="138" s="1"/>
  <c r="AP43" i="138"/>
  <c r="AO43" i="138"/>
  <c r="AN43" i="138"/>
  <c r="AG45" i="138"/>
  <c r="AM45" i="138"/>
  <c r="AN48" i="138"/>
  <c r="AP48" i="138"/>
  <c r="Z51" i="138"/>
  <c r="Y51" i="138"/>
  <c r="S51" i="138" s="1"/>
  <c r="AO53" i="138"/>
  <c r="AQ53" i="138"/>
  <c r="AR53" i="138" s="1"/>
  <c r="Y58" i="138"/>
  <c r="S58" i="138" s="1"/>
  <c r="Z58" i="138"/>
  <c r="Z63" i="138"/>
  <c r="AG66" i="138"/>
  <c r="AN69" i="138"/>
  <c r="AG77" i="138"/>
  <c r="AM77" i="138"/>
  <c r="AM10" i="138"/>
  <c r="AF11" i="138"/>
  <c r="AN23" i="138"/>
  <c r="Z24" i="138"/>
  <c r="Y24" i="138"/>
  <c r="S24" i="138" s="1"/>
  <c r="AG25" i="138"/>
  <c r="AM30" i="138"/>
  <c r="X31" i="138"/>
  <c r="Z33" i="138"/>
  <c r="AL36" i="138"/>
  <c r="AG38" i="138"/>
  <c r="AM38" i="138"/>
  <c r="X39" i="138"/>
  <c r="AL42" i="138"/>
  <c r="AF42" i="138"/>
  <c r="Y44" i="138"/>
  <c r="S44" i="138" s="1"/>
  <c r="AO48" i="138"/>
  <c r="AN53" i="138"/>
  <c r="AL58" i="138"/>
  <c r="AF58" i="138"/>
  <c r="Z67" i="138"/>
  <c r="Y67" i="138"/>
  <c r="S67" i="138" s="1"/>
  <c r="Z73" i="138"/>
  <c r="Y73" i="138"/>
  <c r="S73" i="138" s="1"/>
  <c r="AM74" i="138"/>
  <c r="AG74" i="138"/>
  <c r="AO75" i="138"/>
  <c r="AN75" i="138"/>
  <c r="AQ75" i="138"/>
  <c r="AR75" i="138" s="1"/>
  <c r="AI75" i="138" s="1"/>
  <c r="Z76" i="138"/>
  <c r="Y76" i="138"/>
  <c r="S76" i="138" s="1"/>
  <c r="AO13" i="138"/>
  <c r="AO23" i="138"/>
  <c r="AG34" i="138"/>
  <c r="AM34" i="138"/>
  <c r="AM36" i="138"/>
  <c r="AO40" i="138"/>
  <c r="AP40" i="138"/>
  <c r="Z41" i="138"/>
  <c r="Y41" i="138"/>
  <c r="S41" i="138" s="1"/>
  <c r="Z43" i="138"/>
  <c r="Y43" i="138"/>
  <c r="S43" i="138" s="1"/>
  <c r="AQ48" i="138"/>
  <c r="AR48" i="138" s="1"/>
  <c r="AI48" i="138" s="1"/>
  <c r="AP53" i="138"/>
  <c r="Z57" i="138"/>
  <c r="Y57" i="138"/>
  <c r="S57" i="138" s="1"/>
  <c r="Z59" i="138"/>
  <c r="Y59" i="138"/>
  <c r="S59" i="138" s="1"/>
  <c r="AM61" i="138"/>
  <c r="Z65" i="138"/>
  <c r="Y65" i="138"/>
  <c r="S65" i="138" s="1"/>
  <c r="AL66" i="138"/>
  <c r="AM66" i="138" s="1"/>
  <c r="AP75" i="138"/>
  <c r="Y83" i="138"/>
  <c r="S83" i="138" s="1"/>
  <c r="AO14" i="138"/>
  <c r="AN14" i="138"/>
  <c r="AI14" i="138" s="1"/>
  <c r="Y10" i="138"/>
  <c r="S10" i="138" s="1"/>
  <c r="AF12" i="138"/>
  <c r="AP13" i="138"/>
  <c r="BU13" i="138" s="1"/>
  <c r="Y15" i="138"/>
  <c r="S15" i="138" s="1"/>
  <c r="AP18" i="138"/>
  <c r="AG19" i="138"/>
  <c r="AR19" i="138" s="1"/>
  <c r="AF21" i="138"/>
  <c r="AP23" i="138"/>
  <c r="AQ24" i="138"/>
  <c r="AR24" i="138" s="1"/>
  <c r="AI24" i="138" s="1"/>
  <c r="X28" i="138"/>
  <c r="AL29" i="138"/>
  <c r="AM29" i="138" s="1"/>
  <c r="X35" i="138"/>
  <c r="AN40" i="138"/>
  <c r="AQ41" i="138"/>
  <c r="AR41" i="138" s="1"/>
  <c r="AI41" i="138" s="1"/>
  <c r="AP41" i="138"/>
  <c r="AO41" i="138"/>
  <c r="AN41" i="138"/>
  <c r="Y46" i="138"/>
  <c r="S46" i="138" s="1"/>
  <c r="AG49" i="138"/>
  <c r="AM49" i="138"/>
  <c r="Z53" i="138"/>
  <c r="AM60" i="138"/>
  <c r="AM70" i="138"/>
  <c r="Z75" i="138"/>
  <c r="Z81" i="138"/>
  <c r="Y81" i="138"/>
  <c r="S81" i="138" s="1"/>
  <c r="AL8" i="138"/>
  <c r="AM8" i="138" s="1"/>
  <c r="AQ13" i="138"/>
  <c r="AR13" i="138" s="1"/>
  <c r="AI13" i="138" s="1"/>
  <c r="Z18" i="138"/>
  <c r="AQ18" i="138"/>
  <c r="AF20" i="138"/>
  <c r="AO27" i="138"/>
  <c r="Y30" i="138"/>
  <c r="S30" i="138" s="1"/>
  <c r="AM32" i="138"/>
  <c r="AQ40" i="138"/>
  <c r="AR40" i="138" s="1"/>
  <c r="AI40" i="138" s="1"/>
  <c r="X45" i="138"/>
  <c r="AL46" i="138"/>
  <c r="AF46" i="138"/>
  <c r="Y48" i="138"/>
  <c r="S48" i="138" s="1"/>
  <c r="AM54" i="138"/>
  <c r="AF65" i="138"/>
  <c r="AL65" i="138"/>
  <c r="AG70" i="138"/>
  <c r="AO71" i="138"/>
  <c r="AP71" i="138"/>
  <c r="AF73" i="138"/>
  <c r="AL73" i="138"/>
  <c r="AM78" i="138"/>
  <c r="AG78" i="138"/>
  <c r="AO79" i="138"/>
  <c r="AN79" i="138"/>
  <c r="AQ79" i="138"/>
  <c r="AR79" i="138" s="1"/>
  <c r="AI79" i="138" s="1"/>
  <c r="AP79" i="138"/>
  <c r="Y94" i="138"/>
  <c r="S94" i="138" s="1"/>
  <c r="Z94" i="138"/>
  <c r="X12" i="138"/>
  <c r="AP28" i="138"/>
  <c r="AO28" i="138"/>
  <c r="AN28" i="138"/>
  <c r="AG31" i="138"/>
  <c r="AM31" i="138"/>
  <c r="AQ35" i="138"/>
  <c r="AR35" i="138" s="1"/>
  <c r="AI35" i="138" s="1"/>
  <c r="AO35" i="138"/>
  <c r="AN35" i="138"/>
  <c r="AM37" i="138"/>
  <c r="AG37" i="138"/>
  <c r="Z38" i="138"/>
  <c r="Y38" i="138"/>
  <c r="S38" i="138" s="1"/>
  <c r="AN44" i="138"/>
  <c r="AI44" i="138" s="1"/>
  <c r="AP44" i="138"/>
  <c r="Z47" i="138"/>
  <c r="Y47" i="138"/>
  <c r="S47" i="138" s="1"/>
  <c r="AG51" i="138"/>
  <c r="AO55" i="138"/>
  <c r="AP55" i="138"/>
  <c r="AF57" i="138"/>
  <c r="AL57" i="138"/>
  <c r="AQ64" i="138"/>
  <c r="AR64" i="138" s="1"/>
  <c r="AP64" i="138"/>
  <c r="AO64" i="138"/>
  <c r="AN64" i="138"/>
  <c r="AG67" i="138"/>
  <c r="AM67" i="138"/>
  <c r="AO39" i="138"/>
  <c r="AG60" i="138"/>
  <c r="AM63" i="138"/>
  <c r="Y77" i="138"/>
  <c r="S77" i="138" s="1"/>
  <c r="Z82" i="138"/>
  <c r="AG93" i="138"/>
  <c r="AM93" i="138"/>
  <c r="AQ114" i="138"/>
  <c r="AR114" i="138" s="1"/>
  <c r="AN114" i="138"/>
  <c r="AP114" i="138"/>
  <c r="AO114" i="138"/>
  <c r="AM56" i="138"/>
  <c r="AL60" i="138"/>
  <c r="AM72" i="138"/>
  <c r="X74" i="138"/>
  <c r="AF94" i="138"/>
  <c r="AL94" i="138"/>
  <c r="AL52" i="138"/>
  <c r="AM52" i="138" s="1"/>
  <c r="AG53" i="138"/>
  <c r="Z62" i="138"/>
  <c r="AL68" i="138"/>
  <c r="AM68" i="138" s="1"/>
  <c r="AG83" i="138"/>
  <c r="AM83" i="138"/>
  <c r="Z85" i="138"/>
  <c r="Y85" i="138"/>
  <c r="S85" i="138" s="1"/>
  <c r="AO103" i="138"/>
  <c r="AQ103" i="138"/>
  <c r="AR103" i="138" s="1"/>
  <c r="AP103" i="138"/>
  <c r="AN103" i="138"/>
  <c r="AF80" i="138"/>
  <c r="AL80" i="138"/>
  <c r="AP82" i="138"/>
  <c r="AO82" i="138"/>
  <c r="AM97" i="138"/>
  <c r="AG97" i="138"/>
  <c r="AO110" i="138"/>
  <c r="AP110" i="138"/>
  <c r="AN110" i="138"/>
  <c r="AQ110" i="138"/>
  <c r="AF81" i="138"/>
  <c r="AN82" i="138"/>
  <c r="AG85" i="138"/>
  <c r="Y86" i="138"/>
  <c r="S86" i="138" s="1"/>
  <c r="Z86" i="138"/>
  <c r="AQ100" i="138"/>
  <c r="AR100" i="138" s="1"/>
  <c r="AN100" i="138"/>
  <c r="AP100" i="138"/>
  <c r="AO100" i="138"/>
  <c r="Y106" i="138"/>
  <c r="S106" i="138" s="1"/>
  <c r="Z106" i="138"/>
  <c r="AF108" i="138"/>
  <c r="AL108" i="138"/>
  <c r="AQ82" i="138"/>
  <c r="AR82" i="138" s="1"/>
  <c r="AI82" i="138" s="1"/>
  <c r="AL85" i="138"/>
  <c r="AM85" i="138" s="1"/>
  <c r="AM86" i="138"/>
  <c r="AG86" i="138"/>
  <c r="Z88" i="138"/>
  <c r="Y88" i="138"/>
  <c r="S88" i="138" s="1"/>
  <c r="AO91" i="138"/>
  <c r="AN91" i="138"/>
  <c r="AQ91" i="138"/>
  <c r="AR91" i="138" s="1"/>
  <c r="AI91" i="138" s="1"/>
  <c r="AP91" i="138"/>
  <c r="Y105" i="138"/>
  <c r="S105" i="138" s="1"/>
  <c r="AM87" i="138"/>
  <c r="AG87" i="138"/>
  <c r="AF101" i="138"/>
  <c r="AL101" i="138"/>
  <c r="Z108" i="138"/>
  <c r="Y108" i="138"/>
  <c r="S108" i="138" s="1"/>
  <c r="Y111" i="138"/>
  <c r="S111" i="138" s="1"/>
  <c r="Z111" i="138"/>
  <c r="AQ124" i="138"/>
  <c r="AR124" i="138" s="1"/>
  <c r="AP124" i="138"/>
  <c r="AO124" i="138"/>
  <c r="AN124" i="138"/>
  <c r="Y134" i="138"/>
  <c r="S134" i="138" s="1"/>
  <c r="Z134" i="138"/>
  <c r="Z127" i="138"/>
  <c r="Y127" i="138"/>
  <c r="S127" i="138" s="1"/>
  <c r="Z138" i="138"/>
  <c r="Y138" i="138"/>
  <c r="S138" i="138" s="1"/>
  <c r="AG99" i="138"/>
  <c r="AM99" i="138"/>
  <c r="Y102" i="138"/>
  <c r="S102" i="138" s="1"/>
  <c r="Z102" i="138"/>
  <c r="AO107" i="138"/>
  <c r="AN107" i="138"/>
  <c r="AQ107" i="138"/>
  <c r="AR107" i="138" s="1"/>
  <c r="AP107" i="138"/>
  <c r="Y116" i="138"/>
  <c r="S116" i="138" s="1"/>
  <c r="AP116" i="138"/>
  <c r="Z116" i="138"/>
  <c r="AQ126" i="138"/>
  <c r="AR126" i="138" s="1"/>
  <c r="AI126" i="138" s="1"/>
  <c r="X87" i="138"/>
  <c r="AQ88" i="138"/>
  <c r="AR88" i="138" s="1"/>
  <c r="AI88" i="138" s="1"/>
  <c r="AP88" i="138"/>
  <c r="AO88" i="138"/>
  <c r="AN88" i="138"/>
  <c r="AF92" i="138"/>
  <c r="AL92" i="138"/>
  <c r="AP95" i="138"/>
  <c r="Z95" i="138"/>
  <c r="Y95" i="138"/>
  <c r="S95" i="138" s="1"/>
  <c r="AQ113" i="138"/>
  <c r="AR113" i="138" s="1"/>
  <c r="AI113" i="138" s="1"/>
  <c r="AO113" i="138"/>
  <c r="AP113" i="138"/>
  <c r="Z119" i="138"/>
  <c r="Y119" i="138"/>
  <c r="S119" i="138" s="1"/>
  <c r="AQ120" i="138"/>
  <c r="AR120" i="138" s="1"/>
  <c r="AP120" i="138"/>
  <c r="AO120" i="138"/>
  <c r="AN120" i="138"/>
  <c r="Z97" i="138"/>
  <c r="Y97" i="138"/>
  <c r="S97" i="138" s="1"/>
  <c r="Y100" i="138"/>
  <c r="S100" i="138" s="1"/>
  <c r="Z100" i="138"/>
  <c r="Z110" i="138"/>
  <c r="Y110" i="138"/>
  <c r="S110" i="138" s="1"/>
  <c r="AG118" i="138"/>
  <c r="Y90" i="138"/>
  <c r="S90" i="138" s="1"/>
  <c r="Z90" i="138"/>
  <c r="AM106" i="138"/>
  <c r="AG106" i="138"/>
  <c r="AN111" i="138"/>
  <c r="AQ111" i="138"/>
  <c r="AP111" i="138"/>
  <c r="AO111" i="138"/>
  <c r="Z117" i="138"/>
  <c r="Y117" i="138"/>
  <c r="S117" i="138" s="1"/>
  <c r="Y122" i="138"/>
  <c r="S122" i="138" s="1"/>
  <c r="Z122" i="138"/>
  <c r="AQ123" i="138"/>
  <c r="AR123" i="138" s="1"/>
  <c r="AI123" i="138" s="1"/>
  <c r="AO123" i="138"/>
  <c r="AP123" i="138"/>
  <c r="AN123" i="138"/>
  <c r="Z125" i="138"/>
  <c r="Y125" i="138"/>
  <c r="S125" i="138" s="1"/>
  <c r="AM84" i="138"/>
  <c r="Y93" i="138"/>
  <c r="S93" i="138" s="1"/>
  <c r="Z93" i="138"/>
  <c r="Z99" i="138"/>
  <c r="Y99" i="138"/>
  <c r="S99" i="138" s="1"/>
  <c r="Z103" i="138"/>
  <c r="Z107" i="138"/>
  <c r="Y107" i="138"/>
  <c r="S107" i="138" s="1"/>
  <c r="AM112" i="138"/>
  <c r="AG112" i="138"/>
  <c r="AR112" i="138" s="1"/>
  <c r="AG121" i="138"/>
  <c r="Y126" i="138"/>
  <c r="S126" i="138" s="1"/>
  <c r="Z126" i="138"/>
  <c r="AQ127" i="138"/>
  <c r="AR127" i="138" s="1"/>
  <c r="AO127" i="138"/>
  <c r="AP127" i="138"/>
  <c r="AN127" i="138"/>
  <c r="AQ104" i="138"/>
  <c r="AR104" i="138" s="1"/>
  <c r="AI104" i="138" s="1"/>
  <c r="Z109" i="138"/>
  <c r="AO109" i="138"/>
  <c r="AG110" i="138"/>
  <c r="AR110" i="138" s="1"/>
  <c r="Y114" i="138"/>
  <c r="S114" i="138" s="1"/>
  <c r="Z133" i="138"/>
  <c r="AF135" i="138"/>
  <c r="AL135" i="138"/>
  <c r="AM140" i="138"/>
  <c r="AG140" i="138"/>
  <c r="AL144" i="138"/>
  <c r="AF144" i="138"/>
  <c r="BN155" i="138"/>
  <c r="BK155" i="138"/>
  <c r="BO155" i="138" s="1"/>
  <c r="BJ155" i="138"/>
  <c r="AF89" i="138"/>
  <c r="AN95" i="138"/>
  <c r="AM98" i="138"/>
  <c r="AG103" i="138"/>
  <c r="Y104" i="138"/>
  <c r="S104" i="138" s="1"/>
  <c r="AN104" i="138"/>
  <c r="AF105" i="138"/>
  <c r="AP109" i="138"/>
  <c r="AN115" i="138"/>
  <c r="AI115" i="138" s="1"/>
  <c r="AL118" i="138"/>
  <c r="AM118" i="138" s="1"/>
  <c r="AL121" i="138"/>
  <c r="AM121" i="138" s="1"/>
  <c r="AN126" i="138"/>
  <c r="Y139" i="138"/>
  <c r="S139" i="138" s="1"/>
  <c r="Z150" i="138"/>
  <c r="Y150" i="138"/>
  <c r="S150" i="138" s="1"/>
  <c r="Z155" i="138"/>
  <c r="Y155" i="138"/>
  <c r="S155" i="138" s="1"/>
  <c r="AQ161" i="138"/>
  <c r="AR161" i="138" s="1"/>
  <c r="AP161" i="138"/>
  <c r="AO161" i="138"/>
  <c r="AN161" i="138"/>
  <c r="AG98" i="138"/>
  <c r="AO104" i="138"/>
  <c r="AQ109" i="138"/>
  <c r="AO115" i="138"/>
  <c r="AM122" i="138"/>
  <c r="Y123" i="138"/>
  <c r="S123" i="138" s="1"/>
  <c r="AO130" i="138"/>
  <c r="AP130" i="138"/>
  <c r="Y132" i="138"/>
  <c r="S132" i="138" s="1"/>
  <c r="AF139" i="138"/>
  <c r="AL139" i="138"/>
  <c r="Y141" i="138"/>
  <c r="S141" i="138" s="1"/>
  <c r="Z141" i="138"/>
  <c r="Z154" i="138"/>
  <c r="Y154" i="138"/>
  <c r="S154" i="138" s="1"/>
  <c r="AQ154" i="138"/>
  <c r="AR154" i="138" s="1"/>
  <c r="AP154" i="138"/>
  <c r="AQ158" i="138"/>
  <c r="AR158" i="138" s="1"/>
  <c r="AP158" i="138"/>
  <c r="AO158" i="138"/>
  <c r="AN158" i="138"/>
  <c r="AY162" i="138"/>
  <c r="BC162" i="138" s="1"/>
  <c r="AX162" i="138"/>
  <c r="BH162" i="138" s="1"/>
  <c r="BI162" i="138"/>
  <c r="Y92" i="138"/>
  <c r="S92" i="138" s="1"/>
  <c r="AQ95" i="138"/>
  <c r="AR95" i="138" s="1"/>
  <c r="AI95" i="138" s="1"/>
  <c r="AL96" i="138"/>
  <c r="AM96" i="138" s="1"/>
  <c r="Y101" i="138"/>
  <c r="S101" i="138" s="1"/>
  <c r="AM102" i="138"/>
  <c r="AP104" i="138"/>
  <c r="Z115" i="138"/>
  <c r="AP115" i="138"/>
  <c r="Y130" i="138"/>
  <c r="S130" i="138" s="1"/>
  <c r="AN130" i="138"/>
  <c r="Z131" i="138"/>
  <c r="AL132" i="138"/>
  <c r="AF132" i="138"/>
  <c r="AM133" i="138"/>
  <c r="AG133" i="138"/>
  <c r="AG134" i="138"/>
  <c r="AM134" i="138"/>
  <c r="AQ136" i="138"/>
  <c r="AR136" i="138" s="1"/>
  <c r="AI136" i="138" s="1"/>
  <c r="AM141" i="138"/>
  <c r="AG141" i="138"/>
  <c r="Z143" i="138"/>
  <c r="Y143" i="138"/>
  <c r="S143" i="138" s="1"/>
  <c r="Z147" i="138"/>
  <c r="Y147" i="138"/>
  <c r="S147" i="138" s="1"/>
  <c r="AM153" i="138"/>
  <c r="AG153" i="138"/>
  <c r="Z157" i="138"/>
  <c r="Y157" i="138"/>
  <c r="S157" i="138" s="1"/>
  <c r="Z159" i="138"/>
  <c r="Y159" i="138"/>
  <c r="S159" i="138" s="1"/>
  <c r="AG102" i="138"/>
  <c r="Z118" i="138"/>
  <c r="Z121" i="138"/>
  <c r="AQ130" i="138"/>
  <c r="AR130" i="138" s="1"/>
  <c r="AI130" i="138" s="1"/>
  <c r="AQ131" i="138"/>
  <c r="AR131" i="138" s="1"/>
  <c r="AP131" i="138"/>
  <c r="AN131" i="138"/>
  <c r="AO138" i="138"/>
  <c r="AQ138" i="138"/>
  <c r="AR138" i="138" s="1"/>
  <c r="AN138" i="138"/>
  <c r="Z140" i="138"/>
  <c r="Y140" i="138"/>
  <c r="S140" i="138" s="1"/>
  <c r="Z142" i="138"/>
  <c r="Y142" i="138"/>
  <c r="S142" i="138" s="1"/>
  <c r="AQ142" i="138"/>
  <c r="AR142" i="138" s="1"/>
  <c r="AI142" i="138" s="1"/>
  <c r="AQ143" i="138"/>
  <c r="AR143" i="138" s="1"/>
  <c r="AI143" i="138" s="1"/>
  <c r="AP143" i="138"/>
  <c r="AO143" i="138"/>
  <c r="AN143" i="138"/>
  <c r="BE154" i="138"/>
  <c r="BD154" i="138"/>
  <c r="AQ119" i="138"/>
  <c r="AR119" i="138" s="1"/>
  <c r="AO119" i="138"/>
  <c r="AP126" i="138"/>
  <c r="AO126" i="138"/>
  <c r="Y129" i="138"/>
  <c r="S129" i="138" s="1"/>
  <c r="Z129" i="138"/>
  <c r="AF137" i="138"/>
  <c r="AG138" i="138"/>
  <c r="AP145" i="138"/>
  <c r="Z146" i="138"/>
  <c r="Y146" i="138"/>
  <c r="S146" i="138" s="1"/>
  <c r="BN156" i="138"/>
  <c r="BK156" i="138"/>
  <c r="BO156" i="138" s="1"/>
  <c r="BJ156" i="138"/>
  <c r="Z161" i="138"/>
  <c r="Y161" i="138"/>
  <c r="S161" i="138" s="1"/>
  <c r="AN119" i="138"/>
  <c r="Y124" i="138"/>
  <c r="S124" i="138" s="1"/>
  <c r="AG126" i="138"/>
  <c r="AP136" i="138"/>
  <c r="AO136" i="138"/>
  <c r="AO150" i="138"/>
  <c r="AQ150" i="138"/>
  <c r="AP150" i="138"/>
  <c r="AN150" i="138"/>
  <c r="Z151" i="138"/>
  <c r="Y151" i="138"/>
  <c r="S151" i="138" s="1"/>
  <c r="Z156" i="138"/>
  <c r="Y156" i="138"/>
  <c r="S156" i="138" s="1"/>
  <c r="X112" i="138"/>
  <c r="AG115" i="138"/>
  <c r="AQ116" i="138"/>
  <c r="AR116" i="138" s="1"/>
  <c r="AI116" i="138" s="1"/>
  <c r="AP119" i="138"/>
  <c r="AL128" i="138"/>
  <c r="AF128" i="138"/>
  <c r="AP138" i="138"/>
  <c r="Y145" i="138"/>
  <c r="S145" i="138" s="1"/>
  <c r="AQ145" i="138"/>
  <c r="Z145" i="138"/>
  <c r="AG151" i="138"/>
  <c r="AR151" i="138" s="1"/>
  <c r="AM151" i="138"/>
  <c r="Z152" i="138"/>
  <c r="Y152" i="138"/>
  <c r="S152" i="138" s="1"/>
  <c r="Z144" i="138"/>
  <c r="AQ157" i="138"/>
  <c r="AR157" i="138" s="1"/>
  <c r="AP157" i="138"/>
  <c r="AO157" i="138"/>
  <c r="Z158" i="138"/>
  <c r="BB160" i="138"/>
  <c r="BI160" i="138"/>
  <c r="Z171" i="138"/>
  <c r="Y171" i="138"/>
  <c r="S171" i="138" s="1"/>
  <c r="AN157" i="138"/>
  <c r="BN158" i="138"/>
  <c r="BK158" i="138"/>
  <c r="BD161" i="138"/>
  <c r="BE161" i="138"/>
  <c r="BR161" i="138" s="1"/>
  <c r="AP146" i="138"/>
  <c r="AF147" i="138"/>
  <c r="Y148" i="138"/>
  <c r="S148" i="138" s="1"/>
  <c r="AN148" i="138"/>
  <c r="AF152" i="138"/>
  <c r="Z153" i="138"/>
  <c r="AM155" i="138"/>
  <c r="AM156" i="138"/>
  <c r="BN157" i="138"/>
  <c r="BK157" i="138"/>
  <c r="BJ158" i="138"/>
  <c r="AY160" i="138"/>
  <c r="BD168" i="138"/>
  <c r="BE168" i="138"/>
  <c r="AN145" i="138"/>
  <c r="AQ146" i="138"/>
  <c r="AO148" i="138"/>
  <c r="AF149" i="138"/>
  <c r="AO145" i="138"/>
  <c r="AP148" i="138"/>
  <c r="BI154" i="138"/>
  <c r="AX158" i="138"/>
  <c r="BH158" i="138" s="1"/>
  <c r="BQ161" i="138"/>
  <c r="BB164" i="138"/>
  <c r="AY164" i="138"/>
  <c r="BC164" i="138" s="1"/>
  <c r="AX154" i="138"/>
  <c r="BH154" i="138" s="1"/>
  <c r="AX157" i="138"/>
  <c r="BH157" i="138" s="1"/>
  <c r="AY158" i="138"/>
  <c r="BC158" i="138" s="1"/>
  <c r="AX164" i="138"/>
  <c r="BB156" i="138"/>
  <c r="AY156" i="138"/>
  <c r="BC156" i="138" s="1"/>
  <c r="BD157" i="138"/>
  <c r="AP160" i="138"/>
  <c r="AO160" i="138"/>
  <c r="AQ160" i="138"/>
  <c r="AR160" i="138" s="1"/>
  <c r="AN160" i="138"/>
  <c r="AF163" i="138"/>
  <c r="AL163" i="138"/>
  <c r="AW163" i="138"/>
  <c r="Z164" i="138"/>
  <c r="BI164" i="138"/>
  <c r="AM129" i="138"/>
  <c r="AN142" i="138"/>
  <c r="AG148" i="138"/>
  <c r="AR148" i="138" s="1"/>
  <c r="Z149" i="138"/>
  <c r="AN154" i="138"/>
  <c r="BB155" i="138"/>
  <c r="AY155" i="138"/>
  <c r="BC155" i="138" s="1"/>
  <c r="AX156" i="138"/>
  <c r="BE157" i="138"/>
  <c r="AW159" i="138"/>
  <c r="AF159" i="138"/>
  <c r="Y160" i="138"/>
  <c r="S160" i="138" s="1"/>
  <c r="AF162" i="138"/>
  <c r="AL162" i="138"/>
  <c r="AF164" i="138"/>
  <c r="AL164" i="138"/>
  <c r="BB170" i="138"/>
  <c r="AY170" i="138"/>
  <c r="BC170" i="138" s="1"/>
  <c r="AX170" i="138"/>
  <c r="BH170" i="138" s="1"/>
  <c r="AM174" i="138"/>
  <c r="AG174" i="138"/>
  <c r="Z176" i="138"/>
  <c r="Y176" i="138"/>
  <c r="S176" i="138" s="1"/>
  <c r="Z178" i="138"/>
  <c r="Y178" i="138"/>
  <c r="S178" i="138" s="1"/>
  <c r="X167" i="138"/>
  <c r="AG168" i="138"/>
  <c r="AR168" i="138" s="1"/>
  <c r="BF168" i="138" s="1"/>
  <c r="AO170" i="138"/>
  <c r="AQ170" i="138"/>
  <c r="AR170" i="138" s="1"/>
  <c r="AP170" i="138"/>
  <c r="AG171" i="138"/>
  <c r="AR171" i="138" s="1"/>
  <c r="BF171" i="138" s="1"/>
  <c r="Y173" i="138"/>
  <c r="S173" i="138" s="1"/>
  <c r="AN182" i="138"/>
  <c r="AQ182" i="138"/>
  <c r="AR182" i="138" s="1"/>
  <c r="AI182" i="138" s="1"/>
  <c r="AP182" i="138"/>
  <c r="AO182" i="138"/>
  <c r="Z185" i="138"/>
  <c r="Y185" i="138"/>
  <c r="S185" i="138" s="1"/>
  <c r="Z189" i="138"/>
  <c r="Y189" i="138"/>
  <c r="S189" i="138" s="1"/>
  <c r="Z200" i="138"/>
  <c r="Y200" i="138"/>
  <c r="S200" i="138" s="1"/>
  <c r="AW166" i="138"/>
  <c r="AL166" i="138"/>
  <c r="AF166" i="138"/>
  <c r="BO168" i="138"/>
  <c r="X169" i="138"/>
  <c r="AG170" i="138"/>
  <c r="BK172" i="138"/>
  <c r="BO172" i="138" s="1"/>
  <c r="BJ172" i="138"/>
  <c r="AL177" i="138"/>
  <c r="AM178" i="138"/>
  <c r="AG178" i="138"/>
  <c r="Y179" i="138"/>
  <c r="S179" i="138" s="1"/>
  <c r="Z179" i="138"/>
  <c r="AQ185" i="138"/>
  <c r="AR185" i="138" s="1"/>
  <c r="AI185" i="138" s="1"/>
  <c r="AP185" i="138"/>
  <c r="AO185" i="138"/>
  <c r="AN185" i="138"/>
  <c r="Z204" i="138"/>
  <c r="Y204" i="138"/>
  <c r="S204" i="138" s="1"/>
  <c r="AO168" i="138"/>
  <c r="AP168" i="138"/>
  <c r="AN168" i="138"/>
  <c r="BK169" i="138"/>
  <c r="BN169" i="138"/>
  <c r="BJ169" i="138"/>
  <c r="AP171" i="138"/>
  <c r="AQ171" i="138"/>
  <c r="AO171" i="138"/>
  <c r="Y175" i="138"/>
  <c r="S175" i="138" s="1"/>
  <c r="Z175" i="138"/>
  <c r="AO176" i="138"/>
  <c r="AN176" i="138"/>
  <c r="AO184" i="138"/>
  <c r="AQ184" i="138"/>
  <c r="AR184" i="138" s="1"/>
  <c r="AI184" i="138" s="1"/>
  <c r="AP184" i="138"/>
  <c r="AN184" i="138"/>
  <c r="AO196" i="138"/>
  <c r="AN196" i="138"/>
  <c r="AQ196" i="138"/>
  <c r="AR196" i="138" s="1"/>
  <c r="AP196" i="138"/>
  <c r="AQ198" i="138"/>
  <c r="AR198" i="138" s="1"/>
  <c r="AP198" i="138"/>
  <c r="AO198" i="138"/>
  <c r="AN198" i="138"/>
  <c r="AP201" i="138"/>
  <c r="AO201" i="138"/>
  <c r="AQ201" i="138"/>
  <c r="AR201" i="138" s="1"/>
  <c r="AN201" i="138"/>
  <c r="Z203" i="138"/>
  <c r="Y203" i="138"/>
  <c r="S203" i="138" s="1"/>
  <c r="Y162" i="138"/>
  <c r="S162" i="138" s="1"/>
  <c r="Z165" i="138"/>
  <c r="AQ168" i="138"/>
  <c r="AP169" i="138"/>
  <c r="BK170" i="138"/>
  <c r="BO170" i="138" s="1"/>
  <c r="BN170" i="138"/>
  <c r="BJ170" i="138"/>
  <c r="AN171" i="138"/>
  <c r="BC172" i="138"/>
  <c r="Z180" i="138"/>
  <c r="Y180" i="138"/>
  <c r="S180" i="138" s="1"/>
  <c r="BD201" i="138"/>
  <c r="BE201" i="138"/>
  <c r="AM165" i="138"/>
  <c r="AG165" i="138"/>
  <c r="AW165" i="138"/>
  <c r="X166" i="138"/>
  <c r="AM172" i="138"/>
  <c r="AG172" i="138"/>
  <c r="AR172" i="138" s="1"/>
  <c r="Y174" i="138"/>
  <c r="S174" i="138" s="1"/>
  <c r="AG179" i="138"/>
  <c r="Y187" i="138"/>
  <c r="S187" i="138" s="1"/>
  <c r="Z187" i="138"/>
  <c r="AQ192" i="138"/>
  <c r="AR192" i="138" s="1"/>
  <c r="AP192" i="138"/>
  <c r="AO192" i="138"/>
  <c r="AN192" i="138"/>
  <c r="Z195" i="138"/>
  <c r="Y195" i="138"/>
  <c r="S195" i="138" s="1"/>
  <c r="BN198" i="138"/>
  <c r="BK198" i="138"/>
  <c r="BO198" i="138" s="1"/>
  <c r="BJ198" i="138"/>
  <c r="AP200" i="138"/>
  <c r="AO200" i="138"/>
  <c r="AQ200" i="138"/>
  <c r="AR200" i="138" s="1"/>
  <c r="AN200" i="138"/>
  <c r="AM167" i="138"/>
  <c r="AW167" i="138"/>
  <c r="Z168" i="138"/>
  <c r="Z170" i="138"/>
  <c r="AM175" i="138"/>
  <c r="AG175" i="138"/>
  <c r="AP176" i="138"/>
  <c r="Z177" i="138"/>
  <c r="Y177" i="138"/>
  <c r="S177" i="138" s="1"/>
  <c r="Z184" i="138"/>
  <c r="Y184" i="138"/>
  <c r="S184" i="138" s="1"/>
  <c r="Z202" i="138"/>
  <c r="Y202" i="138"/>
  <c r="S202" i="138" s="1"/>
  <c r="AQ204" i="138"/>
  <c r="AP204" i="138"/>
  <c r="AO204" i="138"/>
  <c r="AN204" i="138"/>
  <c r="BB169" i="138"/>
  <c r="AY169" i="138"/>
  <c r="BC169" i="138" s="1"/>
  <c r="AX169" i="138"/>
  <c r="BH169" i="138" s="1"/>
  <c r="BE171" i="138"/>
  <c r="BD171" i="138"/>
  <c r="AQ176" i="138"/>
  <c r="AR176" i="138" s="1"/>
  <c r="AI176" i="138" s="1"/>
  <c r="AG177" i="138"/>
  <c r="AM177" i="138"/>
  <c r="Z201" i="138"/>
  <c r="Y201" i="138"/>
  <c r="S201" i="138" s="1"/>
  <c r="AO202" i="138"/>
  <c r="AN202" i="138"/>
  <c r="AQ202" i="138"/>
  <c r="AR202" i="138" s="1"/>
  <c r="AP202" i="138"/>
  <c r="AP203" i="138"/>
  <c r="AO203" i="138"/>
  <c r="AQ203" i="138"/>
  <c r="AR203" i="138" s="1"/>
  <c r="AN203" i="138"/>
  <c r="AL179" i="138"/>
  <c r="AM179" i="138" s="1"/>
  <c r="AP180" i="138"/>
  <c r="Z182" i="138"/>
  <c r="AG183" i="138"/>
  <c r="AQ190" i="138"/>
  <c r="AF205" i="138"/>
  <c r="AL205" i="138"/>
  <c r="AQ180" i="138"/>
  <c r="AR180" i="138" s="1"/>
  <c r="AI180" i="138" s="1"/>
  <c r="AG185" i="138"/>
  <c r="AF187" i="138"/>
  <c r="AM188" i="138"/>
  <c r="AG189" i="138"/>
  <c r="AO191" i="138"/>
  <c r="AQ191" i="138"/>
  <c r="AR191" i="138" s="1"/>
  <c r="AI191" i="138" s="1"/>
  <c r="AQ193" i="138"/>
  <c r="AR193" i="138" s="1"/>
  <c r="AI193" i="138" s="1"/>
  <c r="AG196" i="138"/>
  <c r="BC197" i="138"/>
  <c r="AX198" i="138"/>
  <c r="BH198" i="138" s="1"/>
  <c r="AW199" i="138"/>
  <c r="BJ200" i="138"/>
  <c r="AX202" i="138"/>
  <c r="AQ181" i="138"/>
  <c r="AR181" i="138" s="1"/>
  <c r="AI181" i="138" s="1"/>
  <c r="Y194" i="138"/>
  <c r="S194" i="138" s="1"/>
  <c r="Z194" i="138"/>
  <c r="AO195" i="138"/>
  <c r="AN195" i="138"/>
  <c r="AQ195" i="138"/>
  <c r="AR195" i="138" s="1"/>
  <c r="AI195" i="138" s="1"/>
  <c r="AP195" i="138"/>
  <c r="BK200" i="138"/>
  <c r="BO200" i="138" s="1"/>
  <c r="BE202" i="138"/>
  <c r="BD202" i="138"/>
  <c r="AP191" i="138"/>
  <c r="BB198" i="138"/>
  <c r="BC198" i="138" s="1"/>
  <c r="BJ201" i="138"/>
  <c r="BC204" i="138"/>
  <c r="BI171" i="138"/>
  <c r="AO181" i="138"/>
  <c r="Z183" i="138"/>
  <c r="AO183" i="138"/>
  <c r="AM189" i="138"/>
  <c r="AG190" i="138"/>
  <c r="AR190" i="138" s="1"/>
  <c r="AG193" i="138"/>
  <c r="AL199" i="138"/>
  <c r="AM199" i="138" s="1"/>
  <c r="AX200" i="138"/>
  <c r="BH200" i="138" s="1"/>
  <c r="BK201" i="138"/>
  <c r="BO201" i="138" s="1"/>
  <c r="BI202" i="138"/>
  <c r="BE203" i="138"/>
  <c r="BD203" i="138"/>
  <c r="AG206" i="138"/>
  <c r="AM206" i="138"/>
  <c r="AL173" i="138"/>
  <c r="AM173" i="138" s="1"/>
  <c r="AP181" i="138"/>
  <c r="AF186" i="138"/>
  <c r="AM194" i="138"/>
  <c r="AP197" i="138"/>
  <c r="AO197" i="138"/>
  <c r="AQ197" i="138"/>
  <c r="AR197" i="138" s="1"/>
  <c r="BC200" i="138"/>
  <c r="BJ204" i="138"/>
  <c r="Y196" i="138"/>
  <c r="S196" i="138" s="1"/>
  <c r="Y197" i="138"/>
  <c r="S197" i="138" s="1"/>
  <c r="AN197" i="138"/>
  <c r="BK197" i="138"/>
  <c r="BO197" i="138" s="1"/>
  <c r="AX201" i="138"/>
  <c r="BH201" i="138" s="1"/>
  <c r="BI203" i="138"/>
  <c r="BK204" i="138"/>
  <c r="BO204" i="138" s="1"/>
  <c r="AN180" i="138"/>
  <c r="AP190" i="138"/>
  <c r="Y193" i="138"/>
  <c r="S193" i="138" s="1"/>
  <c r="Y205" i="138"/>
  <c r="S205" i="138" s="1"/>
  <c r="Y206" i="138"/>
  <c r="S206" i="138" s="1"/>
  <c r="AN15" i="137"/>
  <c r="AQ12" i="137"/>
  <c r="AR12" i="137" s="1"/>
  <c r="AP12" i="137"/>
  <c r="BU12" i="137" s="1"/>
  <c r="AL14" i="137"/>
  <c r="AF14" i="137"/>
  <c r="Y21" i="137"/>
  <c r="S21" i="137" s="1"/>
  <c r="AM28" i="137"/>
  <c r="AF34" i="137"/>
  <c r="AL34" i="137"/>
  <c r="AG43" i="137"/>
  <c r="Z44" i="137"/>
  <c r="Y44" i="137"/>
  <c r="S44" i="137" s="1"/>
  <c r="X69" i="137"/>
  <c r="AG69" i="137"/>
  <c r="AF7" i="137"/>
  <c r="AL7" i="137"/>
  <c r="AM48" i="137"/>
  <c r="AM51" i="137"/>
  <c r="AG51" i="137"/>
  <c r="Z52" i="137"/>
  <c r="Y52" i="137"/>
  <c r="S52" i="137" s="1"/>
  <c r="Y65" i="137"/>
  <c r="S65" i="137" s="1"/>
  <c r="AG8" i="137"/>
  <c r="AQ10" i="137"/>
  <c r="AR10" i="137" s="1"/>
  <c r="AI10" i="137" s="1"/>
  <c r="AP10" i="137"/>
  <c r="BU10" i="137" s="1"/>
  <c r="AL13" i="137"/>
  <c r="AF13" i="137"/>
  <c r="AO16" i="137"/>
  <c r="AN16" i="137"/>
  <c r="AL19" i="137"/>
  <c r="AF19" i="137"/>
  <c r="AM30" i="137"/>
  <c r="AG33" i="137"/>
  <c r="Z35" i="137"/>
  <c r="AN38" i="137"/>
  <c r="AQ38" i="137"/>
  <c r="AR38" i="137" s="1"/>
  <c r="AO38" i="137"/>
  <c r="AM54" i="137"/>
  <c r="AG54" i="137"/>
  <c r="Z28" i="137"/>
  <c r="Y28" i="137"/>
  <c r="S28" i="137" s="1"/>
  <c r="AL35" i="137"/>
  <c r="AF35" i="137"/>
  <c r="AG38" i="137"/>
  <c r="Y48" i="137"/>
  <c r="S48" i="137" s="1"/>
  <c r="AL57" i="137"/>
  <c r="AF57" i="137"/>
  <c r="Z12" i="137"/>
  <c r="Y12" i="137"/>
  <c r="S12" i="137" s="1"/>
  <c r="AG20" i="137"/>
  <c r="AM25" i="137"/>
  <c r="AG25" i="137"/>
  <c r="AG26" i="137"/>
  <c r="AO82" i="137"/>
  <c r="AN82" i="137"/>
  <c r="AQ82" i="137"/>
  <c r="AR82" i="137" s="1"/>
  <c r="AP82" i="137"/>
  <c r="Y10" i="137"/>
  <c r="S10" i="137" s="1"/>
  <c r="AG32" i="137"/>
  <c r="AL33" i="137"/>
  <c r="AM33" i="137" s="1"/>
  <c r="AP38" i="137"/>
  <c r="AG39" i="137"/>
  <c r="AF4" i="137"/>
  <c r="AL4" i="137"/>
  <c r="AO20" i="137"/>
  <c r="AF45" i="137"/>
  <c r="AL45" i="137"/>
  <c r="AL9" i="137"/>
  <c r="AF9" i="137"/>
  <c r="AN20" i="137"/>
  <c r="AL27" i="137"/>
  <c r="AF27" i="137"/>
  <c r="AN37" i="137"/>
  <c r="Z56" i="137"/>
  <c r="Y56" i="137"/>
  <c r="S56" i="137" s="1"/>
  <c r="AO60" i="137"/>
  <c r="X31" i="137"/>
  <c r="Z60" i="137"/>
  <c r="Y60" i="137"/>
  <c r="S60" i="137" s="1"/>
  <c r="AF63" i="137"/>
  <c r="AL63" i="137"/>
  <c r="AG73" i="137"/>
  <c r="Z90" i="137"/>
  <c r="Y90" i="137"/>
  <c r="S90" i="137" s="1"/>
  <c r="X5" i="137"/>
  <c r="X23" i="137"/>
  <c r="AG36" i="137"/>
  <c r="AG47" i="137"/>
  <c r="AF67" i="137"/>
  <c r="AL67" i="137"/>
  <c r="X13" i="137"/>
  <c r="AL21" i="137"/>
  <c r="AM21" i="137" s="1"/>
  <c r="AF42" i="137"/>
  <c r="Y57" i="137"/>
  <c r="S57" i="137" s="1"/>
  <c r="Z57" i="137"/>
  <c r="Y58" i="137"/>
  <c r="S58" i="137" s="1"/>
  <c r="AG60" i="137"/>
  <c r="AF49" i="137"/>
  <c r="AL49" i="137"/>
  <c r="AL55" i="137"/>
  <c r="AM55" i="137" s="1"/>
  <c r="AL64" i="137"/>
  <c r="AF64" i="137"/>
  <c r="Y101" i="137"/>
  <c r="S101" i="137" s="1"/>
  <c r="Z101" i="137"/>
  <c r="Y105" i="137"/>
  <c r="S105" i="137" s="1"/>
  <c r="Y110" i="137"/>
  <c r="S110" i="137" s="1"/>
  <c r="Z110" i="137"/>
  <c r="Z82" i="137"/>
  <c r="Y82" i="137"/>
  <c r="S82" i="137" s="1"/>
  <c r="Y109" i="137"/>
  <c r="S109" i="137" s="1"/>
  <c r="Z109" i="137"/>
  <c r="AF75" i="137"/>
  <c r="AL75" i="137"/>
  <c r="AQ83" i="137"/>
  <c r="AR83" i="137" s="1"/>
  <c r="AP83" i="137"/>
  <c r="AN83" i="137"/>
  <c r="AO83" i="137"/>
  <c r="AL65" i="137"/>
  <c r="AF65" i="137"/>
  <c r="AO66" i="137"/>
  <c r="AN66" i="137"/>
  <c r="AG90" i="137"/>
  <c r="Z98" i="137"/>
  <c r="Y59" i="137"/>
  <c r="S59" i="137" s="1"/>
  <c r="AG66" i="137"/>
  <c r="Z77" i="137"/>
  <c r="AF59" i="137"/>
  <c r="AL59" i="137"/>
  <c r="AG70" i="137"/>
  <c r="AM70" i="137"/>
  <c r="AF97" i="137"/>
  <c r="AL97" i="137"/>
  <c r="X66" i="137"/>
  <c r="Y83" i="137"/>
  <c r="S83" i="137" s="1"/>
  <c r="Z83" i="137"/>
  <c r="AF91" i="137"/>
  <c r="AL91" i="137"/>
  <c r="Y103" i="137"/>
  <c r="S103" i="137" s="1"/>
  <c r="Z103" i="137"/>
  <c r="Z104" i="137"/>
  <c r="AG126" i="137"/>
  <c r="AL72" i="137"/>
  <c r="AF72" i="137"/>
  <c r="Z116" i="137"/>
  <c r="AF127" i="137"/>
  <c r="AL127" i="137"/>
  <c r="AO94" i="137"/>
  <c r="AQ94" i="137"/>
  <c r="AR94" i="137" s="1"/>
  <c r="AL95" i="137"/>
  <c r="AM95" i="137" s="1"/>
  <c r="AG98" i="137"/>
  <c r="AL107" i="137"/>
  <c r="AM107" i="137" s="1"/>
  <c r="AL109" i="137"/>
  <c r="AM109" i="137" s="1"/>
  <c r="AG110" i="137"/>
  <c r="AG77" i="137"/>
  <c r="Y94" i="137"/>
  <c r="S94" i="137" s="1"/>
  <c r="AN94" i="137"/>
  <c r="AL99" i="137"/>
  <c r="AM99" i="137" s="1"/>
  <c r="AL101" i="137"/>
  <c r="AM101" i="137" s="1"/>
  <c r="AG103" i="137"/>
  <c r="Y114" i="137"/>
  <c r="S114" i="137" s="1"/>
  <c r="AF115" i="137"/>
  <c r="AL115" i="137"/>
  <c r="Y125" i="137"/>
  <c r="S125" i="137" s="1"/>
  <c r="AF128" i="137"/>
  <c r="AL128" i="137"/>
  <c r="AG129" i="137"/>
  <c r="AG74" i="137"/>
  <c r="X78" i="137"/>
  <c r="AM85" i="137"/>
  <c r="Z89" i="137"/>
  <c r="Y93" i="137"/>
  <c r="S93" i="137" s="1"/>
  <c r="Z93" i="137"/>
  <c r="AG105" i="137"/>
  <c r="Y126" i="137"/>
  <c r="S126" i="137" s="1"/>
  <c r="X73" i="137"/>
  <c r="AG82" i="137"/>
  <c r="AL84" i="137"/>
  <c r="AF84" i="137"/>
  <c r="AG86" i="137"/>
  <c r="Z92" i="137"/>
  <c r="Y95" i="137"/>
  <c r="S95" i="137" s="1"/>
  <c r="Z95" i="137"/>
  <c r="Z96" i="137"/>
  <c r="AL103" i="137"/>
  <c r="AM103" i="137" s="1"/>
  <c r="AL105" i="137"/>
  <c r="AM105" i="137" s="1"/>
  <c r="Z137" i="137"/>
  <c r="Y137" i="137"/>
  <c r="S137" i="137" s="1"/>
  <c r="Y97" i="137"/>
  <c r="S97" i="137" s="1"/>
  <c r="Z97" i="137"/>
  <c r="AG113" i="137"/>
  <c r="AL123" i="137"/>
  <c r="AM123" i="137" s="1"/>
  <c r="AG133" i="137"/>
  <c r="AG135" i="137"/>
  <c r="Z168" i="137"/>
  <c r="AG131" i="137"/>
  <c r="AF136" i="137"/>
  <c r="AL136" i="137"/>
  <c r="AM117" i="137"/>
  <c r="AL121" i="137"/>
  <c r="AM121" i="137" s="1"/>
  <c r="AQ132" i="137"/>
  <c r="AR132" i="137" s="1"/>
  <c r="AN132" i="137"/>
  <c r="AF88" i="137"/>
  <c r="AO132" i="137"/>
  <c r="AF134" i="137"/>
  <c r="X139" i="137"/>
  <c r="Z133" i="137"/>
  <c r="AL79" i="137"/>
  <c r="AM79" i="137" s="1"/>
  <c r="AG106" i="137"/>
  <c r="Z121" i="137"/>
  <c r="Y124" i="137"/>
  <c r="S124" i="137" s="1"/>
  <c r="Z129" i="137"/>
  <c r="Y131" i="137"/>
  <c r="S131" i="137" s="1"/>
  <c r="BK150" i="137"/>
  <c r="AL125" i="137"/>
  <c r="AM125" i="137" s="1"/>
  <c r="BK141" i="137"/>
  <c r="BJ141" i="137"/>
  <c r="AF130" i="137"/>
  <c r="AL130" i="137"/>
  <c r="AN133" i="137"/>
  <c r="AQ133" i="137"/>
  <c r="AR133" i="137" s="1"/>
  <c r="Y134" i="137"/>
  <c r="S134" i="137" s="1"/>
  <c r="Z150" i="137"/>
  <c r="Y150" i="137"/>
  <c r="S150" i="137" s="1"/>
  <c r="Y155" i="137"/>
  <c r="S155" i="137" s="1"/>
  <c r="Z155" i="137"/>
  <c r="AW138" i="137"/>
  <c r="AW139" i="137"/>
  <c r="BI149" i="137"/>
  <c r="BB149" i="137"/>
  <c r="AY149" i="137"/>
  <c r="Z162" i="137"/>
  <c r="Y162" i="137"/>
  <c r="S162" i="137" s="1"/>
  <c r="AO151" i="137"/>
  <c r="AN151" i="137"/>
  <c r="AF137" i="137"/>
  <c r="AF138" i="137"/>
  <c r="AF139" i="137"/>
  <c r="BB140" i="137"/>
  <c r="AY140" i="137"/>
  <c r="AX141" i="137"/>
  <c r="BH141" i="137" s="1"/>
  <c r="Z145" i="137"/>
  <c r="Y145" i="137"/>
  <c r="S145" i="137" s="1"/>
  <c r="AX149" i="137"/>
  <c r="BH149" i="137" s="1"/>
  <c r="Z151" i="137"/>
  <c r="Y151" i="137"/>
  <c r="S151" i="137" s="1"/>
  <c r="AL149" i="137"/>
  <c r="AF152" i="137"/>
  <c r="AL152" i="137"/>
  <c r="Z158" i="137"/>
  <c r="AG163" i="137"/>
  <c r="AY150" i="137"/>
  <c r="AP155" i="137"/>
  <c r="Z157" i="137"/>
  <c r="Y157" i="137"/>
  <c r="S157" i="137" s="1"/>
  <c r="AG159" i="137"/>
  <c r="AG165" i="137"/>
  <c r="AM168" i="137"/>
  <c r="AL169" i="137"/>
  <c r="AF169" i="137"/>
  <c r="Y172" i="137"/>
  <c r="S172" i="137" s="1"/>
  <c r="AL141" i="137"/>
  <c r="BB150" i="137"/>
  <c r="AW152" i="137"/>
  <c r="AG155" i="137"/>
  <c r="X160" i="137"/>
  <c r="Z167" i="137"/>
  <c r="AQ183" i="137"/>
  <c r="AR183" i="137" s="1"/>
  <c r="AP183" i="137"/>
  <c r="AO183" i="137"/>
  <c r="AN183" i="137"/>
  <c r="AL159" i="137"/>
  <c r="AM159" i="137" s="1"/>
  <c r="Z164" i="137"/>
  <c r="Y164" i="137"/>
  <c r="S164" i="137" s="1"/>
  <c r="AF167" i="137"/>
  <c r="AL167" i="137"/>
  <c r="Z173" i="137"/>
  <c r="Z176" i="137"/>
  <c r="Y176" i="137"/>
  <c r="S176" i="137" s="1"/>
  <c r="AM158" i="137"/>
  <c r="Y171" i="137"/>
  <c r="S171" i="137" s="1"/>
  <c r="AG172" i="137"/>
  <c r="AG174" i="137"/>
  <c r="AM174" i="137"/>
  <c r="AW145" i="137"/>
  <c r="AW147" i="137"/>
  <c r="AL157" i="137"/>
  <c r="AM157" i="137" s="1"/>
  <c r="AO160" i="137"/>
  <c r="AL145" i="137"/>
  <c r="AM145" i="137" s="1"/>
  <c r="AL147" i="137"/>
  <c r="AM147" i="137" s="1"/>
  <c r="AF148" i="137"/>
  <c r="AW148" i="137"/>
  <c r="AF149" i="137"/>
  <c r="AF150" i="137"/>
  <c r="AL150" i="137"/>
  <c r="AF154" i="137"/>
  <c r="AM156" i="137"/>
  <c r="AM166" i="137"/>
  <c r="Z169" i="137"/>
  <c r="AO173" i="137"/>
  <c r="AL172" i="137"/>
  <c r="AM172" i="137" s="1"/>
  <c r="AG164" i="137"/>
  <c r="AF177" i="137"/>
  <c r="AW177" i="137"/>
  <c r="AL177" i="137"/>
  <c r="AX181" i="137"/>
  <c r="AQ185" i="137"/>
  <c r="AR185" i="137" s="1"/>
  <c r="AY181" i="137"/>
  <c r="BC181" i="137" s="1"/>
  <c r="AL161" i="137"/>
  <c r="AM161" i="137" s="1"/>
  <c r="AL171" i="137"/>
  <c r="AM171" i="137" s="1"/>
  <c r="AG175" i="137"/>
  <c r="Y178" i="137"/>
  <c r="S178" i="137" s="1"/>
  <c r="Z184" i="137"/>
  <c r="Y184" i="137"/>
  <c r="S184" i="137" s="1"/>
  <c r="Y183" i="137"/>
  <c r="S183" i="137" s="1"/>
  <c r="AF178" i="137"/>
  <c r="AW178" i="137"/>
  <c r="AL178" i="137"/>
  <c r="BI181" i="137"/>
  <c r="AG185" i="137"/>
  <c r="AO110" i="137" l="1"/>
  <c r="AP110" i="137"/>
  <c r="AN43" i="137"/>
  <c r="AP43" i="137"/>
  <c r="AO43" i="137"/>
  <c r="AQ43" i="137"/>
  <c r="AR43" i="137" s="1"/>
  <c r="AI43" i="137" s="1"/>
  <c r="AN155" i="137"/>
  <c r="AI155" i="137" s="1"/>
  <c r="AP133" i="137"/>
  <c r="Z80" i="137"/>
  <c r="AN98" i="137"/>
  <c r="Z41" i="137"/>
  <c r="AO12" i="137"/>
  <c r="Y32" i="137"/>
  <c r="S32" i="137" s="1"/>
  <c r="Y135" i="137"/>
  <c r="S135" i="137" s="1"/>
  <c r="AN142" i="137"/>
  <c r="AQ98" i="137"/>
  <c r="AR98" i="137" s="1"/>
  <c r="AI98" i="137" s="1"/>
  <c r="Y64" i="137"/>
  <c r="S64" i="137" s="1"/>
  <c r="AG15" i="137"/>
  <c r="Y22" i="137"/>
  <c r="S22" i="137" s="1"/>
  <c r="AP108" i="137"/>
  <c r="AO155" i="137"/>
  <c r="Z148" i="137"/>
  <c r="AP142" i="137"/>
  <c r="AQ131" i="137"/>
  <c r="AR131" i="137" s="1"/>
  <c r="Z108" i="137"/>
  <c r="Z91" i="137"/>
  <c r="AP94" i="137"/>
  <c r="Y115" i="137"/>
  <c r="S115" i="137" s="1"/>
  <c r="AN87" i="137"/>
  <c r="AI87" i="137" s="1"/>
  <c r="AO98" i="137"/>
  <c r="AQ76" i="137"/>
  <c r="AR76" i="137" s="1"/>
  <c r="AI76" i="137" s="1"/>
  <c r="Z55" i="137"/>
  <c r="Y122" i="137"/>
  <c r="S122" i="137" s="1"/>
  <c r="Y46" i="137"/>
  <c r="S46" i="137" s="1"/>
  <c r="AQ46" i="137"/>
  <c r="AR46" i="137" s="1"/>
  <c r="Z123" i="137"/>
  <c r="AM17" i="137"/>
  <c r="AN17" i="137" s="1"/>
  <c r="AG142" i="137"/>
  <c r="Y170" i="137"/>
  <c r="S170" i="137" s="1"/>
  <c r="Y156" i="137"/>
  <c r="S156" i="137" s="1"/>
  <c r="AM5" i="137"/>
  <c r="AN5" i="137" s="1"/>
  <c r="AN185" i="137"/>
  <c r="AO185" i="137"/>
  <c r="Z163" i="137"/>
  <c r="Y179" i="137"/>
  <c r="S179" i="137" s="1"/>
  <c r="AP151" i="137"/>
  <c r="Z143" i="137"/>
  <c r="AQ142" i="137"/>
  <c r="AR142" i="137" s="1"/>
  <c r="AI142" i="137" s="1"/>
  <c r="AP87" i="137"/>
  <c r="Y117" i="137"/>
  <c r="S117" i="137" s="1"/>
  <c r="Z68" i="137"/>
  <c r="Y79" i="137"/>
  <c r="S79" i="137" s="1"/>
  <c r="Y54" i="137"/>
  <c r="S54" i="137" s="1"/>
  <c r="Y36" i="137"/>
  <c r="S36" i="137" s="1"/>
  <c r="Z43" i="137"/>
  <c r="AO15" i="137"/>
  <c r="Z72" i="137"/>
  <c r="AO87" i="137"/>
  <c r="AN78" i="137"/>
  <c r="Z149" i="137"/>
  <c r="Z142" i="137"/>
  <c r="AN96" i="137"/>
  <c r="Y49" i="137"/>
  <c r="S49" i="137" s="1"/>
  <c r="AO10" i="137"/>
  <c r="BI176" i="137"/>
  <c r="AY176" i="137"/>
  <c r="Y180" i="137"/>
  <c r="S180" i="137" s="1"/>
  <c r="AQ20" i="137"/>
  <c r="AR20" i="137" s="1"/>
  <c r="AN170" i="137"/>
  <c r="AP170" i="137"/>
  <c r="Y174" i="137"/>
  <c r="S174" i="137" s="1"/>
  <c r="BN142" i="137"/>
  <c r="BO142" i="137" s="1"/>
  <c r="AP124" i="137"/>
  <c r="AQ50" i="137"/>
  <c r="AR50" i="137" s="1"/>
  <c r="AQ124" i="137"/>
  <c r="AR124" i="137" s="1"/>
  <c r="AI124" i="137" s="1"/>
  <c r="AM50" i="137"/>
  <c r="BJ142" i="137"/>
  <c r="Y136" i="137"/>
  <c r="S136" i="137" s="1"/>
  <c r="AM118" i="137"/>
  <c r="AN118" i="137" s="1"/>
  <c r="AM44" i="137"/>
  <c r="AO124" i="137"/>
  <c r="AG11" i="137"/>
  <c r="Z107" i="137"/>
  <c r="Y102" i="137"/>
  <c r="S102" i="137" s="1"/>
  <c r="Z140" i="137"/>
  <c r="AX142" i="137"/>
  <c r="BH142" i="137" s="1"/>
  <c r="AN62" i="137"/>
  <c r="Z61" i="137"/>
  <c r="AN52" i="137"/>
  <c r="Y24" i="137"/>
  <c r="S24" i="137" s="1"/>
  <c r="AM181" i="137"/>
  <c r="AP181" i="137" s="1"/>
  <c r="BB142" i="137"/>
  <c r="AO52" i="137"/>
  <c r="AP20" i="137"/>
  <c r="Y161" i="137"/>
  <c r="S161" i="137" s="1"/>
  <c r="AM140" i="137"/>
  <c r="AN140" i="137" s="1"/>
  <c r="Y166" i="137"/>
  <c r="S166" i="137" s="1"/>
  <c r="Y147" i="137"/>
  <c r="S147" i="137" s="1"/>
  <c r="AG52" i="137"/>
  <c r="Y8" i="137"/>
  <c r="S8" i="137" s="1"/>
  <c r="AG124" i="137"/>
  <c r="AQ29" i="137"/>
  <c r="AR29" i="137" s="1"/>
  <c r="AY142" i="137"/>
  <c r="Z165" i="137"/>
  <c r="AQ122" i="137"/>
  <c r="AR122" i="137" s="1"/>
  <c r="AP122" i="137"/>
  <c r="AQ52" i="137"/>
  <c r="AR52" i="137" s="1"/>
  <c r="AI52" i="137" s="1"/>
  <c r="AP32" i="137"/>
  <c r="AQ32" i="137"/>
  <c r="AR32" i="137" s="1"/>
  <c r="AO32" i="137"/>
  <c r="AN32" i="137"/>
  <c r="AI32" i="137" s="1"/>
  <c r="Z51" i="137"/>
  <c r="AM81" i="137"/>
  <c r="AQ78" i="137"/>
  <c r="AR78" i="137" s="1"/>
  <c r="AP76" i="137"/>
  <c r="Y11" i="137"/>
  <c r="S11" i="137" s="1"/>
  <c r="Z27" i="137"/>
  <c r="Z144" i="137"/>
  <c r="Z6" i="137"/>
  <c r="AG181" i="137"/>
  <c r="AM144" i="137"/>
  <c r="Z159" i="137"/>
  <c r="AG143" i="137"/>
  <c r="Y127" i="137"/>
  <c r="S127" i="137" s="1"/>
  <c r="AP96" i="137"/>
  <c r="AN31" i="137"/>
  <c r="AY179" i="137"/>
  <c r="BC179" i="137" s="1"/>
  <c r="AX179" i="137"/>
  <c r="BH179" i="137" s="1"/>
  <c r="AP60" i="137"/>
  <c r="Y74" i="137"/>
  <c r="S74" i="137" s="1"/>
  <c r="Y34" i="137"/>
  <c r="S34" i="137" s="1"/>
  <c r="AG96" i="137"/>
  <c r="BI179" i="137"/>
  <c r="Z113" i="137"/>
  <c r="AQ96" i="137"/>
  <c r="AR96" i="137" s="1"/>
  <c r="AI96" i="137" s="1"/>
  <c r="Y118" i="137"/>
  <c r="S118" i="137" s="1"/>
  <c r="AG89" i="137"/>
  <c r="AG31" i="137"/>
  <c r="Z99" i="137"/>
  <c r="Y88" i="137"/>
  <c r="S88" i="137" s="1"/>
  <c r="Y182" i="137"/>
  <c r="S182" i="137" s="1"/>
  <c r="AO76" i="137"/>
  <c r="AP50" i="137"/>
  <c r="Y37" i="137"/>
  <c r="S37" i="137" s="1"/>
  <c r="AQ16" i="137"/>
  <c r="AR16" i="137" s="1"/>
  <c r="AM182" i="137"/>
  <c r="AQ182" i="137" s="1"/>
  <c r="AR182" i="137" s="1"/>
  <c r="AO122" i="137"/>
  <c r="Y29" i="137"/>
  <c r="S29" i="137" s="1"/>
  <c r="AN56" i="137"/>
  <c r="AQ56" i="137"/>
  <c r="AR56" i="137" s="1"/>
  <c r="AI56" i="137" s="1"/>
  <c r="AO56" i="137"/>
  <c r="AM53" i="137"/>
  <c r="Z9" i="137"/>
  <c r="AP173" i="137"/>
  <c r="AP112" i="137"/>
  <c r="AQ112" i="137"/>
  <c r="AR112" i="137" s="1"/>
  <c r="AO112" i="137"/>
  <c r="AN112" i="137"/>
  <c r="AN146" i="137"/>
  <c r="AI146" i="137" s="1"/>
  <c r="AQ146" i="137"/>
  <c r="AR146" i="137" s="1"/>
  <c r="AN60" i="137"/>
  <c r="AP56" i="137"/>
  <c r="Z70" i="137"/>
  <c r="AQ170" i="137"/>
  <c r="AR170" i="137" s="1"/>
  <c r="AI170" i="137" s="1"/>
  <c r="Y173" i="137"/>
  <c r="S173" i="137" s="1"/>
  <c r="AN175" i="137"/>
  <c r="AM141" i="137"/>
  <c r="AQ141" i="137" s="1"/>
  <c r="AR141" i="137" s="1"/>
  <c r="BN150" i="137"/>
  <c r="BO150" i="137" s="1"/>
  <c r="AN131" i="137"/>
  <c r="AQ60" i="137"/>
  <c r="AR60" i="137" s="1"/>
  <c r="AP37" i="137"/>
  <c r="AM176" i="137"/>
  <c r="AQ173" i="137"/>
  <c r="AR173" i="137" s="1"/>
  <c r="AI173" i="137" s="1"/>
  <c r="AO170" i="137"/>
  <c r="AP131" i="137"/>
  <c r="AN110" i="137"/>
  <c r="Y86" i="137"/>
  <c r="S86" i="137" s="1"/>
  <c r="AM61" i="137"/>
  <c r="AQ37" i="137"/>
  <c r="AR37" i="137" s="1"/>
  <c r="Y138" i="137"/>
  <c r="S138" i="137" s="1"/>
  <c r="AQ110" i="137"/>
  <c r="AR110" i="137" s="1"/>
  <c r="Z130" i="137"/>
  <c r="AO29" i="137"/>
  <c r="Z42" i="137"/>
  <c r="AI122" i="137"/>
  <c r="AN29" i="137"/>
  <c r="AP29" i="137"/>
  <c r="AG17" i="137"/>
  <c r="AI38" i="137"/>
  <c r="Z45" i="137"/>
  <c r="Z119" i="137"/>
  <c r="Y85" i="137"/>
  <c r="S85" i="137" s="1"/>
  <c r="AM41" i="137"/>
  <c r="AM47" i="137"/>
  <c r="AO47" i="137" s="1"/>
  <c r="AM74" i="137"/>
  <c r="AI16" i="137"/>
  <c r="BC149" i="137"/>
  <c r="Z141" i="137"/>
  <c r="AP146" i="137"/>
  <c r="BJ144" i="137"/>
  <c r="AQ108" i="137"/>
  <c r="AR108" i="137" s="1"/>
  <c r="AQ71" i="137"/>
  <c r="AR71" i="137" s="1"/>
  <c r="Y16" i="137"/>
  <c r="S16" i="137" s="1"/>
  <c r="Y50" i="137"/>
  <c r="S50" i="137" s="1"/>
  <c r="AQ15" i="137"/>
  <c r="AR15" i="137" s="1"/>
  <c r="AI15" i="137" s="1"/>
  <c r="Y15" i="137"/>
  <c r="S15" i="137" s="1"/>
  <c r="AM6" i="137"/>
  <c r="Z50" i="137"/>
  <c r="AN184" i="137"/>
  <c r="AO162" i="137"/>
  <c r="AI83" i="137"/>
  <c r="AQ175" i="137"/>
  <c r="AR175" i="137" s="1"/>
  <c r="AG162" i="137"/>
  <c r="AO184" i="137"/>
  <c r="Y175" i="137"/>
  <c r="S175" i="137" s="1"/>
  <c r="AP162" i="137"/>
  <c r="AN108" i="137"/>
  <c r="Z81" i="137"/>
  <c r="AO71" i="137"/>
  <c r="Z19" i="137"/>
  <c r="BC176" i="137"/>
  <c r="BE176" i="137" s="1"/>
  <c r="AP40" i="137"/>
  <c r="AM68" i="137"/>
  <c r="AP68" i="137" s="1"/>
  <c r="AO108" i="137"/>
  <c r="AN71" i="137"/>
  <c r="AQ47" i="137"/>
  <c r="AR47" i="137" s="1"/>
  <c r="AP16" i="137"/>
  <c r="AP184" i="137"/>
  <c r="AQ162" i="137"/>
  <c r="AR162" i="137" s="1"/>
  <c r="AI162" i="137" s="1"/>
  <c r="AP175" i="137"/>
  <c r="BK144" i="137"/>
  <c r="BO144" i="137" s="1"/>
  <c r="AO146" i="137"/>
  <c r="AI78" i="137"/>
  <c r="Z47" i="137"/>
  <c r="AM86" i="137"/>
  <c r="AQ92" i="137"/>
  <c r="AR92" i="137" s="1"/>
  <c r="AN92" i="137"/>
  <c r="AP92" i="137"/>
  <c r="AO92" i="137"/>
  <c r="AO8" i="137"/>
  <c r="AP8" i="137"/>
  <c r="BU8" i="137" s="1"/>
  <c r="AN8" i="137"/>
  <c r="AQ8" i="137"/>
  <c r="AR8" i="137" s="1"/>
  <c r="AO153" i="137"/>
  <c r="AN153" i="137"/>
  <c r="AQ153" i="137"/>
  <c r="AR153" i="137" s="1"/>
  <c r="AP153" i="137"/>
  <c r="AQ24" i="137"/>
  <c r="AR24" i="137" s="1"/>
  <c r="AN24" i="137"/>
  <c r="AP24" i="137"/>
  <c r="AO24" i="137"/>
  <c r="AI185" i="137"/>
  <c r="AN40" i="137"/>
  <c r="AM114" i="137"/>
  <c r="AG114" i="137"/>
  <c r="Y40" i="137"/>
  <c r="S40" i="137" s="1"/>
  <c r="Z40" i="137"/>
  <c r="AX146" i="137"/>
  <c r="BH146" i="137" s="1"/>
  <c r="AY146" i="137"/>
  <c r="BC146" i="137" s="1"/>
  <c r="BB151" i="137"/>
  <c r="BI151" i="137"/>
  <c r="AY151" i="137"/>
  <c r="AM180" i="137"/>
  <c r="AG180" i="137"/>
  <c r="AM116" i="137"/>
  <c r="AG116" i="137"/>
  <c r="AN47" i="137"/>
  <c r="AP46" i="137"/>
  <c r="AG179" i="137"/>
  <c r="AM179" i="137"/>
  <c r="BN176" i="137"/>
  <c r="BK176" i="137"/>
  <c r="BJ176" i="137"/>
  <c r="AG58" i="137"/>
  <c r="AM58" i="137"/>
  <c r="AM80" i="137"/>
  <c r="AG80" i="137"/>
  <c r="AO40" i="137"/>
  <c r="AQ40" i="137"/>
  <c r="AR40" i="137" s="1"/>
  <c r="BI146" i="137"/>
  <c r="BJ146" i="137" s="1"/>
  <c r="AQ5" i="137"/>
  <c r="AR5" i="137" s="1"/>
  <c r="AI5" i="137" s="1"/>
  <c r="AM23" i="137"/>
  <c r="AQ23" i="137" s="1"/>
  <c r="AR23" i="137" s="1"/>
  <c r="AG23" i="137"/>
  <c r="AM100" i="137"/>
  <c r="AG40" i="137"/>
  <c r="AO5" i="137"/>
  <c r="Z128" i="137"/>
  <c r="Y128" i="137"/>
  <c r="S128" i="137" s="1"/>
  <c r="Y18" i="137"/>
  <c r="S18" i="137" s="1"/>
  <c r="Z18" i="137"/>
  <c r="AM120" i="137"/>
  <c r="AP5" i="137"/>
  <c r="BU5" i="137" s="1"/>
  <c r="Z39" i="137"/>
  <c r="AI12" i="137"/>
  <c r="AG104" i="137"/>
  <c r="AM104" i="137"/>
  <c r="Y67" i="137"/>
  <c r="S67" i="137" s="1"/>
  <c r="Z67" i="137"/>
  <c r="BB143" i="137"/>
  <c r="BI143" i="137"/>
  <c r="AY143" i="137"/>
  <c r="AX143" i="137"/>
  <c r="Z62" i="137"/>
  <c r="Y62" i="137"/>
  <c r="S62" i="137" s="1"/>
  <c r="Y17" i="137"/>
  <c r="S17" i="137" s="1"/>
  <c r="Z17" i="137"/>
  <c r="Z7" i="137"/>
  <c r="Y7" i="137"/>
  <c r="S7" i="137" s="1"/>
  <c r="AQ62" i="137"/>
  <c r="AR62" i="137" s="1"/>
  <c r="AI62" i="137" s="1"/>
  <c r="AP62" i="137"/>
  <c r="Z63" i="137"/>
  <c r="Y63" i="137"/>
  <c r="S63" i="137" s="1"/>
  <c r="AO46" i="137"/>
  <c r="AN46" i="137"/>
  <c r="AI46" i="137" s="1"/>
  <c r="Z53" i="137"/>
  <c r="Y53" i="137"/>
  <c r="S53" i="137" s="1"/>
  <c r="AG102" i="137"/>
  <c r="AM102" i="137"/>
  <c r="BI180" i="137"/>
  <c r="BB180" i="137"/>
  <c r="AY180" i="137"/>
  <c r="AX180" i="137"/>
  <c r="BH180" i="137" s="1"/>
  <c r="BI140" i="137"/>
  <c r="AX140" i="137"/>
  <c r="Y20" i="137"/>
  <c r="S20" i="137" s="1"/>
  <c r="Z20" i="137"/>
  <c r="AQ96" i="138"/>
  <c r="AR96" i="138" s="1"/>
  <c r="AP96" i="138"/>
  <c r="AN96" i="138"/>
  <c r="AO96" i="138"/>
  <c r="AQ66" i="138"/>
  <c r="AR66" i="138" s="1"/>
  <c r="AI66" i="138" s="1"/>
  <c r="AO66" i="138"/>
  <c r="AP66" i="138"/>
  <c r="AN66" i="138"/>
  <c r="AN29" i="138"/>
  <c r="AQ29" i="138"/>
  <c r="AR29" i="138" s="1"/>
  <c r="AP29" i="138"/>
  <c r="AO29" i="138"/>
  <c r="BD198" i="138"/>
  <c r="BE198" i="138"/>
  <c r="AQ179" i="138"/>
  <c r="AR179" i="138" s="1"/>
  <c r="AI179" i="138" s="1"/>
  <c r="AP179" i="138"/>
  <c r="AO179" i="138"/>
  <c r="AN179" i="138"/>
  <c r="AO85" i="138"/>
  <c r="AN85" i="138"/>
  <c r="AQ85" i="138"/>
  <c r="AR85" i="138" s="1"/>
  <c r="AI85" i="138" s="1"/>
  <c r="AP85" i="138"/>
  <c r="AQ121" i="138"/>
  <c r="AR121" i="138" s="1"/>
  <c r="AI121" i="138" s="1"/>
  <c r="AP121" i="138"/>
  <c r="AO121" i="138"/>
  <c r="AN121" i="138"/>
  <c r="AO118" i="138"/>
  <c r="AN118" i="138"/>
  <c r="BQ204" i="138"/>
  <c r="BP204" i="138"/>
  <c r="AQ173" i="138"/>
  <c r="AR173" i="138" s="1"/>
  <c r="AI173" i="138" s="1"/>
  <c r="AP173" i="138"/>
  <c r="AO173" i="138"/>
  <c r="AN173" i="138"/>
  <c r="AQ199" i="138"/>
  <c r="AR199" i="138" s="1"/>
  <c r="AP199" i="138"/>
  <c r="AO199" i="138"/>
  <c r="AN199" i="138"/>
  <c r="BE204" i="138"/>
  <c r="BD204" i="138"/>
  <c r="AI200" i="138"/>
  <c r="BJ164" i="138"/>
  <c r="BN164" i="138"/>
  <c r="BK164" i="138"/>
  <c r="BO164" i="138" s="1"/>
  <c r="BE164" i="138"/>
  <c r="BD164" i="138"/>
  <c r="AM128" i="138"/>
  <c r="AG128" i="138"/>
  <c r="AP133" i="138"/>
  <c r="AN133" i="138"/>
  <c r="AQ133" i="138"/>
  <c r="AR133" i="138" s="1"/>
  <c r="AI133" i="138" s="1"/>
  <c r="AO133" i="138"/>
  <c r="AP98" i="138"/>
  <c r="AQ98" i="138"/>
  <c r="AR98" i="138" s="1"/>
  <c r="AI98" i="138" s="1"/>
  <c r="AN98" i="138"/>
  <c r="AO98" i="138"/>
  <c r="AN86" i="138"/>
  <c r="AP86" i="138"/>
  <c r="AQ86" i="138"/>
  <c r="AR86" i="138" s="1"/>
  <c r="AI86" i="138" s="1"/>
  <c r="AO86" i="138"/>
  <c r="AM73" i="138"/>
  <c r="AG73" i="138"/>
  <c r="AG46" i="138"/>
  <c r="AM46" i="138"/>
  <c r="AG20" i="138"/>
  <c r="AM20" i="138"/>
  <c r="AO70" i="138"/>
  <c r="AQ70" i="138"/>
  <c r="AR70" i="138" s="1"/>
  <c r="AI70" i="138" s="1"/>
  <c r="AP70" i="138"/>
  <c r="AN70" i="138"/>
  <c r="AM21" i="138"/>
  <c r="AG21" i="138"/>
  <c r="AG42" i="138"/>
  <c r="AM42" i="138"/>
  <c r="AP30" i="138"/>
  <c r="AQ30" i="138"/>
  <c r="AR30" i="138" s="1"/>
  <c r="AI30" i="138" s="1"/>
  <c r="AO30" i="138"/>
  <c r="AN30" i="138"/>
  <c r="AQ16" i="138"/>
  <c r="AR16" i="138" s="1"/>
  <c r="AP16" i="138"/>
  <c r="AO16" i="138"/>
  <c r="AN16" i="138"/>
  <c r="AQ90" i="138"/>
  <c r="AR90" i="138" s="1"/>
  <c r="AI90" i="138" s="1"/>
  <c r="AP90" i="138"/>
  <c r="AO90" i="138"/>
  <c r="AN90" i="138"/>
  <c r="AI25" i="138"/>
  <c r="BN203" i="138"/>
  <c r="BJ203" i="138"/>
  <c r="BK203" i="138"/>
  <c r="BO203" i="138" s="1"/>
  <c r="BD200" i="138"/>
  <c r="BE200" i="138"/>
  <c r="AQ206" i="138"/>
  <c r="AR206" i="138" s="1"/>
  <c r="AI206" i="138" s="1"/>
  <c r="AP206" i="138"/>
  <c r="AO206" i="138"/>
  <c r="AN206" i="138"/>
  <c r="BI199" i="138"/>
  <c r="BB199" i="138"/>
  <c r="AY199" i="138"/>
  <c r="AX199" i="138"/>
  <c r="BH199" i="138" s="1"/>
  <c r="AP188" i="138"/>
  <c r="AQ188" i="138"/>
  <c r="AO188" i="138"/>
  <c r="AN188" i="138"/>
  <c r="AI202" i="138"/>
  <c r="BF202" i="138"/>
  <c r="Y169" i="138"/>
  <c r="S169" i="138" s="1"/>
  <c r="AQ169" i="138"/>
  <c r="AR169" i="138" s="1"/>
  <c r="Z169" i="138"/>
  <c r="AG164" i="138"/>
  <c r="AM164" i="138"/>
  <c r="BE155" i="138"/>
  <c r="BD155" i="138"/>
  <c r="AP156" i="138"/>
  <c r="AO156" i="138"/>
  <c r="AN156" i="138"/>
  <c r="AQ156" i="138"/>
  <c r="AR156" i="138" s="1"/>
  <c r="BN160" i="138"/>
  <c r="BJ160" i="138"/>
  <c r="BK160" i="138"/>
  <c r="BO160" i="138" s="1"/>
  <c r="AM132" i="138"/>
  <c r="AG132" i="138"/>
  <c r="AN102" i="138"/>
  <c r="AQ102" i="138"/>
  <c r="AR102" i="138" s="1"/>
  <c r="AP102" i="138"/>
  <c r="AO102" i="138"/>
  <c r="AO122" i="138"/>
  <c r="AP122" i="138"/>
  <c r="AN122" i="138"/>
  <c r="AQ122" i="138"/>
  <c r="AR122" i="138" s="1"/>
  <c r="BF161" i="138"/>
  <c r="AI161" i="138"/>
  <c r="AP140" i="138"/>
  <c r="AO140" i="138"/>
  <c r="AN140" i="138"/>
  <c r="AQ140" i="138"/>
  <c r="AR140" i="138" s="1"/>
  <c r="AI140" i="138" s="1"/>
  <c r="AI120" i="138"/>
  <c r="AR118" i="138"/>
  <c r="AI118" i="138" s="1"/>
  <c r="AR117" i="138"/>
  <c r="AI117" i="138" s="1"/>
  <c r="Y87" i="138"/>
  <c r="S87" i="138" s="1"/>
  <c r="Z87" i="138"/>
  <c r="AM94" i="138"/>
  <c r="AG94" i="138"/>
  <c r="AM57" i="138"/>
  <c r="AG57" i="138"/>
  <c r="AN31" i="138"/>
  <c r="AQ31" i="138"/>
  <c r="AR31" i="138" s="1"/>
  <c r="AI31" i="138" s="1"/>
  <c r="AP31" i="138"/>
  <c r="AO31" i="138"/>
  <c r="AQ60" i="138"/>
  <c r="AR60" i="138" s="1"/>
  <c r="AN60" i="138"/>
  <c r="AO60" i="138"/>
  <c r="AP60" i="138"/>
  <c r="AM5" i="138"/>
  <c r="AG5" i="138"/>
  <c r="AI69" i="138"/>
  <c r="AQ62" i="138"/>
  <c r="AR62" i="138" s="1"/>
  <c r="AP62" i="138"/>
  <c r="AO62" i="138"/>
  <c r="AN62" i="138"/>
  <c r="Z21" i="138"/>
  <c r="Y21" i="138"/>
  <c r="S21" i="138" s="1"/>
  <c r="BF197" i="138"/>
  <c r="AI197" i="138"/>
  <c r="AM187" i="138"/>
  <c r="AG187" i="138"/>
  <c r="AQ175" i="138"/>
  <c r="AR175" i="138" s="1"/>
  <c r="AP175" i="138"/>
  <c r="AO175" i="138"/>
  <c r="AN175" i="138"/>
  <c r="AQ172" i="138"/>
  <c r="AP172" i="138"/>
  <c r="AO172" i="138"/>
  <c r="AN172" i="138"/>
  <c r="BP168" i="138"/>
  <c r="BQ168" i="138"/>
  <c r="BB163" i="138"/>
  <c r="AY163" i="138"/>
  <c r="BC163" i="138" s="1"/>
  <c r="AX163" i="138"/>
  <c r="BI163" i="138"/>
  <c r="BE156" i="138"/>
  <c r="BD156" i="138"/>
  <c r="AO155" i="138"/>
  <c r="AN155" i="138"/>
  <c r="AQ155" i="138"/>
  <c r="AR155" i="138" s="1"/>
  <c r="AP155" i="138"/>
  <c r="AQ151" i="138"/>
  <c r="AP151" i="138"/>
  <c r="AO151" i="138"/>
  <c r="AN151" i="138"/>
  <c r="AI119" i="138"/>
  <c r="AM89" i="138"/>
  <c r="AG89" i="138"/>
  <c r="AI100" i="138"/>
  <c r="AM80" i="138"/>
  <c r="AG80" i="138"/>
  <c r="AO83" i="138"/>
  <c r="AP83" i="138"/>
  <c r="AN83" i="138"/>
  <c r="AQ83" i="138"/>
  <c r="AR83" i="138" s="1"/>
  <c r="Y74" i="138"/>
  <c r="S74" i="138" s="1"/>
  <c r="Z74" i="138"/>
  <c r="AI114" i="138"/>
  <c r="AO67" i="138"/>
  <c r="AQ67" i="138"/>
  <c r="AR67" i="138" s="1"/>
  <c r="AP67" i="138"/>
  <c r="AN67" i="138"/>
  <c r="Z45" i="138"/>
  <c r="Y45" i="138"/>
  <c r="S45" i="138" s="1"/>
  <c r="Z39" i="138"/>
  <c r="Y39" i="138"/>
  <c r="S39" i="138" s="1"/>
  <c r="AM4" i="138"/>
  <c r="AG4" i="138"/>
  <c r="AG50" i="138"/>
  <c r="AM50" i="138"/>
  <c r="AO59" i="138"/>
  <c r="AP59" i="138"/>
  <c r="AQ59" i="138"/>
  <c r="AR59" i="138" s="1"/>
  <c r="AI59" i="138" s="1"/>
  <c r="AN59" i="138"/>
  <c r="Z34" i="138"/>
  <c r="Y34" i="138"/>
  <c r="S34" i="138" s="1"/>
  <c r="BQ197" i="138"/>
  <c r="BP197" i="138"/>
  <c r="AP189" i="138"/>
  <c r="AO189" i="138"/>
  <c r="AN189" i="138"/>
  <c r="AQ189" i="138"/>
  <c r="AR189" i="138" s="1"/>
  <c r="BD197" i="138"/>
  <c r="BE197" i="138"/>
  <c r="BR197" i="138" s="1"/>
  <c r="AI192" i="138"/>
  <c r="Z166" i="138"/>
  <c r="Y166" i="138"/>
  <c r="S166" i="138" s="1"/>
  <c r="BD172" i="138"/>
  <c r="BE172" i="138"/>
  <c r="AG166" i="138"/>
  <c r="AM166" i="138"/>
  <c r="AI170" i="138"/>
  <c r="AM162" i="138"/>
  <c r="BD162" i="138" s="1"/>
  <c r="AG162" i="138"/>
  <c r="BR168" i="138"/>
  <c r="BO158" i="138"/>
  <c r="AI131" i="138"/>
  <c r="AQ141" i="138"/>
  <c r="AR141" i="138" s="1"/>
  <c r="AP141" i="138"/>
  <c r="AO141" i="138"/>
  <c r="AN141" i="138"/>
  <c r="AM135" i="138"/>
  <c r="AG135" i="138"/>
  <c r="AO112" i="138"/>
  <c r="AQ112" i="138"/>
  <c r="AP112" i="138"/>
  <c r="AN112" i="138"/>
  <c r="AQ84" i="138"/>
  <c r="AR84" i="138" s="1"/>
  <c r="AN84" i="138"/>
  <c r="AP84" i="138"/>
  <c r="AO84" i="138"/>
  <c r="AQ106" i="138"/>
  <c r="AR106" i="138" s="1"/>
  <c r="AI106" i="138" s="1"/>
  <c r="AP106" i="138"/>
  <c r="AO106" i="138"/>
  <c r="AN106" i="138"/>
  <c r="AQ72" i="138"/>
  <c r="AR72" i="138" s="1"/>
  <c r="AN72" i="138"/>
  <c r="AP72" i="138"/>
  <c r="AO72" i="138"/>
  <c r="AN93" i="138"/>
  <c r="AQ93" i="138"/>
  <c r="AR93" i="138" s="1"/>
  <c r="AP93" i="138"/>
  <c r="AO93" i="138"/>
  <c r="AP49" i="138"/>
  <c r="AO49" i="138"/>
  <c r="AN49" i="138"/>
  <c r="AQ49" i="138"/>
  <c r="AR49" i="138" s="1"/>
  <c r="AI49" i="138" s="1"/>
  <c r="Z35" i="138"/>
  <c r="Y35" i="138"/>
  <c r="S35" i="138" s="1"/>
  <c r="AN36" i="138"/>
  <c r="AQ36" i="138"/>
  <c r="AR36" i="138" s="1"/>
  <c r="AI36" i="138" s="1"/>
  <c r="AP36" i="138"/>
  <c r="AO36" i="138"/>
  <c r="AM58" i="138"/>
  <c r="AG58" i="138"/>
  <c r="AO38" i="138"/>
  <c r="AN38" i="138"/>
  <c r="AQ38" i="138"/>
  <c r="AR38" i="138" s="1"/>
  <c r="AP38" i="138"/>
  <c r="BE169" i="138"/>
  <c r="BD169" i="138"/>
  <c r="BQ198" i="138"/>
  <c r="BP198" i="138"/>
  <c r="BI165" i="138"/>
  <c r="AX165" i="138"/>
  <c r="BH165" i="138" s="1"/>
  <c r="BB165" i="138"/>
  <c r="AY165" i="138"/>
  <c r="BC165" i="138" s="1"/>
  <c r="AO178" i="138"/>
  <c r="AN178" i="138"/>
  <c r="AQ178" i="138"/>
  <c r="AR178" i="138" s="1"/>
  <c r="AI178" i="138" s="1"/>
  <c r="AP178" i="138"/>
  <c r="AP174" i="138"/>
  <c r="AO174" i="138"/>
  <c r="AQ174" i="138"/>
  <c r="AR174" i="138" s="1"/>
  <c r="AN174" i="138"/>
  <c r="AM163" i="138"/>
  <c r="AG163" i="138"/>
  <c r="BK154" i="138"/>
  <c r="BN154" i="138"/>
  <c r="BJ154" i="138"/>
  <c r="AG152" i="138"/>
  <c r="AR152" i="138" s="1"/>
  <c r="AM152" i="138"/>
  <c r="AM137" i="138"/>
  <c r="AG137" i="138"/>
  <c r="BF158" i="138"/>
  <c r="AI158" i="138"/>
  <c r="AG139" i="138"/>
  <c r="AM139" i="138"/>
  <c r="AM105" i="138"/>
  <c r="AG105" i="138"/>
  <c r="BQ155" i="138"/>
  <c r="BP155" i="138"/>
  <c r="AG92" i="138"/>
  <c r="AM92" i="138"/>
  <c r="AO99" i="138"/>
  <c r="AP99" i="138"/>
  <c r="AN99" i="138"/>
  <c r="AQ99" i="138"/>
  <c r="AR99" i="138" s="1"/>
  <c r="AI99" i="138" s="1"/>
  <c r="AG108" i="138"/>
  <c r="AM108" i="138"/>
  <c r="AQ68" i="138"/>
  <c r="AR68" i="138" s="1"/>
  <c r="AI68" i="138" s="1"/>
  <c r="AO68" i="138"/>
  <c r="AP68" i="138"/>
  <c r="AN68" i="138"/>
  <c r="AP37" i="138"/>
  <c r="AQ37" i="138"/>
  <c r="AR37" i="138" s="1"/>
  <c r="AO37" i="138"/>
  <c r="AN37" i="138"/>
  <c r="AQ32" i="138"/>
  <c r="AP32" i="138"/>
  <c r="AO32" i="138"/>
  <c r="AN32" i="138"/>
  <c r="AQ8" i="138"/>
  <c r="AR8" i="138" s="1"/>
  <c r="AP8" i="138"/>
  <c r="BU8" i="138" s="1"/>
  <c r="AO8" i="138"/>
  <c r="AN8" i="138"/>
  <c r="AN34" i="138"/>
  <c r="AP34" i="138"/>
  <c r="AO34" i="138"/>
  <c r="AQ34" i="138"/>
  <c r="AR34" i="138" s="1"/>
  <c r="Z32" i="138"/>
  <c r="Y32" i="138"/>
  <c r="S32" i="138" s="1"/>
  <c r="AO194" i="138"/>
  <c r="AN194" i="138"/>
  <c r="AQ194" i="138"/>
  <c r="AR194" i="138" s="1"/>
  <c r="AI194" i="138" s="1"/>
  <c r="AP194" i="138"/>
  <c r="BN202" i="138"/>
  <c r="BK202" i="138"/>
  <c r="BO202" i="138" s="1"/>
  <c r="BJ202" i="138"/>
  <c r="BF203" i="138"/>
  <c r="AI203" i="138"/>
  <c r="BI167" i="138"/>
  <c r="AX167" i="138"/>
  <c r="BH167" i="138" s="1"/>
  <c r="AY167" i="138"/>
  <c r="BC167" i="138" s="1"/>
  <c r="BB167" i="138"/>
  <c r="BF198" i="138"/>
  <c r="AI198" i="138"/>
  <c r="BB166" i="138"/>
  <c r="AY166" i="138"/>
  <c r="AX166" i="138"/>
  <c r="BH166" i="138" s="1"/>
  <c r="BI166" i="138"/>
  <c r="AG159" i="138"/>
  <c r="AM159" i="138"/>
  <c r="BD158" i="138"/>
  <c r="BE158" i="138"/>
  <c r="BC160" i="138"/>
  <c r="Z112" i="138"/>
  <c r="Y112" i="138"/>
  <c r="S112" i="138" s="1"/>
  <c r="AQ153" i="138"/>
  <c r="AR153" i="138" s="1"/>
  <c r="AI153" i="138" s="1"/>
  <c r="AP153" i="138"/>
  <c r="AO153" i="138"/>
  <c r="AN153" i="138"/>
  <c r="AO134" i="138"/>
  <c r="AQ134" i="138"/>
  <c r="AR134" i="138" s="1"/>
  <c r="AI134" i="138" s="1"/>
  <c r="AP134" i="138"/>
  <c r="AN134" i="138"/>
  <c r="AI127" i="138"/>
  <c r="AM101" i="138"/>
  <c r="AG101" i="138"/>
  <c r="AQ97" i="138"/>
  <c r="AR97" i="138" s="1"/>
  <c r="AP97" i="138"/>
  <c r="AO97" i="138"/>
  <c r="AN97" i="138"/>
  <c r="AQ56" i="138"/>
  <c r="AR56" i="138" s="1"/>
  <c r="AN56" i="138"/>
  <c r="AP56" i="138"/>
  <c r="AO56" i="138"/>
  <c r="AM65" i="138"/>
  <c r="AG65" i="138"/>
  <c r="Z28" i="138"/>
  <c r="Y28" i="138"/>
  <c r="S28" i="138" s="1"/>
  <c r="AM12" i="138"/>
  <c r="AG12" i="138"/>
  <c r="AM11" i="138"/>
  <c r="AG11" i="138"/>
  <c r="AP45" i="138"/>
  <c r="AO45" i="138"/>
  <c r="AN45" i="138"/>
  <c r="AQ45" i="138"/>
  <c r="AR45" i="138" s="1"/>
  <c r="AP7" i="138"/>
  <c r="BU7" i="138" s="1"/>
  <c r="AQ7" i="138"/>
  <c r="AR7" i="138" s="1"/>
  <c r="AI7" i="138" s="1"/>
  <c r="AO7" i="138"/>
  <c r="AN7" i="138"/>
  <c r="AQ28" i="138"/>
  <c r="AR28" i="138" s="1"/>
  <c r="AI28" i="138" s="1"/>
  <c r="AI15" i="138"/>
  <c r="AG186" i="138"/>
  <c r="AM186" i="138"/>
  <c r="BQ201" i="138"/>
  <c r="BR201" i="138" s="1"/>
  <c r="BP201" i="138"/>
  <c r="BQ200" i="138"/>
  <c r="BP200" i="138"/>
  <c r="AG205" i="138"/>
  <c r="AM205" i="138"/>
  <c r="AQ177" i="138"/>
  <c r="AR177" i="138" s="1"/>
  <c r="AI177" i="138" s="1"/>
  <c r="AO177" i="138"/>
  <c r="AN177" i="138"/>
  <c r="AP177" i="138"/>
  <c r="AQ167" i="138"/>
  <c r="AP167" i="138"/>
  <c r="AO167" i="138"/>
  <c r="AN167" i="138"/>
  <c r="AQ165" i="138"/>
  <c r="AR165" i="138" s="1"/>
  <c r="AP165" i="138"/>
  <c r="AO165" i="138"/>
  <c r="AN165" i="138"/>
  <c r="Z167" i="138"/>
  <c r="Y167" i="138"/>
  <c r="S167" i="138" s="1"/>
  <c r="BE170" i="138"/>
  <c r="BF170" i="138" s="1"/>
  <c r="BD170" i="138"/>
  <c r="BB159" i="138"/>
  <c r="AY159" i="138"/>
  <c r="BI159" i="138"/>
  <c r="AX159" i="138"/>
  <c r="AI160" i="138"/>
  <c r="AI157" i="138"/>
  <c r="BF157" i="138"/>
  <c r="BQ156" i="138"/>
  <c r="BP156" i="138"/>
  <c r="BK162" i="138"/>
  <c r="BO162" i="138" s="1"/>
  <c r="BJ162" i="138"/>
  <c r="AI154" i="138"/>
  <c r="BF154" i="138"/>
  <c r="AM144" i="138"/>
  <c r="AG144" i="138"/>
  <c r="AI103" i="138"/>
  <c r="AP39" i="138"/>
  <c r="Y12" i="138"/>
  <c r="S12" i="138" s="1"/>
  <c r="Z12" i="138"/>
  <c r="AO78" i="138"/>
  <c r="AN78" i="138"/>
  <c r="AQ78" i="138"/>
  <c r="AR78" i="138" s="1"/>
  <c r="AP78" i="138"/>
  <c r="AO54" i="138"/>
  <c r="AQ54" i="138"/>
  <c r="AR54" i="138" s="1"/>
  <c r="AP54" i="138"/>
  <c r="AN54" i="138"/>
  <c r="AO61" i="138"/>
  <c r="AN61" i="138"/>
  <c r="AQ61" i="138"/>
  <c r="AR61" i="138" s="1"/>
  <c r="AP61" i="138"/>
  <c r="AQ74" i="138"/>
  <c r="AR74" i="138" s="1"/>
  <c r="AI74" i="138" s="1"/>
  <c r="AN74" i="138"/>
  <c r="AO74" i="138"/>
  <c r="AP74" i="138"/>
  <c r="AQ10" i="138"/>
  <c r="AR10" i="138" s="1"/>
  <c r="AI10" i="138" s="1"/>
  <c r="AP10" i="138"/>
  <c r="BU10" i="138" s="1"/>
  <c r="AO10" i="138"/>
  <c r="AN10" i="138"/>
  <c r="AN125" i="138"/>
  <c r="AP125" i="138"/>
  <c r="AO125" i="138"/>
  <c r="AQ125" i="138"/>
  <c r="AR125" i="138" s="1"/>
  <c r="AI125" i="138" s="1"/>
  <c r="BN171" i="138"/>
  <c r="BJ171" i="138"/>
  <c r="BK171" i="138"/>
  <c r="BQ170" i="138"/>
  <c r="BP170" i="138"/>
  <c r="BF201" i="138"/>
  <c r="AI201" i="138"/>
  <c r="AI196" i="138"/>
  <c r="BO169" i="138"/>
  <c r="BQ172" i="138"/>
  <c r="BP172" i="138"/>
  <c r="AP129" i="138"/>
  <c r="AO129" i="138"/>
  <c r="AQ129" i="138"/>
  <c r="AR129" i="138" s="1"/>
  <c r="AI129" i="138" s="1"/>
  <c r="AN129" i="138"/>
  <c r="AM149" i="138"/>
  <c r="AG149" i="138"/>
  <c r="AR149" i="138" s="1"/>
  <c r="BO157" i="138"/>
  <c r="AM147" i="138"/>
  <c r="AG147" i="138"/>
  <c r="AR147" i="138" s="1"/>
  <c r="AI138" i="138"/>
  <c r="AI107" i="138"/>
  <c r="AI124" i="138"/>
  <c r="AO87" i="138"/>
  <c r="AQ87" i="138"/>
  <c r="AR87" i="138" s="1"/>
  <c r="AI87" i="138" s="1"/>
  <c r="AN87" i="138"/>
  <c r="AP87" i="138"/>
  <c r="AG81" i="138"/>
  <c r="AM81" i="138"/>
  <c r="AQ52" i="138"/>
  <c r="AR52" i="138" s="1"/>
  <c r="AI52" i="138" s="1"/>
  <c r="AO52" i="138"/>
  <c r="AP52" i="138"/>
  <c r="AN52" i="138"/>
  <c r="AO63" i="138"/>
  <c r="AQ63" i="138"/>
  <c r="AR63" i="138" s="1"/>
  <c r="AI63" i="138" s="1"/>
  <c r="AN63" i="138"/>
  <c r="AP63" i="138"/>
  <c r="AI64" i="138"/>
  <c r="AP35" i="138"/>
  <c r="Z31" i="138"/>
  <c r="Y31" i="138"/>
  <c r="S31" i="138" s="1"/>
  <c r="AQ77" i="138"/>
  <c r="AR77" i="138" s="1"/>
  <c r="AN77" i="138"/>
  <c r="AP77" i="138"/>
  <c r="AO77" i="138"/>
  <c r="AI53" i="138"/>
  <c r="AQ17" i="138"/>
  <c r="AR17" i="138" s="1"/>
  <c r="AI17" i="138" s="1"/>
  <c r="AP17" i="138"/>
  <c r="AO17" i="138"/>
  <c r="AN17" i="138"/>
  <c r="AQ39" i="138"/>
  <c r="AR39" i="138" s="1"/>
  <c r="AI39" i="138" s="1"/>
  <c r="AI51" i="138"/>
  <c r="AN172" i="137"/>
  <c r="AQ172" i="137"/>
  <c r="AR172" i="137" s="1"/>
  <c r="AP172" i="137"/>
  <c r="AO172" i="137"/>
  <c r="AO159" i="137"/>
  <c r="AN159" i="137"/>
  <c r="AQ159" i="137"/>
  <c r="AR159" i="137" s="1"/>
  <c r="AP159" i="137"/>
  <c r="AO105" i="137"/>
  <c r="AN105" i="137"/>
  <c r="AQ103" i="137"/>
  <c r="AR103" i="137" s="1"/>
  <c r="AP103" i="137"/>
  <c r="AN103" i="137"/>
  <c r="AO103" i="137"/>
  <c r="AQ125" i="137"/>
  <c r="AR125" i="137" s="1"/>
  <c r="AP125" i="137"/>
  <c r="AO125" i="137"/>
  <c r="AN125" i="137"/>
  <c r="AQ33" i="137"/>
  <c r="AR33" i="137" s="1"/>
  <c r="AP33" i="137"/>
  <c r="AN33" i="137"/>
  <c r="AO33" i="137"/>
  <c r="AQ157" i="137"/>
  <c r="AR157" i="137" s="1"/>
  <c r="AO157" i="137"/>
  <c r="AN157" i="137"/>
  <c r="AP157" i="137"/>
  <c r="AP51" i="137"/>
  <c r="AO51" i="137"/>
  <c r="AN51" i="137"/>
  <c r="AQ51" i="137"/>
  <c r="AR51" i="137" s="1"/>
  <c r="AQ161" i="137"/>
  <c r="AR161" i="137" s="1"/>
  <c r="AP161" i="137"/>
  <c r="AO161" i="137"/>
  <c r="AN161" i="137"/>
  <c r="BB177" i="137"/>
  <c r="AY177" i="137"/>
  <c r="AX177" i="137"/>
  <c r="BH177" i="137" s="1"/>
  <c r="BI177" i="137"/>
  <c r="AO164" i="137"/>
  <c r="AP164" i="137"/>
  <c r="AN164" i="137"/>
  <c r="AQ164" i="137"/>
  <c r="AR164" i="137" s="1"/>
  <c r="AM150" i="137"/>
  <c r="AG150" i="137"/>
  <c r="AN158" i="137"/>
  <c r="AP158" i="137"/>
  <c r="AO158" i="137"/>
  <c r="AQ158" i="137"/>
  <c r="AR158" i="137" s="1"/>
  <c r="AQ165" i="137"/>
  <c r="AR165" i="137" s="1"/>
  <c r="AN165" i="137"/>
  <c r="AP165" i="137"/>
  <c r="AO165" i="137"/>
  <c r="AY139" i="137"/>
  <c r="AX139" i="137"/>
  <c r="BI139" i="137"/>
  <c r="BB139" i="137"/>
  <c r="AQ121" i="137"/>
  <c r="AR121" i="137" s="1"/>
  <c r="AP121" i="137"/>
  <c r="AO121" i="137"/>
  <c r="AN121" i="137"/>
  <c r="AP81" i="137"/>
  <c r="AQ81" i="137"/>
  <c r="AR81" i="137" s="1"/>
  <c r="AO81" i="137"/>
  <c r="AN81" i="137"/>
  <c r="AI108" i="137"/>
  <c r="AR105" i="137"/>
  <c r="AR106" i="137"/>
  <c r="AG84" i="137"/>
  <c r="AM84" i="137"/>
  <c r="AM72" i="137"/>
  <c r="AG72" i="137"/>
  <c r="Z66" i="137"/>
  <c r="Y66" i="137"/>
  <c r="S66" i="137" s="1"/>
  <c r="AQ66" i="137"/>
  <c r="AR66" i="137" s="1"/>
  <c r="AI66" i="137" s="1"/>
  <c r="AP89" i="137"/>
  <c r="AN89" i="137"/>
  <c r="AQ89" i="137"/>
  <c r="AR89" i="137" s="1"/>
  <c r="AO89" i="137"/>
  <c r="AG42" i="137"/>
  <c r="AM42" i="137"/>
  <c r="AM63" i="137"/>
  <c r="AG63" i="137"/>
  <c r="AO61" i="137"/>
  <c r="AQ61" i="137"/>
  <c r="AR61" i="137" s="1"/>
  <c r="AP61" i="137"/>
  <c r="AN61" i="137"/>
  <c r="AM4" i="137"/>
  <c r="AG4" i="137"/>
  <c r="AQ39" i="137"/>
  <c r="AR39" i="137" s="1"/>
  <c r="AP39" i="137"/>
  <c r="AO39" i="137"/>
  <c r="AN39" i="137"/>
  <c r="AQ26" i="137"/>
  <c r="AR26" i="137" s="1"/>
  <c r="AP26" i="137"/>
  <c r="AO26" i="137"/>
  <c r="AN26" i="137"/>
  <c r="AO30" i="137"/>
  <c r="AN30" i="137"/>
  <c r="AQ30" i="137"/>
  <c r="AR30" i="137" s="1"/>
  <c r="AP30" i="137"/>
  <c r="AG13" i="137"/>
  <c r="AM13" i="137"/>
  <c r="AG34" i="137"/>
  <c r="AM34" i="137"/>
  <c r="BQ144" i="137"/>
  <c r="BP144" i="137"/>
  <c r="AQ95" i="137"/>
  <c r="AR95" i="137" s="1"/>
  <c r="AP95" i="137"/>
  <c r="AN95" i="137"/>
  <c r="AO95" i="137"/>
  <c r="AM9" i="137"/>
  <c r="AG9" i="137"/>
  <c r="AO156" i="137"/>
  <c r="AN156" i="137"/>
  <c r="AQ156" i="137"/>
  <c r="AR156" i="137" s="1"/>
  <c r="AP156" i="137"/>
  <c r="AX148" i="137"/>
  <c r="BI148" i="137"/>
  <c r="BB148" i="137"/>
  <c r="AY148" i="137"/>
  <c r="AX147" i="137"/>
  <c r="BB147" i="137"/>
  <c r="AY147" i="137"/>
  <c r="BI147" i="137"/>
  <c r="BC140" i="137"/>
  <c r="AI151" i="137"/>
  <c r="BD144" i="137"/>
  <c r="BE144" i="137"/>
  <c r="AI133" i="137"/>
  <c r="BO141" i="137"/>
  <c r="Z139" i="137"/>
  <c r="Y139" i="137"/>
  <c r="S139" i="137" s="1"/>
  <c r="AQ109" i="137"/>
  <c r="AR109" i="137" s="1"/>
  <c r="AP109" i="137"/>
  <c r="AO109" i="137"/>
  <c r="AN109" i="137"/>
  <c r="AI112" i="137"/>
  <c r="AQ101" i="137"/>
  <c r="AR101" i="137" s="1"/>
  <c r="AP101" i="137"/>
  <c r="AN101" i="137"/>
  <c r="AO101" i="137"/>
  <c r="AM97" i="137"/>
  <c r="AG97" i="137"/>
  <c r="AO70" i="137"/>
  <c r="AQ70" i="137"/>
  <c r="AR70" i="137" s="1"/>
  <c r="AN70" i="137"/>
  <c r="AP70" i="137"/>
  <c r="AM65" i="137"/>
  <c r="AG65" i="137"/>
  <c r="AG75" i="137"/>
  <c r="AM75" i="137"/>
  <c r="AQ21" i="137"/>
  <c r="AR21" i="137" s="1"/>
  <c r="AP21" i="137"/>
  <c r="AO21" i="137"/>
  <c r="AN21" i="137"/>
  <c r="AO36" i="137"/>
  <c r="AN36" i="137"/>
  <c r="AQ36" i="137"/>
  <c r="AR36" i="137" s="1"/>
  <c r="AP36" i="137"/>
  <c r="AI82" i="137"/>
  <c r="AP22" i="137"/>
  <c r="AO22" i="137"/>
  <c r="AQ22" i="137"/>
  <c r="AR22" i="137" s="1"/>
  <c r="AN22" i="137"/>
  <c r="AP11" i="137"/>
  <c r="BU11" i="137" s="1"/>
  <c r="AO11" i="137"/>
  <c r="AQ11" i="137"/>
  <c r="AR11" i="137" s="1"/>
  <c r="AN11" i="137"/>
  <c r="AO48" i="137"/>
  <c r="AQ48" i="137"/>
  <c r="AR48" i="137" s="1"/>
  <c r="AP48" i="137"/>
  <c r="AN48" i="137"/>
  <c r="AO28" i="137"/>
  <c r="AN28" i="137"/>
  <c r="AQ28" i="137"/>
  <c r="AR28" i="137" s="1"/>
  <c r="AP28" i="137"/>
  <c r="AM45" i="137"/>
  <c r="AG45" i="137"/>
  <c r="AG148" i="137"/>
  <c r="AM148" i="137"/>
  <c r="AX145" i="137"/>
  <c r="BH145" i="137" s="1"/>
  <c r="BI145" i="137"/>
  <c r="AY145" i="137"/>
  <c r="BC145" i="137" s="1"/>
  <c r="Z160" i="137"/>
  <c r="Y160" i="137"/>
  <c r="S160" i="137" s="1"/>
  <c r="AP160" i="137"/>
  <c r="AP163" i="137"/>
  <c r="AO163" i="137"/>
  <c r="AQ163" i="137"/>
  <c r="AR163" i="137" s="1"/>
  <c r="AN163" i="137"/>
  <c r="AQ123" i="137"/>
  <c r="AR123" i="137" s="1"/>
  <c r="AP123" i="137"/>
  <c r="AO123" i="137"/>
  <c r="AN123" i="137"/>
  <c r="AM134" i="137"/>
  <c r="AG134" i="137"/>
  <c r="AQ113" i="137"/>
  <c r="AR113" i="137" s="1"/>
  <c r="AP113" i="137"/>
  <c r="AN113" i="137"/>
  <c r="AO113" i="137"/>
  <c r="Y73" i="137"/>
  <c r="S73" i="137" s="1"/>
  <c r="Z73" i="137"/>
  <c r="AG128" i="137"/>
  <c r="AM128" i="137"/>
  <c r="AI94" i="137"/>
  <c r="AO126" i="137"/>
  <c r="AQ126" i="137"/>
  <c r="AR126" i="137" s="1"/>
  <c r="AP126" i="137"/>
  <c r="AN126" i="137"/>
  <c r="AQ99" i="137"/>
  <c r="AR99" i="137" s="1"/>
  <c r="AN99" i="137"/>
  <c r="AP99" i="137"/>
  <c r="AO99" i="137"/>
  <c r="Z13" i="137"/>
  <c r="Y13" i="137"/>
  <c r="S13" i="137" s="1"/>
  <c r="Y31" i="137"/>
  <c r="S31" i="137" s="1"/>
  <c r="Z31" i="137"/>
  <c r="AQ53" i="137"/>
  <c r="AR53" i="137" s="1"/>
  <c r="AP53" i="137"/>
  <c r="AN53" i="137"/>
  <c r="AO53" i="137"/>
  <c r="AI37" i="137"/>
  <c r="AQ25" i="137"/>
  <c r="AR25" i="137" s="1"/>
  <c r="AP25" i="137"/>
  <c r="AN25" i="137"/>
  <c r="AO25" i="137"/>
  <c r="AM19" i="137"/>
  <c r="AG19" i="137"/>
  <c r="BI178" i="137"/>
  <c r="AY178" i="137"/>
  <c r="AX178" i="137"/>
  <c r="BH178" i="137" s="1"/>
  <c r="BB178" i="137"/>
  <c r="AM154" i="137"/>
  <c r="AG154" i="137"/>
  <c r="AQ147" i="137"/>
  <c r="AR147" i="137" s="1"/>
  <c r="AP147" i="137"/>
  <c r="AO147" i="137"/>
  <c r="AN147" i="137"/>
  <c r="AO174" i="137"/>
  <c r="AN174" i="137"/>
  <c r="AP174" i="137"/>
  <c r="AQ174" i="137"/>
  <c r="AR174" i="137" s="1"/>
  <c r="AM139" i="137"/>
  <c r="AG139" i="137"/>
  <c r="AQ107" i="137"/>
  <c r="AR107" i="137" s="1"/>
  <c r="AP107" i="137"/>
  <c r="AN107" i="137"/>
  <c r="AO107" i="137"/>
  <c r="AQ93" i="137"/>
  <c r="AR93" i="137" s="1"/>
  <c r="AP93" i="137"/>
  <c r="AN93" i="137"/>
  <c r="AO93" i="137"/>
  <c r="AP85" i="137"/>
  <c r="AN85" i="137"/>
  <c r="AQ85" i="137"/>
  <c r="AR85" i="137" s="1"/>
  <c r="AO85" i="137"/>
  <c r="AQ55" i="137"/>
  <c r="AR55" i="137" s="1"/>
  <c r="AN55" i="137"/>
  <c r="AP55" i="137"/>
  <c r="AO55" i="137"/>
  <c r="AM35" i="137"/>
  <c r="AG35" i="137"/>
  <c r="AO6" i="137"/>
  <c r="AN6" i="137"/>
  <c r="AP6" i="137"/>
  <c r="BU6" i="137" s="1"/>
  <c r="AQ6" i="137"/>
  <c r="AR6" i="137" s="1"/>
  <c r="AG149" i="137"/>
  <c r="AM149" i="137"/>
  <c r="AQ117" i="137"/>
  <c r="AR117" i="137" s="1"/>
  <c r="AP117" i="137"/>
  <c r="AO117" i="137"/>
  <c r="AN117" i="137"/>
  <c r="AN129" i="137"/>
  <c r="AQ129" i="137"/>
  <c r="AR129" i="137" s="1"/>
  <c r="AP129" i="137"/>
  <c r="AO129" i="137"/>
  <c r="AM178" i="137"/>
  <c r="AG178" i="137"/>
  <c r="AI184" i="137"/>
  <c r="AQ145" i="137"/>
  <c r="AR145" i="137" s="1"/>
  <c r="AP145" i="137"/>
  <c r="AO145" i="137"/>
  <c r="AN145" i="137"/>
  <c r="AX152" i="137"/>
  <c r="BH152" i="137" s="1"/>
  <c r="BB152" i="137"/>
  <c r="BI152" i="137"/>
  <c r="AY152" i="137"/>
  <c r="BC152" i="137" s="1"/>
  <c r="AM169" i="137"/>
  <c r="AG169" i="137"/>
  <c r="AM138" i="137"/>
  <c r="AG138" i="137"/>
  <c r="Z78" i="137"/>
  <c r="Y78" i="137"/>
  <c r="S78" i="137" s="1"/>
  <c r="AG91" i="137"/>
  <c r="AM91" i="137"/>
  <c r="AM59" i="137"/>
  <c r="AG59" i="137"/>
  <c r="AO90" i="137"/>
  <c r="AQ90" i="137"/>
  <c r="AR90" i="137" s="1"/>
  <c r="AN90" i="137"/>
  <c r="AP90" i="137"/>
  <c r="AG67" i="137"/>
  <c r="AM67" i="137"/>
  <c r="AI20" i="137"/>
  <c r="AQ17" i="137"/>
  <c r="AR17" i="137" s="1"/>
  <c r="AQ18" i="137"/>
  <c r="AR18" i="137" s="1"/>
  <c r="AN18" i="137"/>
  <c r="AP18" i="137"/>
  <c r="AO18" i="137"/>
  <c r="AM177" i="137"/>
  <c r="AG177" i="137"/>
  <c r="AQ171" i="137"/>
  <c r="AR171" i="137" s="1"/>
  <c r="AP171" i="137"/>
  <c r="AO171" i="137"/>
  <c r="AN171" i="137"/>
  <c r="AY138" i="137"/>
  <c r="BI138" i="137"/>
  <c r="AX138" i="137"/>
  <c r="BH138" i="137" s="1"/>
  <c r="BB138" i="137"/>
  <c r="AM127" i="137"/>
  <c r="AG127" i="137"/>
  <c r="AQ160" i="137"/>
  <c r="AR160" i="137" s="1"/>
  <c r="AI160" i="137" s="1"/>
  <c r="AI183" i="137"/>
  <c r="AM137" i="137"/>
  <c r="AG137" i="137"/>
  <c r="AM130" i="137"/>
  <c r="AG130" i="137"/>
  <c r="AO106" i="137"/>
  <c r="AN106" i="137"/>
  <c r="AI132" i="137"/>
  <c r="AQ119" i="137"/>
  <c r="AR119" i="137" s="1"/>
  <c r="AN119" i="137"/>
  <c r="AP119" i="137"/>
  <c r="AO119" i="137"/>
  <c r="AP78" i="137"/>
  <c r="AM49" i="137"/>
  <c r="AG49" i="137"/>
  <c r="Y23" i="137"/>
  <c r="S23" i="137" s="1"/>
  <c r="Z23" i="137"/>
  <c r="AP73" i="137"/>
  <c r="AN73" i="137"/>
  <c r="AQ73" i="137"/>
  <c r="AR73" i="137" s="1"/>
  <c r="AO73" i="137"/>
  <c r="AM27" i="137"/>
  <c r="AG27" i="137"/>
  <c r="AQ31" i="137"/>
  <c r="AR31" i="137" s="1"/>
  <c r="AO54" i="137"/>
  <c r="AN54" i="137"/>
  <c r="AQ54" i="137"/>
  <c r="AR54" i="137" s="1"/>
  <c r="AP54" i="137"/>
  <c r="AM14" i="137"/>
  <c r="AG14" i="137"/>
  <c r="Y69" i="137"/>
  <c r="S69" i="137" s="1"/>
  <c r="Z69" i="137"/>
  <c r="BN181" i="137"/>
  <c r="BK181" i="137"/>
  <c r="BJ181" i="137"/>
  <c r="AO166" i="137"/>
  <c r="AN166" i="137"/>
  <c r="AQ166" i="137"/>
  <c r="AR166" i="137" s="1"/>
  <c r="AP166" i="137"/>
  <c r="AM167" i="137"/>
  <c r="AG167" i="137"/>
  <c r="AQ168" i="137"/>
  <c r="AR168" i="137" s="1"/>
  <c r="AP168" i="137"/>
  <c r="AO168" i="137"/>
  <c r="AN168" i="137"/>
  <c r="BC150" i="137"/>
  <c r="AM152" i="137"/>
  <c r="AG152" i="137"/>
  <c r="AO143" i="137"/>
  <c r="AP143" i="137"/>
  <c r="AQ143" i="137"/>
  <c r="AR143" i="137" s="1"/>
  <c r="AN143" i="137"/>
  <c r="BJ149" i="137"/>
  <c r="BN149" i="137"/>
  <c r="BK149" i="137"/>
  <c r="AO135" i="137"/>
  <c r="AP135" i="137"/>
  <c r="AQ135" i="137"/>
  <c r="AR135" i="137" s="1"/>
  <c r="AN135" i="137"/>
  <c r="AQ79" i="137"/>
  <c r="AR79" i="137" s="1"/>
  <c r="AP79" i="137"/>
  <c r="AO79" i="137"/>
  <c r="AN79" i="137"/>
  <c r="AM88" i="137"/>
  <c r="AG88" i="137"/>
  <c r="AG136" i="137"/>
  <c r="AM136" i="137"/>
  <c r="AQ111" i="137"/>
  <c r="AR111" i="137" s="1"/>
  <c r="AN111" i="137"/>
  <c r="AP111" i="137"/>
  <c r="AO111" i="137"/>
  <c r="AP69" i="137"/>
  <c r="AO69" i="137"/>
  <c r="AN69" i="137"/>
  <c r="AQ69" i="137"/>
  <c r="AR69" i="137" s="1"/>
  <c r="AM115" i="137"/>
  <c r="AG115" i="137"/>
  <c r="AN77" i="137"/>
  <c r="AO77" i="137"/>
  <c r="AQ77" i="137"/>
  <c r="AR77" i="137" s="1"/>
  <c r="AP77" i="137"/>
  <c r="AP66" i="137"/>
  <c r="AG64" i="137"/>
  <c r="AM64" i="137"/>
  <c r="Z5" i="137"/>
  <c r="Y5" i="137"/>
  <c r="S5" i="137" s="1"/>
  <c r="AM57" i="137"/>
  <c r="AG57" i="137"/>
  <c r="AM7" i="137"/>
  <c r="AG7" i="137"/>
  <c r="AP31" i="137"/>
  <c r="AI92" i="137" l="1"/>
  <c r="AP118" i="137"/>
  <c r="BD176" i="137"/>
  <c r="AI31" i="137"/>
  <c r="BE149" i="137"/>
  <c r="AO17" i="137"/>
  <c r="AQ118" i="137"/>
  <c r="AR118" i="137" s="1"/>
  <c r="AI118" i="137" s="1"/>
  <c r="AO141" i="137"/>
  <c r="AI131" i="137"/>
  <c r="AP17" i="137"/>
  <c r="AO118" i="137"/>
  <c r="AI29" i="137"/>
  <c r="AN181" i="137"/>
  <c r="AO181" i="137"/>
  <c r="BD181" i="137"/>
  <c r="AQ181" i="137"/>
  <c r="AR181" i="137" s="1"/>
  <c r="AI181" i="137" s="1"/>
  <c r="BE181" i="137"/>
  <c r="AO140" i="137"/>
  <c r="AQ140" i="137"/>
  <c r="AR140" i="137" s="1"/>
  <c r="AI140" i="137" s="1"/>
  <c r="AN44" i="137"/>
  <c r="AQ44" i="137"/>
  <c r="AR44" i="137" s="1"/>
  <c r="AI44" i="137" s="1"/>
  <c r="AO44" i="137"/>
  <c r="AP44" i="137"/>
  <c r="AI153" i="137"/>
  <c r="AP140" i="137"/>
  <c r="BC142" i="137"/>
  <c r="AN50" i="137"/>
  <c r="AI50" i="137" s="1"/>
  <c r="AO50" i="137"/>
  <c r="BK146" i="137"/>
  <c r="BO146" i="137" s="1"/>
  <c r="AP47" i="137"/>
  <c r="AI24" i="137"/>
  <c r="AI60" i="137"/>
  <c r="AN182" i="137"/>
  <c r="AI182" i="137" s="1"/>
  <c r="AO182" i="137"/>
  <c r="AP182" i="137"/>
  <c r="AP144" i="137"/>
  <c r="AO144" i="137"/>
  <c r="AN144" i="137"/>
  <c r="AQ144" i="137"/>
  <c r="AR144" i="137" s="1"/>
  <c r="AI144" i="137" s="1"/>
  <c r="AI105" i="137"/>
  <c r="AN68" i="137"/>
  <c r="BD149" i="137"/>
  <c r="BD179" i="137"/>
  <c r="BN179" i="137"/>
  <c r="BJ179" i="137"/>
  <c r="BK179" i="137"/>
  <c r="AI129" i="137"/>
  <c r="AI53" i="137"/>
  <c r="AI77" i="137"/>
  <c r="BO181" i="137"/>
  <c r="AI110" i="137"/>
  <c r="BP150" i="137"/>
  <c r="AI172" i="137"/>
  <c r="BC180" i="137"/>
  <c r="BE141" i="137"/>
  <c r="BF141" i="137" s="1"/>
  <c r="AI174" i="137"/>
  <c r="AP141" i="137"/>
  <c r="AI175" i="137"/>
  <c r="BD141" i="137"/>
  <c r="BE179" i="137"/>
  <c r="AP74" i="137"/>
  <c r="AO74" i="137"/>
  <c r="AQ74" i="137"/>
  <c r="AR74" i="137" s="1"/>
  <c r="AN74" i="137"/>
  <c r="AP176" i="137"/>
  <c r="AO176" i="137"/>
  <c r="AQ176" i="137"/>
  <c r="AR176" i="137" s="1"/>
  <c r="AN176" i="137"/>
  <c r="AN141" i="137"/>
  <c r="AI141" i="137" s="1"/>
  <c r="BO176" i="137"/>
  <c r="AN41" i="137"/>
  <c r="AQ41" i="137"/>
  <c r="AR41" i="137" s="1"/>
  <c r="AI41" i="137" s="1"/>
  <c r="AP41" i="137"/>
  <c r="AO41" i="137"/>
  <c r="AI30" i="137"/>
  <c r="AI71" i="137"/>
  <c r="BC151" i="137"/>
  <c r="BE151" i="137" s="1"/>
  <c r="BF151" i="137" s="1"/>
  <c r="AI47" i="137"/>
  <c r="AO68" i="137"/>
  <c r="AQ68" i="137"/>
  <c r="AR68" i="137" s="1"/>
  <c r="AI68" i="137" s="1"/>
  <c r="BQ150" i="137"/>
  <c r="AI111" i="137"/>
  <c r="AI166" i="137"/>
  <c r="AI70" i="137"/>
  <c r="AI51" i="137"/>
  <c r="AN86" i="137"/>
  <c r="AQ86" i="137"/>
  <c r="AR86" i="137" s="1"/>
  <c r="AO86" i="137"/>
  <c r="AP86" i="137"/>
  <c r="AI55" i="137"/>
  <c r="AI93" i="137"/>
  <c r="BK140" i="137"/>
  <c r="BJ140" i="137"/>
  <c r="BN140" i="137"/>
  <c r="BN143" i="137"/>
  <c r="BK143" i="137"/>
  <c r="BJ143" i="137"/>
  <c r="BK151" i="137"/>
  <c r="BN151" i="137"/>
  <c r="BJ151" i="137"/>
  <c r="AN114" i="137"/>
  <c r="AQ114" i="137"/>
  <c r="AR114" i="137" s="1"/>
  <c r="AO114" i="137"/>
  <c r="AP114" i="137"/>
  <c r="AI8" i="137"/>
  <c r="BC178" i="137"/>
  <c r="BE178" i="137" s="1"/>
  <c r="AI33" i="137"/>
  <c r="AI103" i="137"/>
  <c r="AI85" i="137"/>
  <c r="AO120" i="137"/>
  <c r="AQ120" i="137"/>
  <c r="AR120" i="137" s="1"/>
  <c r="AP120" i="137"/>
  <c r="AN120" i="137"/>
  <c r="AI40" i="137"/>
  <c r="AQ179" i="137"/>
  <c r="AR179" i="137" s="1"/>
  <c r="AN179" i="137"/>
  <c r="AP179" i="137"/>
  <c r="AO179" i="137"/>
  <c r="BD146" i="137"/>
  <c r="BE146" i="137"/>
  <c r="BF146" i="137" s="1"/>
  <c r="AI54" i="137"/>
  <c r="AI123" i="137"/>
  <c r="AI22" i="137"/>
  <c r="BN180" i="137"/>
  <c r="BK180" i="137"/>
  <c r="BJ180" i="137"/>
  <c r="AQ104" i="137"/>
  <c r="AR104" i="137" s="1"/>
  <c r="AO104" i="137"/>
  <c r="AN104" i="137"/>
  <c r="AP104" i="137"/>
  <c r="AP100" i="137"/>
  <c r="AQ100" i="137"/>
  <c r="AR100" i="137" s="1"/>
  <c r="AO100" i="137"/>
  <c r="AN100" i="137"/>
  <c r="AQ116" i="137"/>
  <c r="AR116" i="137" s="1"/>
  <c r="AN116" i="137"/>
  <c r="AP116" i="137"/>
  <c r="AO116" i="137"/>
  <c r="AI48" i="137"/>
  <c r="AI95" i="137"/>
  <c r="AI26" i="137"/>
  <c r="AI125" i="137"/>
  <c r="AP102" i="137"/>
  <c r="AN102" i="137"/>
  <c r="AO102" i="137"/>
  <c r="AQ102" i="137"/>
  <c r="AR102" i="137" s="1"/>
  <c r="AP80" i="137"/>
  <c r="AN80" i="137"/>
  <c r="AQ80" i="137"/>
  <c r="AR80" i="137" s="1"/>
  <c r="AI80" i="137" s="1"/>
  <c r="AO80" i="137"/>
  <c r="BO149" i="137"/>
  <c r="BP149" i="137" s="1"/>
  <c r="AI163" i="137"/>
  <c r="BC177" i="137"/>
  <c r="AN23" i="137"/>
  <c r="AI23" i="137" s="1"/>
  <c r="AO23" i="137"/>
  <c r="AP23" i="137"/>
  <c r="AQ58" i="137"/>
  <c r="AR58" i="137" s="1"/>
  <c r="AN58" i="137"/>
  <c r="AP58" i="137"/>
  <c r="AO58" i="137"/>
  <c r="AQ180" i="137"/>
  <c r="AR180" i="137" s="1"/>
  <c r="AN180" i="137"/>
  <c r="AP180" i="137"/>
  <c r="AO180" i="137"/>
  <c r="BC143" i="137"/>
  <c r="AO11" i="138"/>
  <c r="AN11" i="138"/>
  <c r="AP11" i="138"/>
  <c r="BU11" i="138" s="1"/>
  <c r="AQ11" i="138"/>
  <c r="AR11" i="138" s="1"/>
  <c r="AI11" i="138" s="1"/>
  <c r="AO101" i="138"/>
  <c r="AN101" i="138"/>
  <c r="AQ101" i="138"/>
  <c r="AR101" i="138" s="1"/>
  <c r="AI101" i="138" s="1"/>
  <c r="AP101" i="138"/>
  <c r="BE167" i="138"/>
  <c r="BD167" i="138"/>
  <c r="BN165" i="138"/>
  <c r="BK165" i="138"/>
  <c r="BO165" i="138" s="1"/>
  <c r="BJ165" i="138"/>
  <c r="AI93" i="138"/>
  <c r="AI189" i="138"/>
  <c r="AQ80" i="138"/>
  <c r="AR80" i="138" s="1"/>
  <c r="AI80" i="138" s="1"/>
  <c r="AP80" i="138"/>
  <c r="AO80" i="138"/>
  <c r="AN80" i="138"/>
  <c r="AI102" i="138"/>
  <c r="BF169" i="138"/>
  <c r="AI169" i="138"/>
  <c r="AP73" i="138"/>
  <c r="AO73" i="138"/>
  <c r="AN73" i="138"/>
  <c r="AQ73" i="138"/>
  <c r="AR73" i="138" s="1"/>
  <c r="AN128" i="138"/>
  <c r="AQ128" i="138"/>
  <c r="AR128" i="138" s="1"/>
  <c r="AI128" i="138" s="1"/>
  <c r="AP128" i="138"/>
  <c r="AO128" i="138"/>
  <c r="BN166" i="138"/>
  <c r="BK166" i="138"/>
  <c r="BJ166" i="138"/>
  <c r="AQ92" i="138"/>
  <c r="AR92" i="138" s="1"/>
  <c r="AO92" i="138"/>
  <c r="AN92" i="138"/>
  <c r="AP92" i="138"/>
  <c r="BQ158" i="138"/>
  <c r="BP158" i="138"/>
  <c r="BR172" i="138"/>
  <c r="BD163" i="138"/>
  <c r="BE163" i="138"/>
  <c r="BR200" i="138"/>
  <c r="BE162" i="138"/>
  <c r="BR162" i="138" s="1"/>
  <c r="BR204" i="138"/>
  <c r="BF204" i="138"/>
  <c r="AQ81" i="138"/>
  <c r="AR81" i="138" s="1"/>
  <c r="AI81" i="138" s="1"/>
  <c r="AO81" i="138"/>
  <c r="AP81" i="138"/>
  <c r="AN81" i="138"/>
  <c r="BQ162" i="138"/>
  <c r="BP162" i="138"/>
  <c r="BN159" i="138"/>
  <c r="BK159" i="138"/>
  <c r="BO159" i="138" s="1"/>
  <c r="BJ159" i="138"/>
  <c r="AQ12" i="138"/>
  <c r="AR12" i="138" s="1"/>
  <c r="AI12" i="138" s="1"/>
  <c r="AN12" i="138"/>
  <c r="AP12" i="138"/>
  <c r="BU12" i="138" s="1"/>
  <c r="AO12" i="138"/>
  <c r="AI56" i="138"/>
  <c r="BK167" i="138"/>
  <c r="BO167" i="138" s="1"/>
  <c r="BN167" i="138"/>
  <c r="BJ167" i="138"/>
  <c r="BO154" i="138"/>
  <c r="BF155" i="138"/>
  <c r="AI155" i="138"/>
  <c r="AN5" i="138"/>
  <c r="AO5" i="138"/>
  <c r="AP5" i="138"/>
  <c r="BU5" i="138" s="1"/>
  <c r="AQ5" i="138"/>
  <c r="AR5" i="138" s="1"/>
  <c r="AI5" i="138" s="1"/>
  <c r="AI122" i="138"/>
  <c r="BF172" i="138"/>
  <c r="BC199" i="138"/>
  <c r="BR198" i="138"/>
  <c r="AI54" i="138"/>
  <c r="BC159" i="138"/>
  <c r="AQ186" i="138"/>
  <c r="AR186" i="138" s="1"/>
  <c r="AI186" i="138" s="1"/>
  <c r="AP186" i="138"/>
  <c r="AO186" i="138"/>
  <c r="AN186" i="138"/>
  <c r="AI45" i="138"/>
  <c r="BC166" i="138"/>
  <c r="AQ108" i="138"/>
  <c r="AR108" i="138" s="1"/>
  <c r="AI108" i="138" s="1"/>
  <c r="AO108" i="138"/>
  <c r="AN108" i="138"/>
  <c r="AP108" i="138"/>
  <c r="AP58" i="138"/>
  <c r="AQ58" i="138"/>
  <c r="AR58" i="138" s="1"/>
  <c r="AO58" i="138"/>
  <c r="AN58" i="138"/>
  <c r="AQ135" i="138"/>
  <c r="AR135" i="138" s="1"/>
  <c r="AI135" i="138" s="1"/>
  <c r="AN135" i="138"/>
  <c r="AP135" i="138"/>
  <c r="AO135" i="138"/>
  <c r="AI83" i="138"/>
  <c r="AP89" i="138"/>
  <c r="AN89" i="138"/>
  <c r="AQ89" i="138"/>
  <c r="AR89" i="138" s="1"/>
  <c r="AI89" i="138" s="1"/>
  <c r="AO89" i="138"/>
  <c r="AQ132" i="138"/>
  <c r="AR132" i="138" s="1"/>
  <c r="AO132" i="138"/>
  <c r="AN132" i="138"/>
  <c r="AP132" i="138"/>
  <c r="BQ203" i="138"/>
  <c r="BR203" i="138" s="1"/>
  <c r="BP203" i="138"/>
  <c r="AO42" i="138"/>
  <c r="AQ42" i="138"/>
  <c r="AR42" i="138" s="1"/>
  <c r="AI42" i="138" s="1"/>
  <c r="AP42" i="138"/>
  <c r="AN42" i="138"/>
  <c r="AQ20" i="138"/>
  <c r="AR20" i="138" s="1"/>
  <c r="AI20" i="138" s="1"/>
  <c r="AP20" i="138"/>
  <c r="AO20" i="138"/>
  <c r="AN20" i="138"/>
  <c r="BQ164" i="138"/>
  <c r="BR164" i="138" s="1"/>
  <c r="BP164" i="138"/>
  <c r="AQ147" i="138"/>
  <c r="AO147" i="138"/>
  <c r="AN147" i="138"/>
  <c r="AP147" i="138"/>
  <c r="AI165" i="138"/>
  <c r="BE160" i="138"/>
  <c r="BD160" i="138"/>
  <c r="AQ163" i="138"/>
  <c r="AR163" i="138" s="1"/>
  <c r="AP163" i="138"/>
  <c r="AO163" i="138"/>
  <c r="AN163" i="138"/>
  <c r="AQ162" i="138"/>
  <c r="AR162" i="138" s="1"/>
  <c r="AP162" i="138"/>
  <c r="AO162" i="138"/>
  <c r="AN162" i="138"/>
  <c r="AO50" i="138"/>
  <c r="AQ50" i="138"/>
  <c r="AR50" i="138" s="1"/>
  <c r="AI50" i="138" s="1"/>
  <c r="AP50" i="138"/>
  <c r="AN50" i="138"/>
  <c r="AI175" i="138"/>
  <c r="AQ57" i="138"/>
  <c r="AR57" i="138" s="1"/>
  <c r="AO57" i="138"/>
  <c r="AN57" i="138"/>
  <c r="AP57" i="138"/>
  <c r="BQ160" i="138"/>
  <c r="BP160" i="138"/>
  <c r="BR155" i="138"/>
  <c r="BN199" i="138"/>
  <c r="BJ199" i="138"/>
  <c r="BK199" i="138"/>
  <c r="BO199" i="138" s="1"/>
  <c r="AI77" i="138"/>
  <c r="BQ157" i="138"/>
  <c r="BR157" i="138" s="1"/>
  <c r="BP157" i="138"/>
  <c r="AQ205" i="138"/>
  <c r="AR205" i="138" s="1"/>
  <c r="AI205" i="138" s="1"/>
  <c r="AP205" i="138"/>
  <c r="AN205" i="138"/>
  <c r="AO205" i="138"/>
  <c r="BR158" i="138"/>
  <c r="AI37" i="138"/>
  <c r="AN137" i="138"/>
  <c r="AQ137" i="138"/>
  <c r="AR137" i="138" s="1"/>
  <c r="AI137" i="138" s="1"/>
  <c r="AO137" i="138"/>
  <c r="AP137" i="138"/>
  <c r="BE165" i="138"/>
  <c r="BD165" i="138"/>
  <c r="AI72" i="138"/>
  <c r="AI84" i="138"/>
  <c r="AQ164" i="138"/>
  <c r="AR164" i="138" s="1"/>
  <c r="AO164" i="138"/>
  <c r="AN164" i="138"/>
  <c r="AP164" i="138"/>
  <c r="AO46" i="138"/>
  <c r="AQ46" i="138"/>
  <c r="AR46" i="138" s="1"/>
  <c r="AP46" i="138"/>
  <c r="AN46" i="138"/>
  <c r="AI199" i="138"/>
  <c r="BO171" i="138"/>
  <c r="AI61" i="138"/>
  <c r="AI78" i="138"/>
  <c r="AN144" i="138"/>
  <c r="AQ144" i="138"/>
  <c r="AR144" i="138" s="1"/>
  <c r="AI144" i="138" s="1"/>
  <c r="AO144" i="138"/>
  <c r="AP144" i="138"/>
  <c r="BR170" i="138"/>
  <c r="AP65" i="138"/>
  <c r="AO65" i="138"/>
  <c r="AN65" i="138"/>
  <c r="AQ65" i="138"/>
  <c r="AR65" i="138" s="1"/>
  <c r="AI65" i="138" s="1"/>
  <c r="AI97" i="138"/>
  <c r="AI8" i="138"/>
  <c r="AP105" i="138"/>
  <c r="AO105" i="138"/>
  <c r="AQ105" i="138"/>
  <c r="AR105" i="138" s="1"/>
  <c r="AI105" i="138" s="1"/>
  <c r="AN105" i="138"/>
  <c r="AP152" i="138"/>
  <c r="AO152" i="138"/>
  <c r="AN152" i="138"/>
  <c r="AQ152" i="138"/>
  <c r="AI174" i="138"/>
  <c r="AG1" i="138"/>
  <c r="AI67" i="138"/>
  <c r="BR156" i="138"/>
  <c r="AI60" i="138"/>
  <c r="AO94" i="138"/>
  <c r="AN94" i="138"/>
  <c r="AP94" i="138"/>
  <c r="AQ94" i="138"/>
  <c r="AR94" i="138" s="1"/>
  <c r="AI16" i="138"/>
  <c r="AN21" i="138"/>
  <c r="AQ21" i="138"/>
  <c r="AR21" i="138" s="1"/>
  <c r="AP21" i="138"/>
  <c r="AO21" i="138"/>
  <c r="AI29" i="138"/>
  <c r="AO149" i="138"/>
  <c r="AN149" i="138"/>
  <c r="AQ149" i="138"/>
  <c r="AP149" i="138"/>
  <c r="BQ169" i="138"/>
  <c r="BR169" i="138" s="1"/>
  <c r="BP169" i="138"/>
  <c r="AO159" i="138"/>
  <c r="AN159" i="138"/>
  <c r="AQ159" i="138"/>
  <c r="AR159" i="138" s="1"/>
  <c r="AP159" i="138"/>
  <c r="BQ202" i="138"/>
  <c r="BR202" i="138" s="1"/>
  <c r="BP202" i="138"/>
  <c r="AI34" i="138"/>
  <c r="AQ139" i="138"/>
  <c r="AR139" i="138" s="1"/>
  <c r="AO139" i="138"/>
  <c r="AP139" i="138"/>
  <c r="AN139" i="138"/>
  <c r="AI38" i="138"/>
  <c r="AI141" i="138"/>
  <c r="AQ166" i="138"/>
  <c r="AR166" i="138" s="1"/>
  <c r="AP166" i="138"/>
  <c r="AO166" i="138"/>
  <c r="AN166" i="138"/>
  <c r="AN4" i="138"/>
  <c r="AO4" i="138"/>
  <c r="AQ4" i="138"/>
  <c r="AP4" i="138"/>
  <c r="BU4" i="138" s="1"/>
  <c r="BN163" i="138"/>
  <c r="BK163" i="138"/>
  <c r="BJ163" i="138"/>
  <c r="AP187" i="138"/>
  <c r="AO187" i="138"/>
  <c r="AN187" i="138"/>
  <c r="AQ187" i="138"/>
  <c r="AR187" i="138" s="1"/>
  <c r="AI62" i="138"/>
  <c r="BF156" i="138"/>
  <c r="AI156" i="138"/>
  <c r="BF200" i="138"/>
  <c r="AI96" i="138"/>
  <c r="AN57" i="137"/>
  <c r="AP57" i="137"/>
  <c r="AO57" i="137"/>
  <c r="AQ57" i="137"/>
  <c r="AR57" i="137" s="1"/>
  <c r="AP27" i="137"/>
  <c r="AO27" i="137"/>
  <c r="AQ27" i="137"/>
  <c r="AR27" i="137" s="1"/>
  <c r="AN27" i="137"/>
  <c r="AN19" i="137"/>
  <c r="AQ19" i="137"/>
  <c r="AR19" i="137" s="1"/>
  <c r="AP19" i="137"/>
  <c r="AO19" i="137"/>
  <c r="AP88" i="137"/>
  <c r="AQ88" i="137"/>
  <c r="AR88" i="137" s="1"/>
  <c r="AO88" i="137"/>
  <c r="AN88" i="137"/>
  <c r="AN14" i="137"/>
  <c r="AQ14" i="137"/>
  <c r="AR14" i="137" s="1"/>
  <c r="AP14" i="137"/>
  <c r="BU14" i="137" s="1"/>
  <c r="AO14" i="137"/>
  <c r="AQ59" i="137"/>
  <c r="AR59" i="137" s="1"/>
  <c r="AO59" i="137"/>
  <c r="AP59" i="137"/>
  <c r="AN59" i="137"/>
  <c r="AI6" i="137"/>
  <c r="AI99" i="137"/>
  <c r="BD145" i="137"/>
  <c r="BE145" i="137"/>
  <c r="AN72" i="137"/>
  <c r="AQ72" i="137"/>
  <c r="AR72" i="137" s="1"/>
  <c r="AP72" i="137"/>
  <c r="AO72" i="137"/>
  <c r="BK139" i="137"/>
  <c r="BJ139" i="137"/>
  <c r="BN139" i="137"/>
  <c r="AI165" i="137"/>
  <c r="AI159" i="137"/>
  <c r="AQ49" i="137"/>
  <c r="AR49" i="137" s="1"/>
  <c r="AP49" i="137"/>
  <c r="AO49" i="137"/>
  <c r="AN49" i="137"/>
  <c r="AQ178" i="137"/>
  <c r="AR178" i="137" s="1"/>
  <c r="AP178" i="137"/>
  <c r="AO178" i="137"/>
  <c r="AN178" i="137"/>
  <c r="AO13" i="137"/>
  <c r="AN13" i="137"/>
  <c r="AQ13" i="137"/>
  <c r="AR13" i="137" s="1"/>
  <c r="AP13" i="137"/>
  <c r="BU13" i="137" s="1"/>
  <c r="BN177" i="137"/>
  <c r="BK177" i="137"/>
  <c r="BJ177" i="137"/>
  <c r="AI135" i="137"/>
  <c r="AI143" i="137"/>
  <c r="AI73" i="137"/>
  <c r="AI18" i="137"/>
  <c r="AQ67" i="137"/>
  <c r="AR67" i="137" s="1"/>
  <c r="AN67" i="137"/>
  <c r="AP67" i="137"/>
  <c r="AO67" i="137"/>
  <c r="AQ91" i="137"/>
  <c r="AR91" i="137" s="1"/>
  <c r="AN91" i="137"/>
  <c r="AP91" i="137"/>
  <c r="AO91" i="137"/>
  <c r="BJ145" i="137"/>
  <c r="BK145" i="137"/>
  <c r="BO145" i="137" s="1"/>
  <c r="AQ45" i="137"/>
  <c r="AR45" i="137" s="1"/>
  <c r="AN45" i="137"/>
  <c r="AP45" i="137"/>
  <c r="AO45" i="137"/>
  <c r="AI101" i="137"/>
  <c r="BC148" i="137"/>
  <c r="AI61" i="137"/>
  <c r="AI89" i="137"/>
  <c r="AN84" i="137"/>
  <c r="AQ84" i="137"/>
  <c r="AR84" i="137" s="1"/>
  <c r="AP84" i="137"/>
  <c r="AO84" i="137"/>
  <c r="AI81" i="137"/>
  <c r="BD177" i="137"/>
  <c r="BE177" i="137"/>
  <c r="AN139" i="137"/>
  <c r="AP139" i="137"/>
  <c r="AO139" i="137"/>
  <c r="AQ139" i="137"/>
  <c r="AR139" i="137" s="1"/>
  <c r="BD140" i="137"/>
  <c r="BE140" i="137"/>
  <c r="BC139" i="137"/>
  <c r="AQ150" i="137"/>
  <c r="AR150" i="137" s="1"/>
  <c r="AP150" i="137"/>
  <c r="AO150" i="137"/>
  <c r="AN150" i="137"/>
  <c r="BQ181" i="137"/>
  <c r="BR181" i="137" s="1"/>
  <c r="BP181" i="137"/>
  <c r="AQ130" i="137"/>
  <c r="AR130" i="137" s="1"/>
  <c r="AP130" i="137"/>
  <c r="AO130" i="137"/>
  <c r="AN130" i="137"/>
  <c r="BD152" i="137"/>
  <c r="BE152" i="137"/>
  <c r="AI145" i="137"/>
  <c r="AI117" i="137"/>
  <c r="AI25" i="137"/>
  <c r="AI126" i="137"/>
  <c r="AP134" i="137"/>
  <c r="AO134" i="137"/>
  <c r="AQ134" i="137"/>
  <c r="AR134" i="137" s="1"/>
  <c r="AN134" i="137"/>
  <c r="AQ148" i="137"/>
  <c r="AR148" i="137" s="1"/>
  <c r="AO148" i="137"/>
  <c r="AN148" i="137"/>
  <c r="AP148" i="137"/>
  <c r="AI28" i="137"/>
  <c r="AI11" i="137"/>
  <c r="AI21" i="137"/>
  <c r="BP141" i="137"/>
  <c r="BQ141" i="137"/>
  <c r="BK148" i="137"/>
  <c r="BN148" i="137"/>
  <c r="BJ148" i="137"/>
  <c r="BQ146" i="137"/>
  <c r="BP146" i="137"/>
  <c r="AI164" i="137"/>
  <c r="AQ177" i="137"/>
  <c r="AR177" i="137" s="1"/>
  <c r="AP177" i="137"/>
  <c r="AO177" i="137"/>
  <c r="AN177" i="137"/>
  <c r="BJ152" i="137"/>
  <c r="BK152" i="137"/>
  <c r="BN152" i="137"/>
  <c r="AQ154" i="137"/>
  <c r="AR154" i="137" s="1"/>
  <c r="AP154" i="137"/>
  <c r="AO154" i="137"/>
  <c r="AN154" i="137"/>
  <c r="BN178" i="137"/>
  <c r="BK178" i="137"/>
  <c r="BJ178" i="137"/>
  <c r="AQ75" i="137"/>
  <c r="AR75" i="137" s="1"/>
  <c r="AN75" i="137"/>
  <c r="AP75" i="137"/>
  <c r="AO75" i="137"/>
  <c r="AP9" i="137"/>
  <c r="BU9" i="137" s="1"/>
  <c r="AQ9" i="137"/>
  <c r="AR9" i="137" s="1"/>
  <c r="AO9" i="137"/>
  <c r="AN9" i="137"/>
  <c r="AI39" i="137"/>
  <c r="AQ63" i="137"/>
  <c r="AR63" i="137" s="1"/>
  <c r="AN63" i="137"/>
  <c r="AP63" i="137"/>
  <c r="AO63" i="137"/>
  <c r="AI106" i="137"/>
  <c r="AI168" i="137"/>
  <c r="AI171" i="137"/>
  <c r="AO169" i="137"/>
  <c r="AN169" i="137"/>
  <c r="AQ169" i="137"/>
  <c r="AR169" i="137" s="1"/>
  <c r="AP169" i="137"/>
  <c r="AQ115" i="137"/>
  <c r="AR115" i="137" s="1"/>
  <c r="AP115" i="137"/>
  <c r="AN115" i="137"/>
  <c r="AO115" i="137"/>
  <c r="AN7" i="137"/>
  <c r="AQ7" i="137"/>
  <c r="AR7" i="137" s="1"/>
  <c r="AP7" i="137"/>
  <c r="BU7" i="137" s="1"/>
  <c r="AO7" i="137"/>
  <c r="AI69" i="137"/>
  <c r="AQ136" i="137"/>
  <c r="AR136" i="137" s="1"/>
  <c r="AN136" i="137"/>
  <c r="AP136" i="137"/>
  <c r="AO136" i="137"/>
  <c r="AQ152" i="137"/>
  <c r="AR152" i="137" s="1"/>
  <c r="AO152" i="137"/>
  <c r="AN152" i="137"/>
  <c r="AP152" i="137"/>
  <c r="AQ167" i="137"/>
  <c r="AR167" i="137" s="1"/>
  <c r="AN167" i="137"/>
  <c r="AO167" i="137"/>
  <c r="AP167" i="137"/>
  <c r="AI119" i="137"/>
  <c r="AP137" i="137"/>
  <c r="AN137" i="137"/>
  <c r="AQ137" i="137"/>
  <c r="AR137" i="137" s="1"/>
  <c r="AO137" i="137"/>
  <c r="BJ138" i="137"/>
  <c r="BN138" i="137"/>
  <c r="BK138" i="137"/>
  <c r="AI17" i="137"/>
  <c r="AI90" i="137"/>
  <c r="AN138" i="137"/>
  <c r="AP138" i="137"/>
  <c r="AO138" i="137"/>
  <c r="AQ138" i="137"/>
  <c r="AR138" i="137" s="1"/>
  <c r="AO35" i="137"/>
  <c r="AN35" i="137"/>
  <c r="AQ35" i="137"/>
  <c r="AR35" i="137" s="1"/>
  <c r="AP35" i="137"/>
  <c r="AI113" i="137"/>
  <c r="AI36" i="137"/>
  <c r="AQ97" i="137"/>
  <c r="AR97" i="137" s="1"/>
  <c r="AP97" i="137"/>
  <c r="AO97" i="137"/>
  <c r="AN97" i="137"/>
  <c r="BR144" i="137"/>
  <c r="BK147" i="137"/>
  <c r="BJ147" i="137"/>
  <c r="BN147" i="137"/>
  <c r="AQ34" i="137"/>
  <c r="AR34" i="137" s="1"/>
  <c r="AP34" i="137"/>
  <c r="AO34" i="137"/>
  <c r="AN34" i="137"/>
  <c r="AI158" i="137"/>
  <c r="BQ142" i="137"/>
  <c r="BP142" i="137"/>
  <c r="AN65" i="137"/>
  <c r="AO65" i="137"/>
  <c r="AQ65" i="137"/>
  <c r="AR65" i="137" s="1"/>
  <c r="AP65" i="137"/>
  <c r="AQ64" i="137"/>
  <c r="AR64" i="137" s="1"/>
  <c r="AO64" i="137"/>
  <c r="AN64" i="137"/>
  <c r="AP64" i="137"/>
  <c r="AO127" i="137"/>
  <c r="AN127" i="137"/>
  <c r="AQ127" i="137"/>
  <c r="AR127" i="137" s="1"/>
  <c r="AP127" i="137"/>
  <c r="AI147" i="137"/>
  <c r="AI79" i="137"/>
  <c r="BD150" i="137"/>
  <c r="BE150" i="137"/>
  <c r="BR150" i="137" s="1"/>
  <c r="BC138" i="137"/>
  <c r="AQ149" i="137"/>
  <c r="AR149" i="137" s="1"/>
  <c r="AP149" i="137"/>
  <c r="AN149" i="137"/>
  <c r="AO149" i="137"/>
  <c r="AI107" i="137"/>
  <c r="AQ128" i="137"/>
  <c r="AR128" i="137" s="1"/>
  <c r="AP128" i="137"/>
  <c r="AO128" i="137"/>
  <c r="AN128" i="137"/>
  <c r="AI109" i="137"/>
  <c r="BC147" i="137"/>
  <c r="AI156" i="137"/>
  <c r="AQ4" i="137"/>
  <c r="AN4" i="137"/>
  <c r="AP4" i="137"/>
  <c r="BU4" i="137" s="1"/>
  <c r="AO4" i="137"/>
  <c r="AP42" i="137"/>
  <c r="AO42" i="137"/>
  <c r="AQ42" i="137"/>
  <c r="AR42" i="137" s="1"/>
  <c r="AN42" i="137"/>
  <c r="AI121" i="137"/>
  <c r="AI161" i="137"/>
  <c r="AI157" i="137"/>
  <c r="BR141" i="137" l="1"/>
  <c r="BR146" i="137"/>
  <c r="BF181" i="137"/>
  <c r="BE142" i="137"/>
  <c r="BF142" i="137" s="1"/>
  <c r="BD142" i="137"/>
  <c r="BO180" i="137"/>
  <c r="AI176" i="137"/>
  <c r="BF144" i="137"/>
  <c r="AI137" i="137"/>
  <c r="BD178" i="137"/>
  <c r="BO179" i="137"/>
  <c r="BE180" i="137"/>
  <c r="BF180" i="137" s="1"/>
  <c r="BD180" i="137"/>
  <c r="BO138" i="137"/>
  <c r="AI86" i="137"/>
  <c r="BF176" i="137"/>
  <c r="BD151" i="137"/>
  <c r="AI74" i="137"/>
  <c r="AI64" i="137"/>
  <c r="BQ176" i="137"/>
  <c r="BR176" i="137" s="1"/>
  <c r="BP176" i="137"/>
  <c r="BQ149" i="137"/>
  <c r="BR149" i="137" s="1"/>
  <c r="BO143" i="137"/>
  <c r="BQ143" i="137" s="1"/>
  <c r="AI58" i="137"/>
  <c r="BO140" i="137"/>
  <c r="AI42" i="137"/>
  <c r="AI180" i="137"/>
  <c r="BO151" i="137"/>
  <c r="BP151" i="137" s="1"/>
  <c r="AI167" i="137"/>
  <c r="AI136" i="137"/>
  <c r="AI9" i="137"/>
  <c r="AI115" i="137"/>
  <c r="AI114" i="137"/>
  <c r="AI84" i="137"/>
  <c r="AI14" i="137"/>
  <c r="AI19" i="137"/>
  <c r="AI116" i="137"/>
  <c r="AI35" i="137"/>
  <c r="AI7" i="137"/>
  <c r="AI63" i="137"/>
  <c r="AI154" i="137"/>
  <c r="BO148" i="137"/>
  <c r="BQ148" i="137" s="1"/>
  <c r="AI91" i="137"/>
  <c r="AI120" i="137"/>
  <c r="BE143" i="137"/>
  <c r="BD143" i="137"/>
  <c r="BQ180" i="137"/>
  <c r="BP180" i="137"/>
  <c r="AI127" i="137"/>
  <c r="BO152" i="137"/>
  <c r="BQ152" i="137" s="1"/>
  <c r="BR152" i="137" s="1"/>
  <c r="AI72" i="137"/>
  <c r="AI100" i="137"/>
  <c r="AI179" i="137"/>
  <c r="BF179" i="137"/>
  <c r="AI67" i="137"/>
  <c r="AI57" i="137"/>
  <c r="AI102" i="137"/>
  <c r="AI104" i="137"/>
  <c r="AI166" i="138"/>
  <c r="BQ171" i="138"/>
  <c r="BR171" i="138" s="1"/>
  <c r="BP171" i="138"/>
  <c r="BQ154" i="138"/>
  <c r="BR154" i="138" s="1"/>
  <c r="BP154" i="138"/>
  <c r="BO166" i="138"/>
  <c r="AI187" i="138"/>
  <c r="AQ1" i="138"/>
  <c r="AR4" i="138"/>
  <c r="AI4" i="138" s="1"/>
  <c r="AI94" i="138"/>
  <c r="BF164" i="138"/>
  <c r="AI164" i="138"/>
  <c r="BQ159" i="138"/>
  <c r="BP159" i="138"/>
  <c r="AI159" i="138"/>
  <c r="AI163" i="138"/>
  <c r="BF163" i="138"/>
  <c r="AI132" i="138"/>
  <c r="BE159" i="138"/>
  <c r="BR159" i="138" s="1"/>
  <c r="BD159" i="138"/>
  <c r="BQ167" i="138"/>
  <c r="BR167" i="138" s="1"/>
  <c r="BP167" i="138"/>
  <c r="BQ199" i="138"/>
  <c r="BP199" i="138"/>
  <c r="BP165" i="138"/>
  <c r="BQ165" i="138"/>
  <c r="AI46" i="138"/>
  <c r="AI57" i="138"/>
  <c r="BR160" i="138"/>
  <c r="BF160" i="138"/>
  <c r="BD166" i="138"/>
  <c r="BE166" i="138"/>
  <c r="AI139" i="138"/>
  <c r="BR165" i="138"/>
  <c r="BF162" i="138"/>
  <c r="AI162" i="138"/>
  <c r="BF165" i="138"/>
  <c r="AI92" i="138"/>
  <c r="AI73" i="138"/>
  <c r="BO163" i="138"/>
  <c r="AI21" i="138"/>
  <c r="AI58" i="138"/>
  <c r="BD199" i="138"/>
  <c r="BE199" i="138"/>
  <c r="BF167" i="138"/>
  <c r="BQ145" i="137"/>
  <c r="BR145" i="137" s="1"/>
  <c r="BP145" i="137"/>
  <c r="BF140" i="137"/>
  <c r="AI27" i="137"/>
  <c r="AR4" i="137"/>
  <c r="AI4" i="137" s="1"/>
  <c r="AQ1" i="137"/>
  <c r="BE139" i="137"/>
  <c r="BF139" i="137" s="1"/>
  <c r="BD139" i="137"/>
  <c r="BD147" i="137"/>
  <c r="BE147" i="137"/>
  <c r="BO147" i="137"/>
  <c r="BE148" i="137"/>
  <c r="BF148" i="137" s="1"/>
  <c r="BD148" i="137"/>
  <c r="BO177" i="137"/>
  <c r="AI88" i="137"/>
  <c r="AI169" i="137"/>
  <c r="AI177" i="137"/>
  <c r="BF177" i="137"/>
  <c r="AI139" i="137"/>
  <c r="BF178" i="137"/>
  <c r="AI178" i="137"/>
  <c r="AI59" i="137"/>
  <c r="BP138" i="137"/>
  <c r="BQ138" i="137"/>
  <c r="AI75" i="137"/>
  <c r="AI148" i="137"/>
  <c r="BF150" i="137"/>
  <c r="AI150" i="137"/>
  <c r="AI13" i="137"/>
  <c r="BF152" i="137"/>
  <c r="AI152" i="137"/>
  <c r="AI65" i="137"/>
  <c r="BO139" i="137"/>
  <c r="BF149" i="137"/>
  <c r="AI149" i="137"/>
  <c r="AI128" i="137"/>
  <c r="BE138" i="137"/>
  <c r="BD138" i="137"/>
  <c r="AI34" i="137"/>
  <c r="AI97" i="137"/>
  <c r="AI138" i="137"/>
  <c r="BO178" i="137"/>
  <c r="AI134" i="137"/>
  <c r="BF145" i="137"/>
  <c r="AI130" i="137"/>
  <c r="AI45" i="137"/>
  <c r="AI49" i="137"/>
  <c r="BR142" i="137" l="1"/>
  <c r="BQ151" i="137"/>
  <c r="BR151" i="137" s="1"/>
  <c r="BP179" i="137"/>
  <c r="BQ179" i="137"/>
  <c r="BR179" i="137" s="1"/>
  <c r="BR180" i="137"/>
  <c r="BP148" i="137"/>
  <c r="BP143" i="137"/>
  <c r="BP140" i="137"/>
  <c r="BQ140" i="137"/>
  <c r="BR140" i="137" s="1"/>
  <c r="BP152" i="137"/>
  <c r="BR138" i="137"/>
  <c r="BR143" i="137"/>
  <c r="BF143" i="137"/>
  <c r="BF159" i="138"/>
  <c r="BR199" i="138"/>
  <c r="BF199" i="138"/>
  <c r="BQ166" i="138"/>
  <c r="BP166" i="138"/>
  <c r="BR166" i="138"/>
  <c r="BP163" i="138"/>
  <c r="BQ163" i="138"/>
  <c r="BR163" i="138" s="1"/>
  <c r="BF166" i="138"/>
  <c r="BQ177" i="137"/>
  <c r="BR177" i="137" s="1"/>
  <c r="BP177" i="137"/>
  <c r="BR148" i="137"/>
  <c r="BP147" i="137"/>
  <c r="BQ147" i="137"/>
  <c r="BR147" i="137" s="1"/>
  <c r="BF147" i="137"/>
  <c r="BF138" i="137"/>
  <c r="BQ139" i="137"/>
  <c r="BR139" i="137" s="1"/>
  <c r="BP139" i="137"/>
  <c r="BQ178" i="137"/>
  <c r="BR178" i="137" s="1"/>
  <c r="BP178" i="137"/>
  <c r="H14" i="55" l="1"/>
  <c r="X14" i="55" s="1"/>
  <c r="U14" i="55"/>
  <c r="H27" i="55" l="1"/>
  <c r="H26" i="55"/>
  <c r="H24" i="55"/>
  <c r="H23" i="55"/>
  <c r="H20" i="55"/>
  <c r="H17" i="55"/>
  <c r="T18" i="55"/>
  <c r="S18" i="55"/>
  <c r="Y18" i="55" s="1"/>
  <c r="Z18" i="55" s="1"/>
  <c r="M18" i="55"/>
  <c r="J18" i="55"/>
  <c r="I18" i="55"/>
  <c r="T19" i="55"/>
  <c r="S19" i="55"/>
  <c r="M19" i="55"/>
  <c r="J19" i="55"/>
  <c r="I19" i="55" s="1"/>
  <c r="N15" i="133"/>
  <c r="O15" i="133" s="1"/>
  <c r="O16" i="133" s="1"/>
  <c r="O17" i="133" s="1"/>
  <c r="O18" i="133" s="1"/>
  <c r="O14" i="133"/>
  <c r="O9" i="133"/>
  <c r="O10" i="133" s="1"/>
  <c r="O11" i="133" s="1"/>
  <c r="O8" i="133"/>
  <c r="H13" i="55"/>
  <c r="P13" i="55" s="1"/>
  <c r="P12" i="55"/>
  <c r="M12" i="55"/>
  <c r="J12" i="55"/>
  <c r="I12" i="55" s="1"/>
  <c r="Y12" i="55" s="1"/>
  <c r="Z12" i="55" s="1"/>
  <c r="P11" i="55"/>
  <c r="P10" i="55"/>
  <c r="T7" i="55"/>
  <c r="S7" i="55"/>
  <c r="T6" i="55"/>
  <c r="S6" i="55"/>
  <c r="J5" i="55"/>
  <c r="T5" i="55"/>
  <c r="S5" i="55"/>
  <c r="M36" i="63"/>
  <c r="M34" i="63"/>
  <c r="X20" i="55" l="1"/>
  <c r="U20" i="55"/>
  <c r="Y19" i="55"/>
  <c r="Z19" i="55" s="1"/>
  <c r="R24" i="63"/>
  <c r="O24" i="63"/>
  <c r="R23" i="63"/>
  <c r="O23" i="63"/>
  <c r="R22" i="63"/>
  <c r="O22" i="63"/>
  <c r="R21" i="63"/>
  <c r="O21" i="63"/>
  <c r="M28" i="63"/>
  <c r="M27" i="63"/>
  <c r="M26" i="63"/>
  <c r="M25" i="63"/>
  <c r="R20" i="63"/>
  <c r="R19" i="63"/>
  <c r="R18" i="63"/>
  <c r="R17" i="63"/>
  <c r="R16" i="63"/>
  <c r="R15" i="63"/>
  <c r="R14" i="63"/>
  <c r="R13" i="63"/>
  <c r="R12" i="63"/>
  <c r="R11" i="63"/>
  <c r="U20" i="63"/>
  <c r="U19" i="63"/>
  <c r="U18" i="63"/>
  <c r="U17" i="63"/>
  <c r="U16" i="63"/>
  <c r="U15" i="63"/>
  <c r="U14" i="63"/>
  <c r="U13" i="63"/>
  <c r="U12" i="63"/>
  <c r="U11" i="63"/>
  <c r="W11" i="63" s="1"/>
  <c r="L17" i="62"/>
  <c r="X17" i="62"/>
  <c r="S13" i="62"/>
  <c r="S12" i="62"/>
  <c r="S11" i="62"/>
  <c r="S10" i="62"/>
  <c r="S9" i="62"/>
  <c r="S8" i="62"/>
  <c r="L8" i="62"/>
  <c r="G13" i="62"/>
  <c r="G12" i="62"/>
  <c r="G11" i="62"/>
  <c r="G10" i="62"/>
  <c r="G9" i="62"/>
  <c r="G8" i="62"/>
  <c r="S7" i="62"/>
  <c r="S6" i="62"/>
  <c r="K37" i="61"/>
  <c r="M37" i="61" s="1"/>
  <c r="BH30" i="61"/>
  <c r="AQ30" i="61"/>
  <c r="W17" i="63" l="1"/>
  <c r="W15" i="63"/>
  <c r="W19" i="63"/>
  <c r="W12" i="63"/>
  <c r="W20" i="63"/>
  <c r="X21" i="63"/>
  <c r="W18" i="63"/>
  <c r="W16" i="63"/>
  <c r="W13" i="63"/>
  <c r="W14" i="63"/>
  <c r="P27" i="61"/>
  <c r="Z27" i="61" s="1"/>
  <c r="AG27" i="61"/>
  <c r="AO27" i="61" s="1"/>
  <c r="BM27" i="61"/>
  <c r="BU27" i="61" s="1"/>
  <c r="AV27" i="61"/>
  <c r="BF27" i="61" s="1"/>
  <c r="AQ20" i="61" l="1"/>
  <c r="AV20" i="61" s="1"/>
  <c r="BF20" i="61" s="1"/>
  <c r="Z20" i="61"/>
  <c r="AQ15" i="61" l="1"/>
  <c r="K15" i="61"/>
  <c r="AW8" i="61"/>
  <c r="AV8" i="61"/>
  <c r="AS8" i="61"/>
  <c r="Q8" i="61"/>
  <c r="P8" i="61"/>
  <c r="M8" i="61"/>
  <c r="AQ11" i="61"/>
  <c r="K11" i="61"/>
  <c r="AQ7" i="61"/>
  <c r="K7" i="61"/>
  <c r="AQ6" i="61"/>
  <c r="K6" i="61"/>
  <c r="R6" i="61" s="1"/>
  <c r="AQ9" i="61"/>
  <c r="K9" i="61"/>
  <c r="P7" i="61" l="1"/>
  <c r="R7" i="61"/>
  <c r="R11" i="61"/>
  <c r="P11" i="61"/>
  <c r="AV6" i="61"/>
  <c r="AX6" i="61"/>
  <c r="AV7" i="61"/>
  <c r="AX7" i="61"/>
  <c r="AV11" i="61"/>
  <c r="AX11" i="61"/>
  <c r="BF8" i="61"/>
  <c r="BG8" i="61" s="1"/>
  <c r="P6" i="61"/>
  <c r="Z6" i="61" s="1"/>
  <c r="Z8" i="61"/>
  <c r="AA8" i="61" s="1"/>
  <c r="Z11" i="61" l="1"/>
  <c r="Z7" i="61"/>
  <c r="BF6" i="61"/>
  <c r="BF7" i="61"/>
  <c r="BF11" i="61"/>
  <c r="AQ12" i="61"/>
  <c r="K12" i="61"/>
  <c r="AQ10" i="61"/>
  <c r="AW10" i="61" s="1"/>
  <c r="K10" i="61"/>
  <c r="Q10" i="61" s="1"/>
  <c r="AQ14" i="61"/>
  <c r="K14" i="61"/>
  <c r="AQ13" i="61"/>
  <c r="AV13" i="61" s="1"/>
  <c r="BF13" i="61" s="1"/>
  <c r="AB14" i="27"/>
  <c r="J14" i="27"/>
  <c r="K13" i="61"/>
  <c r="P13" i="61" s="1"/>
  <c r="Z13" i="61" s="1"/>
  <c r="Q7" i="27"/>
  <c r="AN401" i="123"/>
  <c r="AM401" i="123"/>
  <c r="AG401" i="123"/>
  <c r="AD401" i="123"/>
  <c r="W401" i="123"/>
  <c r="U401" i="123"/>
  <c r="X401" i="123" s="1"/>
  <c r="S401" i="123"/>
  <c r="R401" i="123"/>
  <c r="Q401" i="123"/>
  <c r="P401" i="123"/>
  <c r="N401" i="123"/>
  <c r="AN400" i="123"/>
  <c r="AM400" i="123"/>
  <c r="AG400" i="123"/>
  <c r="AD400" i="123"/>
  <c r="AH400" i="123" s="1"/>
  <c r="AI400" i="123" s="1"/>
  <c r="AJ400" i="123" s="1"/>
  <c r="W400" i="123"/>
  <c r="U400" i="123"/>
  <c r="X400" i="123" s="1"/>
  <c r="S400" i="123"/>
  <c r="R400" i="123"/>
  <c r="Q400" i="123"/>
  <c r="P400" i="123"/>
  <c r="N400" i="123"/>
  <c r="AN399" i="123"/>
  <c r="AM399" i="123"/>
  <c r="AG399" i="123"/>
  <c r="AH399" i="123" s="1"/>
  <c r="AD399" i="123"/>
  <c r="W399" i="123"/>
  <c r="X399" i="123" s="1"/>
  <c r="U399" i="123"/>
  <c r="S399" i="123"/>
  <c r="R399" i="123"/>
  <c r="Q399" i="123"/>
  <c r="P399" i="123"/>
  <c r="N399" i="123"/>
  <c r="AN398" i="123"/>
  <c r="AM398" i="123"/>
  <c r="AG398" i="123"/>
  <c r="AD398" i="123"/>
  <c r="AH398" i="123" s="1"/>
  <c r="W398" i="123"/>
  <c r="U398" i="123"/>
  <c r="S398" i="123"/>
  <c r="R398" i="123"/>
  <c r="Q398" i="123"/>
  <c r="P398" i="123"/>
  <c r="N398" i="123"/>
  <c r="AN397" i="123"/>
  <c r="AM397" i="123"/>
  <c r="AG397" i="123"/>
  <c r="AD397" i="123"/>
  <c r="AH397" i="123" s="1"/>
  <c r="AI397" i="123" s="1"/>
  <c r="AJ397" i="123" s="1"/>
  <c r="W397" i="123"/>
  <c r="X397" i="123" s="1"/>
  <c r="Y397" i="123" s="1"/>
  <c r="U397" i="123"/>
  <c r="S397" i="123"/>
  <c r="R397" i="123"/>
  <c r="Q397" i="123"/>
  <c r="P397" i="123"/>
  <c r="N397" i="123"/>
  <c r="AN396" i="123"/>
  <c r="AM396" i="123"/>
  <c r="AG396" i="123"/>
  <c r="AH396" i="123" s="1"/>
  <c r="AD396" i="123"/>
  <c r="W396" i="123"/>
  <c r="U396" i="123"/>
  <c r="S396" i="123"/>
  <c r="R396" i="123"/>
  <c r="Q396" i="123"/>
  <c r="P396" i="123"/>
  <c r="N396" i="123"/>
  <c r="AN395" i="123"/>
  <c r="AM395" i="123"/>
  <c r="AG395" i="123"/>
  <c r="AD395" i="123"/>
  <c r="AH395" i="123" s="1"/>
  <c r="AI395" i="123" s="1"/>
  <c r="AJ395" i="123" s="1"/>
  <c r="W395" i="123"/>
  <c r="X395" i="123" s="1"/>
  <c r="Y395" i="123" s="1"/>
  <c r="U395" i="123"/>
  <c r="S395" i="123"/>
  <c r="R395" i="123"/>
  <c r="Q395" i="123"/>
  <c r="P395" i="123"/>
  <c r="N395" i="123"/>
  <c r="AN394" i="123"/>
  <c r="AM394" i="123"/>
  <c r="AG394" i="123"/>
  <c r="AD394" i="123"/>
  <c r="AH394" i="123" s="1"/>
  <c r="W394" i="123"/>
  <c r="U394" i="123"/>
  <c r="S394" i="123"/>
  <c r="R394" i="123"/>
  <c r="Q394" i="123"/>
  <c r="P394" i="123"/>
  <c r="N394" i="123"/>
  <c r="AN393" i="123"/>
  <c r="AM393" i="123"/>
  <c r="AG393" i="123"/>
  <c r="AD393" i="123"/>
  <c r="W393" i="123"/>
  <c r="U393" i="123"/>
  <c r="X393" i="123" s="1"/>
  <c r="S393" i="123"/>
  <c r="R393" i="123"/>
  <c r="Q393" i="123"/>
  <c r="P393" i="123"/>
  <c r="N393" i="123"/>
  <c r="AN392" i="123"/>
  <c r="AM392" i="123"/>
  <c r="AG392" i="123"/>
  <c r="AH392" i="123" s="1"/>
  <c r="AD392" i="123"/>
  <c r="W392" i="123"/>
  <c r="U392" i="123"/>
  <c r="S392" i="123"/>
  <c r="R392" i="123"/>
  <c r="Q392" i="123"/>
  <c r="P392" i="123"/>
  <c r="N392" i="123"/>
  <c r="AN391" i="123"/>
  <c r="AM391" i="123"/>
  <c r="AG391" i="123"/>
  <c r="AD391" i="123"/>
  <c r="AH391" i="123" s="1"/>
  <c r="AI391" i="123" s="1"/>
  <c r="AJ391" i="123" s="1"/>
  <c r="W391" i="123"/>
  <c r="X391" i="123" s="1"/>
  <c r="U391" i="123"/>
  <c r="S391" i="123"/>
  <c r="R391" i="123"/>
  <c r="Q391" i="123"/>
  <c r="P391" i="123"/>
  <c r="N391" i="123"/>
  <c r="AN390" i="123"/>
  <c r="AM390" i="123"/>
  <c r="AG390" i="123"/>
  <c r="AD390" i="123"/>
  <c r="AH390" i="123" s="1"/>
  <c r="W390" i="123"/>
  <c r="U390" i="123"/>
  <c r="S390" i="123"/>
  <c r="R390" i="123"/>
  <c r="Q390" i="123"/>
  <c r="P390" i="123"/>
  <c r="N390" i="123"/>
  <c r="AN389" i="123"/>
  <c r="AM389" i="123"/>
  <c r="AH389" i="123"/>
  <c r="AI389" i="123" s="1"/>
  <c r="AJ389" i="123" s="1"/>
  <c r="AG389" i="123"/>
  <c r="AD389" i="123"/>
  <c r="W389" i="123"/>
  <c r="U389" i="123"/>
  <c r="X389" i="123" s="1"/>
  <c r="Y389" i="123" s="1"/>
  <c r="S389" i="123"/>
  <c r="R389" i="123"/>
  <c r="Q389" i="123"/>
  <c r="P389" i="123"/>
  <c r="Z389" i="123" s="1"/>
  <c r="AK389" i="123" s="1"/>
  <c r="N389" i="123"/>
  <c r="AN388" i="123"/>
  <c r="AM388" i="123"/>
  <c r="AG388" i="123"/>
  <c r="AD388" i="123"/>
  <c r="AH388" i="123" s="1"/>
  <c r="W388" i="123"/>
  <c r="U388" i="123"/>
  <c r="X388" i="123" s="1"/>
  <c r="Y388" i="123" s="1"/>
  <c r="S388" i="123"/>
  <c r="R388" i="123"/>
  <c r="Q388" i="123"/>
  <c r="P388" i="123"/>
  <c r="N388" i="123"/>
  <c r="AN387" i="123"/>
  <c r="AM387" i="123"/>
  <c r="AH387" i="123"/>
  <c r="AG387" i="123"/>
  <c r="AD387" i="123"/>
  <c r="W387" i="123"/>
  <c r="U387" i="123"/>
  <c r="S387" i="123"/>
  <c r="R387" i="123"/>
  <c r="Q387" i="123"/>
  <c r="P387" i="123"/>
  <c r="N387" i="123"/>
  <c r="AN386" i="123"/>
  <c r="AM386" i="123"/>
  <c r="AG386" i="123"/>
  <c r="AD386" i="123"/>
  <c r="W386" i="123"/>
  <c r="X386" i="123" s="1"/>
  <c r="Y386" i="123" s="1"/>
  <c r="U386" i="123"/>
  <c r="S386" i="123"/>
  <c r="R386" i="123"/>
  <c r="Q386" i="123"/>
  <c r="P386" i="123"/>
  <c r="N386" i="123"/>
  <c r="AG385" i="123"/>
  <c r="AD385" i="123"/>
  <c r="W385" i="123"/>
  <c r="U385" i="123"/>
  <c r="X385" i="123" s="1"/>
  <c r="Y385" i="123" s="1"/>
  <c r="S385" i="123"/>
  <c r="R385" i="123"/>
  <c r="Q385" i="123"/>
  <c r="P385" i="123"/>
  <c r="N385" i="123"/>
  <c r="AN384" i="123"/>
  <c r="AM384" i="123"/>
  <c r="AG384" i="123"/>
  <c r="AD384" i="123"/>
  <c r="AH384" i="123" s="1"/>
  <c r="W384" i="123"/>
  <c r="U384" i="123"/>
  <c r="S384" i="123"/>
  <c r="R384" i="123"/>
  <c r="Q384" i="123"/>
  <c r="P384" i="123"/>
  <c r="N384" i="123"/>
  <c r="AN383" i="123"/>
  <c r="AM383" i="123"/>
  <c r="AG383" i="123"/>
  <c r="AD383" i="123"/>
  <c r="W383" i="123"/>
  <c r="U383" i="123"/>
  <c r="S383" i="123"/>
  <c r="R383" i="123"/>
  <c r="Q383" i="123"/>
  <c r="P383" i="123"/>
  <c r="N383" i="123"/>
  <c r="AN382" i="123"/>
  <c r="AM382" i="123"/>
  <c r="AG382" i="123"/>
  <c r="AH382" i="123" s="1"/>
  <c r="AD382" i="123"/>
  <c r="W382" i="123"/>
  <c r="U382" i="123"/>
  <c r="S382" i="123"/>
  <c r="R382" i="123"/>
  <c r="Q382" i="123"/>
  <c r="P382" i="123"/>
  <c r="N382" i="123"/>
  <c r="AG381" i="123"/>
  <c r="AD381" i="123"/>
  <c r="W381" i="123"/>
  <c r="U381" i="123"/>
  <c r="X381" i="123" s="1"/>
  <c r="Y381" i="123" s="1"/>
  <c r="S381" i="123"/>
  <c r="R381" i="123"/>
  <c r="Q381" i="123"/>
  <c r="P381" i="123"/>
  <c r="Z381" i="123" s="1"/>
  <c r="N381" i="123"/>
  <c r="AG380" i="123"/>
  <c r="AD380" i="123"/>
  <c r="W380" i="123"/>
  <c r="X380" i="123" s="1"/>
  <c r="U380" i="123"/>
  <c r="S380" i="123"/>
  <c r="R380" i="123"/>
  <c r="Q380" i="123"/>
  <c r="P380" i="123"/>
  <c r="N380" i="123"/>
  <c r="AN379" i="123"/>
  <c r="AM379" i="123"/>
  <c r="AG379" i="123"/>
  <c r="AD379" i="123"/>
  <c r="W379" i="123"/>
  <c r="U379" i="123"/>
  <c r="X379" i="123" s="1"/>
  <c r="Y379" i="123" s="1"/>
  <c r="S379" i="123"/>
  <c r="R379" i="123"/>
  <c r="Q379" i="123"/>
  <c r="P379" i="123"/>
  <c r="N379" i="123"/>
  <c r="AN378" i="123"/>
  <c r="AM378" i="123"/>
  <c r="AH378" i="123"/>
  <c r="AI378" i="123" s="1"/>
  <c r="AJ378" i="123" s="1"/>
  <c r="AG378" i="123"/>
  <c r="AD378" i="123"/>
  <c r="W378" i="123"/>
  <c r="U378" i="123"/>
  <c r="X378" i="123" s="1"/>
  <c r="Y378" i="123" s="1"/>
  <c r="S378" i="123"/>
  <c r="R378" i="123"/>
  <c r="Q378" i="123"/>
  <c r="P378" i="123"/>
  <c r="Z378" i="123" s="1"/>
  <c r="N378" i="123"/>
  <c r="AN377" i="123"/>
  <c r="AM377" i="123"/>
  <c r="AG377" i="123"/>
  <c r="AH377" i="123" s="1"/>
  <c r="AD377" i="123"/>
  <c r="W377" i="123"/>
  <c r="U377" i="123"/>
  <c r="S377" i="123"/>
  <c r="R377" i="123"/>
  <c r="Q377" i="123"/>
  <c r="P377" i="123"/>
  <c r="N377" i="123"/>
  <c r="AN376" i="123"/>
  <c r="AM376" i="123"/>
  <c r="AG376" i="123"/>
  <c r="AH376" i="123" s="1"/>
  <c r="AD376" i="123"/>
  <c r="W376" i="123"/>
  <c r="X376" i="123" s="1"/>
  <c r="U376" i="123"/>
  <c r="S376" i="123"/>
  <c r="R376" i="123"/>
  <c r="Q376" i="123"/>
  <c r="P376" i="123"/>
  <c r="N376" i="123"/>
  <c r="AN375" i="123"/>
  <c r="AM375" i="123"/>
  <c r="AG375" i="123"/>
  <c r="AD375" i="123"/>
  <c r="W375" i="123"/>
  <c r="X375" i="123" s="1"/>
  <c r="Y375" i="123" s="1"/>
  <c r="U375" i="123"/>
  <c r="S375" i="123"/>
  <c r="R375" i="123"/>
  <c r="Q375" i="123"/>
  <c r="P375" i="123"/>
  <c r="N375" i="123"/>
  <c r="AN374" i="123"/>
  <c r="AM374" i="123"/>
  <c r="AG374" i="123"/>
  <c r="AD374" i="123"/>
  <c r="AH374" i="123" s="1"/>
  <c r="AI374" i="123" s="1"/>
  <c r="AJ374" i="123" s="1"/>
  <c r="W374" i="123"/>
  <c r="U374" i="123"/>
  <c r="X374" i="123" s="1"/>
  <c r="Y374" i="123" s="1"/>
  <c r="S374" i="123"/>
  <c r="R374" i="123"/>
  <c r="Q374" i="123"/>
  <c r="P374" i="123"/>
  <c r="N374" i="123"/>
  <c r="AN373" i="123"/>
  <c r="AM373" i="123"/>
  <c r="AG373" i="123"/>
  <c r="AD373" i="123"/>
  <c r="W373" i="123"/>
  <c r="U373" i="123"/>
  <c r="X373" i="123" s="1"/>
  <c r="Y373" i="123" s="1"/>
  <c r="S373" i="123"/>
  <c r="R373" i="123"/>
  <c r="Q373" i="123"/>
  <c r="P373" i="123"/>
  <c r="N373" i="123"/>
  <c r="AN372" i="123"/>
  <c r="AM372" i="123"/>
  <c r="AG372" i="123"/>
  <c r="AD372" i="123"/>
  <c r="W372" i="123"/>
  <c r="U372" i="123"/>
  <c r="S372" i="123"/>
  <c r="R372" i="123"/>
  <c r="Q372" i="123"/>
  <c r="P372" i="123"/>
  <c r="N372" i="123"/>
  <c r="AN371" i="123"/>
  <c r="AM371" i="123"/>
  <c r="AG371" i="123"/>
  <c r="AD371" i="123"/>
  <c r="W371" i="123"/>
  <c r="U371" i="123"/>
  <c r="X371" i="123" s="1"/>
  <c r="Y371" i="123" s="1"/>
  <c r="S371" i="123"/>
  <c r="R371" i="123"/>
  <c r="Q371" i="123"/>
  <c r="P371" i="123"/>
  <c r="Z371" i="123" s="1"/>
  <c r="N371" i="123"/>
  <c r="AN370" i="123"/>
  <c r="AM370" i="123"/>
  <c r="AG370" i="123"/>
  <c r="AD370" i="123"/>
  <c r="AH370" i="123" s="1"/>
  <c r="W370" i="123"/>
  <c r="U370" i="123"/>
  <c r="X370" i="123" s="1"/>
  <c r="Y370" i="123" s="1"/>
  <c r="S370" i="123"/>
  <c r="R370" i="123"/>
  <c r="Q370" i="123"/>
  <c r="P370" i="123"/>
  <c r="N370" i="123"/>
  <c r="AN369" i="123"/>
  <c r="AM369" i="123"/>
  <c r="AG369" i="123"/>
  <c r="AH369" i="123" s="1"/>
  <c r="AD369" i="123"/>
  <c r="W369" i="123"/>
  <c r="U369" i="123"/>
  <c r="S369" i="123"/>
  <c r="R369" i="123"/>
  <c r="Q369" i="123"/>
  <c r="P369" i="123"/>
  <c r="N369" i="123"/>
  <c r="AN368" i="123"/>
  <c r="AM368" i="123"/>
  <c r="AG368" i="123"/>
  <c r="AD368" i="123"/>
  <c r="AH368" i="123" s="1"/>
  <c r="W368" i="123"/>
  <c r="X368" i="123" s="1"/>
  <c r="Y368" i="123" s="1"/>
  <c r="U368" i="123"/>
  <c r="S368" i="123"/>
  <c r="R368" i="123"/>
  <c r="Q368" i="123"/>
  <c r="P368" i="123"/>
  <c r="N368" i="123"/>
  <c r="AN367" i="123"/>
  <c r="AM367" i="123"/>
  <c r="AG367" i="123"/>
  <c r="AD367" i="123"/>
  <c r="W367" i="123"/>
  <c r="U367" i="123"/>
  <c r="X367" i="123" s="1"/>
  <c r="Y367" i="123" s="1"/>
  <c r="S367" i="123"/>
  <c r="R367" i="123"/>
  <c r="Q367" i="123"/>
  <c r="P367" i="123"/>
  <c r="N367" i="123"/>
  <c r="AN366" i="123"/>
  <c r="AM366" i="123"/>
  <c r="AG366" i="123"/>
  <c r="AD366" i="123"/>
  <c r="AH366" i="123" s="1"/>
  <c r="W366" i="123"/>
  <c r="U366" i="123"/>
  <c r="X366" i="123" s="1"/>
  <c r="Y366" i="123" s="1"/>
  <c r="S366" i="123"/>
  <c r="R366" i="123"/>
  <c r="Q366" i="123"/>
  <c r="P366" i="123"/>
  <c r="N366" i="123"/>
  <c r="AN365" i="123"/>
  <c r="AM365" i="123"/>
  <c r="AG365" i="123"/>
  <c r="AD365" i="123"/>
  <c r="X365" i="123"/>
  <c r="Y365" i="123" s="1"/>
  <c r="W365" i="123"/>
  <c r="U365" i="123"/>
  <c r="S365" i="123"/>
  <c r="R365" i="123"/>
  <c r="Q365" i="123"/>
  <c r="P365" i="123"/>
  <c r="Z365" i="123" s="1"/>
  <c r="N365" i="123"/>
  <c r="AN364" i="123"/>
  <c r="AM364" i="123"/>
  <c r="AG364" i="123"/>
  <c r="AD364" i="123"/>
  <c r="W364" i="123"/>
  <c r="U364" i="123"/>
  <c r="X364" i="123" s="1"/>
  <c r="Y364" i="123" s="1"/>
  <c r="S364" i="123"/>
  <c r="R364" i="123"/>
  <c r="Q364" i="123"/>
  <c r="P364" i="123"/>
  <c r="N364" i="123"/>
  <c r="AN363" i="123"/>
  <c r="AM363" i="123"/>
  <c r="AG363" i="123"/>
  <c r="AH363" i="123" s="1"/>
  <c r="AD363" i="123"/>
  <c r="W363" i="123"/>
  <c r="U363" i="123"/>
  <c r="S363" i="123"/>
  <c r="R363" i="123"/>
  <c r="Q363" i="123"/>
  <c r="P363" i="123"/>
  <c r="N363" i="123"/>
  <c r="AN362" i="123"/>
  <c r="AM362" i="123"/>
  <c r="AG362" i="123"/>
  <c r="AD362" i="123"/>
  <c r="AH362" i="123" s="1"/>
  <c r="AI362" i="123" s="1"/>
  <c r="AJ362" i="123" s="1"/>
  <c r="W362" i="123"/>
  <c r="X362" i="123" s="1"/>
  <c r="Y362" i="123" s="1"/>
  <c r="U362" i="123"/>
  <c r="S362" i="123"/>
  <c r="R362" i="123"/>
  <c r="Q362" i="123"/>
  <c r="P362" i="123"/>
  <c r="N362" i="123"/>
  <c r="AG361" i="123"/>
  <c r="AD361" i="123"/>
  <c r="AH361" i="123" s="1"/>
  <c r="W361" i="123"/>
  <c r="U361" i="123"/>
  <c r="X361" i="123" s="1"/>
  <c r="Y361" i="123" s="1"/>
  <c r="S361" i="123"/>
  <c r="R361" i="123"/>
  <c r="Q361" i="123"/>
  <c r="P361" i="123"/>
  <c r="N361" i="123"/>
  <c r="AG360" i="123"/>
  <c r="AD360" i="123"/>
  <c r="AH360" i="123" s="1"/>
  <c r="W360" i="123"/>
  <c r="U360" i="123"/>
  <c r="X360" i="123" s="1"/>
  <c r="Y360" i="123" s="1"/>
  <c r="S360" i="123"/>
  <c r="R360" i="123"/>
  <c r="Q360" i="123"/>
  <c r="P360" i="123"/>
  <c r="N360" i="123"/>
  <c r="AN359" i="123"/>
  <c r="AM359" i="123"/>
  <c r="AI359" i="123"/>
  <c r="AJ359" i="123" s="1"/>
  <c r="AG359" i="123"/>
  <c r="AD359" i="123"/>
  <c r="AH359" i="123" s="1"/>
  <c r="W359" i="123"/>
  <c r="U359" i="123"/>
  <c r="X359" i="123" s="1"/>
  <c r="Y359" i="123" s="1"/>
  <c r="S359" i="123"/>
  <c r="R359" i="123"/>
  <c r="Q359" i="123"/>
  <c r="P359" i="123"/>
  <c r="Z359" i="123" s="1"/>
  <c r="N359" i="123"/>
  <c r="AN358" i="123"/>
  <c r="AM358" i="123"/>
  <c r="AG358" i="123"/>
  <c r="AD358" i="123"/>
  <c r="W358" i="123"/>
  <c r="X358" i="123" s="1"/>
  <c r="U358" i="123"/>
  <c r="S358" i="123"/>
  <c r="R358" i="123"/>
  <c r="Q358" i="123"/>
  <c r="P358" i="123"/>
  <c r="N358" i="123"/>
  <c r="AN357" i="123"/>
  <c r="AM357" i="123"/>
  <c r="AG357" i="123"/>
  <c r="AD357" i="123"/>
  <c r="AH357" i="123" s="1"/>
  <c r="AI357" i="123" s="1"/>
  <c r="AJ357" i="123" s="1"/>
  <c r="W357" i="123"/>
  <c r="U357" i="123"/>
  <c r="X357" i="123" s="1"/>
  <c r="S357" i="123"/>
  <c r="R357" i="123"/>
  <c r="Q357" i="123"/>
  <c r="P357" i="123"/>
  <c r="N357" i="123"/>
  <c r="AN356" i="123"/>
  <c r="AM356" i="123"/>
  <c r="AL356" i="123"/>
  <c r="AL355" i="123" s="1"/>
  <c r="AL354" i="123" s="1"/>
  <c r="AL353" i="123" s="1"/>
  <c r="AL352" i="123" s="1"/>
  <c r="AL351" i="123" s="1"/>
  <c r="AL350" i="123" s="1"/>
  <c r="AL349" i="123" s="1"/>
  <c r="AL348" i="123" s="1"/>
  <c r="AL347" i="123" s="1"/>
  <c r="AL346" i="123" s="1"/>
  <c r="AL345" i="123" s="1"/>
  <c r="AL344" i="123" s="1"/>
  <c r="AL343" i="123" s="1"/>
  <c r="AL342" i="123" s="1"/>
  <c r="AL341" i="123" s="1"/>
  <c r="AL340" i="123" s="1"/>
  <c r="AL339" i="123" s="1"/>
  <c r="AL338" i="123" s="1"/>
  <c r="AL337" i="123" s="1"/>
  <c r="AL336" i="123" s="1"/>
  <c r="AL335" i="123" s="1"/>
  <c r="AL334" i="123" s="1"/>
  <c r="AL333" i="123" s="1"/>
  <c r="AL332" i="123" s="1"/>
  <c r="AL331" i="123" s="1"/>
  <c r="AL330" i="123" s="1"/>
  <c r="AL329" i="123" s="1"/>
  <c r="AL328" i="123" s="1"/>
  <c r="AL327" i="123" s="1"/>
  <c r="AL326" i="123" s="1"/>
  <c r="AL325" i="123" s="1"/>
  <c r="AL324" i="123" s="1"/>
  <c r="AL323" i="123" s="1"/>
  <c r="AL322" i="123" s="1"/>
  <c r="AL321" i="123" s="1"/>
  <c r="AL320" i="123" s="1"/>
  <c r="AL319" i="123" s="1"/>
  <c r="AL318" i="123" s="1"/>
  <c r="AL317" i="123" s="1"/>
  <c r="AL316" i="123" s="1"/>
  <c r="AL315" i="123" s="1"/>
  <c r="AL314" i="123" s="1"/>
  <c r="AL313" i="123" s="1"/>
  <c r="AL312" i="123" s="1"/>
  <c r="AG356" i="123"/>
  <c r="AD356" i="123"/>
  <c r="AC356" i="123"/>
  <c r="W356" i="123"/>
  <c r="U356" i="123"/>
  <c r="S356" i="123"/>
  <c r="R356" i="123"/>
  <c r="Q356" i="123"/>
  <c r="P356" i="123"/>
  <c r="N356" i="123"/>
  <c r="AN355" i="123"/>
  <c r="AM355" i="123"/>
  <c r="AG355" i="123"/>
  <c r="AD355" i="123"/>
  <c r="AC355" i="123"/>
  <c r="W355" i="123"/>
  <c r="U355" i="123"/>
  <c r="S355" i="123"/>
  <c r="R355" i="123"/>
  <c r="Q355" i="123"/>
  <c r="P355" i="123"/>
  <c r="N355" i="123"/>
  <c r="AG354" i="123"/>
  <c r="AD354" i="123"/>
  <c r="AA354" i="123"/>
  <c r="W354" i="123"/>
  <c r="U354" i="123"/>
  <c r="S354" i="123"/>
  <c r="R354" i="123"/>
  <c r="Q354" i="123"/>
  <c r="P354" i="123"/>
  <c r="O354" i="123"/>
  <c r="N354" i="123"/>
  <c r="L354" i="123"/>
  <c r="C354" i="123"/>
  <c r="AN353" i="123"/>
  <c r="AM353" i="123"/>
  <c r="AG353" i="123"/>
  <c r="AD353" i="123"/>
  <c r="AH353" i="123" s="1"/>
  <c r="AC353" i="123"/>
  <c r="W353" i="123"/>
  <c r="U353" i="123"/>
  <c r="S353" i="123"/>
  <c r="R353" i="123"/>
  <c r="Q353" i="123"/>
  <c r="P353" i="123"/>
  <c r="N353" i="123"/>
  <c r="AN352" i="123"/>
  <c r="AM352" i="123"/>
  <c r="AI352" i="123"/>
  <c r="AJ352" i="123" s="1"/>
  <c r="AG352" i="123"/>
  <c r="AD352" i="123"/>
  <c r="AC352" i="123"/>
  <c r="W352" i="123"/>
  <c r="U352" i="123"/>
  <c r="X352" i="123" s="1"/>
  <c r="Y352" i="123" s="1"/>
  <c r="S352" i="123"/>
  <c r="R352" i="123"/>
  <c r="Q352" i="123"/>
  <c r="P352" i="123"/>
  <c r="N352" i="123"/>
  <c r="AN351" i="123"/>
  <c r="AM351" i="123"/>
  <c r="AG351" i="123"/>
  <c r="AD351" i="123"/>
  <c r="AH351" i="123" s="1"/>
  <c r="AC351" i="123"/>
  <c r="W351" i="123"/>
  <c r="X351" i="123" s="1"/>
  <c r="U351" i="123"/>
  <c r="S351" i="123"/>
  <c r="R351" i="123"/>
  <c r="Q351" i="123"/>
  <c r="P351" i="123"/>
  <c r="N351" i="123"/>
  <c r="AN350" i="123"/>
  <c r="AM350" i="123"/>
  <c r="AG350" i="123"/>
  <c r="AD350" i="123"/>
  <c r="AH350" i="123" s="1"/>
  <c r="AC350" i="123"/>
  <c r="W350" i="123"/>
  <c r="U350" i="123"/>
  <c r="X350" i="123" s="1"/>
  <c r="S350" i="123"/>
  <c r="R350" i="123"/>
  <c r="Q350" i="123"/>
  <c r="P350" i="123"/>
  <c r="N350" i="123"/>
  <c r="AN349" i="123"/>
  <c r="AM349" i="123"/>
  <c r="AG349" i="123"/>
  <c r="AH349" i="123" s="1"/>
  <c r="AD349" i="123"/>
  <c r="W349" i="123"/>
  <c r="X349" i="123" s="1"/>
  <c r="Y349" i="123" s="1"/>
  <c r="U349" i="123"/>
  <c r="S349" i="123"/>
  <c r="R349" i="123"/>
  <c r="Q349" i="123"/>
  <c r="P349" i="123"/>
  <c r="N349" i="123"/>
  <c r="AG348" i="123"/>
  <c r="AD348" i="123"/>
  <c r="AH348" i="123" s="1"/>
  <c r="AA348" i="123"/>
  <c r="W348" i="123"/>
  <c r="X348" i="123" s="1"/>
  <c r="Y348" i="123" s="1"/>
  <c r="U348" i="123"/>
  <c r="S348" i="123"/>
  <c r="R348" i="123"/>
  <c r="Q348" i="123"/>
  <c r="P348" i="123"/>
  <c r="O348" i="123"/>
  <c r="N348" i="123"/>
  <c r="L348" i="123"/>
  <c r="C348" i="123"/>
  <c r="AN347" i="123"/>
  <c r="AM347" i="123"/>
  <c r="AG347" i="123"/>
  <c r="AD347" i="123"/>
  <c r="AC347" i="123"/>
  <c r="W347" i="123"/>
  <c r="U347" i="123"/>
  <c r="X347" i="123" s="1"/>
  <c r="Y347" i="123" s="1"/>
  <c r="S347" i="123"/>
  <c r="R347" i="123"/>
  <c r="Q347" i="123"/>
  <c r="P347" i="123"/>
  <c r="N347" i="123"/>
  <c r="AN346" i="123"/>
  <c r="AM346" i="123"/>
  <c r="AH346" i="123"/>
  <c r="AG346" i="123"/>
  <c r="AD346" i="123"/>
  <c r="AC346" i="123"/>
  <c r="W346" i="123"/>
  <c r="U346" i="123"/>
  <c r="S346" i="123"/>
  <c r="R346" i="123"/>
  <c r="Q346" i="123"/>
  <c r="P346" i="123"/>
  <c r="N346" i="123"/>
  <c r="AN345" i="123"/>
  <c r="AM345" i="123"/>
  <c r="AG345" i="123"/>
  <c r="AD345" i="123"/>
  <c r="AC345" i="123"/>
  <c r="W345" i="123"/>
  <c r="U345" i="123"/>
  <c r="S345" i="123"/>
  <c r="R345" i="123"/>
  <c r="Q345" i="123"/>
  <c r="P345" i="123"/>
  <c r="N345" i="123"/>
  <c r="AN344" i="123"/>
  <c r="AM344" i="123"/>
  <c r="AG344" i="123"/>
  <c r="AD344" i="123"/>
  <c r="AH344" i="123" s="1"/>
  <c r="AC344" i="123"/>
  <c r="W344" i="123"/>
  <c r="U344" i="123"/>
  <c r="S344" i="123"/>
  <c r="R344" i="123"/>
  <c r="Q344" i="123"/>
  <c r="P344" i="123"/>
  <c r="N344" i="123"/>
  <c r="AN343" i="123"/>
  <c r="AM343" i="123"/>
  <c r="AG343" i="123"/>
  <c r="AD343" i="123"/>
  <c r="AH343" i="123" s="1"/>
  <c r="AI343" i="123" s="1"/>
  <c r="AJ343" i="123" s="1"/>
  <c r="W343" i="123"/>
  <c r="U343" i="123"/>
  <c r="X343" i="123" s="1"/>
  <c r="S343" i="123"/>
  <c r="R343" i="123"/>
  <c r="Q343" i="123"/>
  <c r="P343" i="123"/>
  <c r="N343" i="123"/>
  <c r="AH342" i="123"/>
  <c r="AG342" i="123"/>
  <c r="AE342" i="123"/>
  <c r="AD342" i="123"/>
  <c r="AA342" i="123"/>
  <c r="W342" i="123"/>
  <c r="U342" i="123"/>
  <c r="S342" i="123"/>
  <c r="R342" i="123"/>
  <c r="Q342" i="123"/>
  <c r="P342" i="123"/>
  <c r="O342" i="123"/>
  <c r="N342" i="123"/>
  <c r="L342" i="123"/>
  <c r="C342" i="123"/>
  <c r="AN341" i="123"/>
  <c r="AM341" i="123"/>
  <c r="AG341" i="123"/>
  <c r="AD341" i="123"/>
  <c r="AH341" i="123" s="1"/>
  <c r="AC341" i="123"/>
  <c r="W341" i="123"/>
  <c r="U341" i="123"/>
  <c r="S341" i="123"/>
  <c r="R341" i="123"/>
  <c r="Q341" i="123"/>
  <c r="P341" i="123"/>
  <c r="N341" i="123"/>
  <c r="AN340" i="123"/>
  <c r="AM340" i="123"/>
  <c r="AG340" i="123"/>
  <c r="AD340" i="123"/>
  <c r="AH340" i="123" s="1"/>
  <c r="AC340" i="123"/>
  <c r="X340" i="123"/>
  <c r="Y340" i="123" s="1"/>
  <c r="W340" i="123"/>
  <c r="U340" i="123"/>
  <c r="S340" i="123"/>
  <c r="R340" i="123"/>
  <c r="Q340" i="123"/>
  <c r="P340" i="123"/>
  <c r="N340" i="123"/>
  <c r="AN339" i="123"/>
  <c r="AM339" i="123"/>
  <c r="AG339" i="123"/>
  <c r="AD339" i="123"/>
  <c r="AC339" i="123"/>
  <c r="W339" i="123"/>
  <c r="U339" i="123"/>
  <c r="S339" i="123"/>
  <c r="R339" i="123"/>
  <c r="Q339" i="123"/>
  <c r="P339" i="123"/>
  <c r="N339" i="123"/>
  <c r="AN338" i="123"/>
  <c r="AM338" i="123"/>
  <c r="AG338" i="123"/>
  <c r="AD338" i="123"/>
  <c r="AC338" i="123"/>
  <c r="W338" i="123"/>
  <c r="U338" i="123"/>
  <c r="X338" i="123" s="1"/>
  <c r="S338" i="123"/>
  <c r="R338" i="123"/>
  <c r="Q338" i="123"/>
  <c r="P338" i="123"/>
  <c r="N338" i="123"/>
  <c r="AN337" i="123"/>
  <c r="AM337" i="123"/>
  <c r="AG337" i="123"/>
  <c r="AH337" i="123" s="1"/>
  <c r="AE337" i="123"/>
  <c r="AD337" i="123"/>
  <c r="W337" i="123"/>
  <c r="U337" i="123"/>
  <c r="S337" i="123"/>
  <c r="R337" i="123"/>
  <c r="Q337" i="123"/>
  <c r="P337" i="123"/>
  <c r="N337" i="123"/>
  <c r="AG336" i="123"/>
  <c r="AD336" i="123"/>
  <c r="AH336" i="123" s="1"/>
  <c r="AI336" i="123" s="1"/>
  <c r="AJ336" i="123" s="1"/>
  <c r="AA336" i="123"/>
  <c r="X336" i="123"/>
  <c r="W336" i="123"/>
  <c r="U336" i="123"/>
  <c r="S336" i="123"/>
  <c r="R336" i="123"/>
  <c r="Q336" i="123"/>
  <c r="P336" i="123"/>
  <c r="O336" i="123"/>
  <c r="N336" i="123"/>
  <c r="L336" i="123"/>
  <c r="C336" i="123"/>
  <c r="AN335" i="123"/>
  <c r="AM335" i="123"/>
  <c r="AG335" i="123"/>
  <c r="AD335" i="123"/>
  <c r="AC335" i="123"/>
  <c r="W335" i="123"/>
  <c r="U335" i="123"/>
  <c r="S335" i="123"/>
  <c r="R335" i="123"/>
  <c r="Q335" i="123"/>
  <c r="P335" i="123"/>
  <c r="N335" i="123"/>
  <c r="AN334" i="123"/>
  <c r="AM334" i="123"/>
  <c r="AG334" i="123"/>
  <c r="AD334" i="123"/>
  <c r="AC334" i="123"/>
  <c r="W334" i="123"/>
  <c r="X334" i="123" s="1"/>
  <c r="U334" i="123"/>
  <c r="S334" i="123"/>
  <c r="R334" i="123"/>
  <c r="Q334" i="123"/>
  <c r="P334" i="123"/>
  <c r="N334" i="123"/>
  <c r="AN333" i="123"/>
  <c r="AM333" i="123"/>
  <c r="AG333" i="123"/>
  <c r="AD333" i="123"/>
  <c r="AH333" i="123" s="1"/>
  <c r="AC333" i="123"/>
  <c r="W333" i="123"/>
  <c r="X333" i="123" s="1"/>
  <c r="U333" i="123"/>
  <c r="S333" i="123"/>
  <c r="R333" i="123"/>
  <c r="Q333" i="123"/>
  <c r="P333" i="123"/>
  <c r="N333" i="123"/>
  <c r="AN332" i="123"/>
  <c r="AM332" i="123"/>
  <c r="AG332" i="123"/>
  <c r="AD332" i="123"/>
  <c r="AC332" i="123"/>
  <c r="W332" i="123"/>
  <c r="U332" i="123"/>
  <c r="S332" i="123"/>
  <c r="R332" i="123"/>
  <c r="Q332" i="123"/>
  <c r="P332" i="123"/>
  <c r="N332" i="123"/>
  <c r="AN331" i="123"/>
  <c r="AM331" i="123"/>
  <c r="AG331" i="123"/>
  <c r="AD331" i="123"/>
  <c r="AH331" i="123" s="1"/>
  <c r="W331" i="123"/>
  <c r="X331" i="123" s="1"/>
  <c r="U331" i="123"/>
  <c r="S331" i="123"/>
  <c r="R331" i="123"/>
  <c r="Q331" i="123"/>
  <c r="P331" i="123"/>
  <c r="N331" i="123"/>
  <c r="AG330" i="123"/>
  <c r="AD330" i="123"/>
  <c r="AA330" i="123"/>
  <c r="X330" i="123"/>
  <c r="W330" i="123"/>
  <c r="U330" i="123"/>
  <c r="S330" i="123"/>
  <c r="R330" i="123"/>
  <c r="Q330" i="123"/>
  <c r="P330" i="123"/>
  <c r="O330" i="123"/>
  <c r="N330" i="123"/>
  <c r="L330" i="123"/>
  <c r="C330" i="123"/>
  <c r="AN329" i="123"/>
  <c r="AM329" i="123"/>
  <c r="AG329" i="123"/>
  <c r="AD329" i="123"/>
  <c r="AH329" i="123" s="1"/>
  <c r="AC329" i="123"/>
  <c r="W329" i="123"/>
  <c r="X329" i="123" s="1"/>
  <c r="U329" i="123"/>
  <c r="S329" i="123"/>
  <c r="R329" i="123"/>
  <c r="Q329" i="123"/>
  <c r="P329" i="123"/>
  <c r="N329" i="123"/>
  <c r="AN328" i="123"/>
  <c r="AM328" i="123"/>
  <c r="AG328" i="123"/>
  <c r="AD328" i="123"/>
  <c r="AC328" i="123"/>
  <c r="W328" i="123"/>
  <c r="U328" i="123"/>
  <c r="S328" i="123"/>
  <c r="R328" i="123"/>
  <c r="Q328" i="123"/>
  <c r="P328" i="123"/>
  <c r="N328" i="123"/>
  <c r="AN327" i="123"/>
  <c r="AM327" i="123"/>
  <c r="AG327" i="123"/>
  <c r="AD327" i="123"/>
  <c r="AC327" i="123"/>
  <c r="W327" i="123"/>
  <c r="X327" i="123" s="1"/>
  <c r="U327" i="123"/>
  <c r="S327" i="123"/>
  <c r="R327" i="123"/>
  <c r="Q327" i="123"/>
  <c r="P327" i="123"/>
  <c r="N327" i="123"/>
  <c r="AN326" i="123"/>
  <c r="AM326" i="123"/>
  <c r="AG326" i="123"/>
  <c r="AD326" i="123"/>
  <c r="AC326" i="123"/>
  <c r="W326" i="123"/>
  <c r="U326" i="123"/>
  <c r="S326" i="123"/>
  <c r="R326" i="123"/>
  <c r="Q326" i="123"/>
  <c r="P326" i="123"/>
  <c r="N326" i="123"/>
  <c r="AN325" i="123"/>
  <c r="AM325" i="123"/>
  <c r="AG325" i="123"/>
  <c r="AD325" i="123"/>
  <c r="W325" i="123"/>
  <c r="U325" i="123"/>
  <c r="S325" i="123"/>
  <c r="R325" i="123"/>
  <c r="Q325" i="123"/>
  <c r="P325" i="123"/>
  <c r="N325" i="123"/>
  <c r="AG324" i="123"/>
  <c r="AD324" i="123"/>
  <c r="AA324" i="123"/>
  <c r="W324" i="123"/>
  <c r="U324" i="123"/>
  <c r="S324" i="123"/>
  <c r="R324" i="123"/>
  <c r="Q324" i="123"/>
  <c r="P324" i="123"/>
  <c r="O324" i="123"/>
  <c r="N324" i="123"/>
  <c r="L324" i="123"/>
  <c r="C324" i="123"/>
  <c r="AN323" i="123"/>
  <c r="AM323" i="123"/>
  <c r="AG323" i="123"/>
  <c r="AH323" i="123" s="1"/>
  <c r="AD323" i="123"/>
  <c r="AC323" i="123"/>
  <c r="W323" i="123"/>
  <c r="U323" i="123"/>
  <c r="S323" i="123"/>
  <c r="R323" i="123"/>
  <c r="Q323" i="123"/>
  <c r="P323" i="123"/>
  <c r="N323" i="123"/>
  <c r="AN322" i="123"/>
  <c r="AM322" i="123"/>
  <c r="AG322" i="123"/>
  <c r="AD322" i="123"/>
  <c r="AC322" i="123"/>
  <c r="W322" i="123"/>
  <c r="U322" i="123"/>
  <c r="S322" i="123"/>
  <c r="R322" i="123"/>
  <c r="Q322" i="123"/>
  <c r="P322" i="123"/>
  <c r="N322" i="123"/>
  <c r="AN321" i="123"/>
  <c r="AM321" i="123"/>
  <c r="AG321" i="123"/>
  <c r="AD321" i="123"/>
  <c r="AC321" i="123"/>
  <c r="W321" i="123"/>
  <c r="U321" i="123"/>
  <c r="S321" i="123"/>
  <c r="R321" i="123"/>
  <c r="Q321" i="123"/>
  <c r="P321" i="123"/>
  <c r="N321" i="123"/>
  <c r="AN320" i="123"/>
  <c r="AM320" i="123"/>
  <c r="AG320" i="123"/>
  <c r="AD320" i="123"/>
  <c r="AC320" i="123"/>
  <c r="W320" i="123"/>
  <c r="X320" i="123" s="1"/>
  <c r="U320" i="123"/>
  <c r="S320" i="123"/>
  <c r="R320" i="123"/>
  <c r="Q320" i="123"/>
  <c r="P320" i="123"/>
  <c r="N320" i="123"/>
  <c r="AN319" i="123"/>
  <c r="AM319" i="123"/>
  <c r="AG319" i="123"/>
  <c r="AD319" i="123"/>
  <c r="AH319" i="123" s="1"/>
  <c r="W319" i="123"/>
  <c r="U319" i="123"/>
  <c r="S319" i="123"/>
  <c r="R319" i="123"/>
  <c r="Q319" i="123"/>
  <c r="P319" i="123"/>
  <c r="N319" i="123"/>
  <c r="AG318" i="123"/>
  <c r="AE318" i="123"/>
  <c r="AD318" i="123"/>
  <c r="AA318" i="123"/>
  <c r="W318" i="123"/>
  <c r="X318" i="123" s="1"/>
  <c r="Y318" i="123" s="1"/>
  <c r="U318" i="123"/>
  <c r="S318" i="123"/>
  <c r="R318" i="123"/>
  <c r="Q318" i="123"/>
  <c r="P318" i="123"/>
  <c r="O318" i="123"/>
  <c r="N318" i="123"/>
  <c r="L318" i="123"/>
  <c r="C318" i="123"/>
  <c r="AN317" i="123"/>
  <c r="AM317" i="123"/>
  <c r="AG317" i="123"/>
  <c r="AD317" i="123"/>
  <c r="AC317" i="123"/>
  <c r="W317" i="123"/>
  <c r="U317" i="123"/>
  <c r="S317" i="123"/>
  <c r="R317" i="123"/>
  <c r="Q317" i="123"/>
  <c r="P317" i="123"/>
  <c r="N317" i="123"/>
  <c r="AN316" i="123"/>
  <c r="AM316" i="123"/>
  <c r="AG316" i="123"/>
  <c r="AD316" i="123"/>
  <c r="AC316" i="123"/>
  <c r="W316" i="123"/>
  <c r="U316" i="123"/>
  <c r="S316" i="123"/>
  <c r="R316" i="123"/>
  <c r="Q316" i="123"/>
  <c r="P316" i="123"/>
  <c r="N316" i="123"/>
  <c r="AN315" i="123"/>
  <c r="AM315" i="123"/>
  <c r="AG315" i="123"/>
  <c r="AD315" i="123"/>
  <c r="AC315" i="123"/>
  <c r="W315" i="123"/>
  <c r="U315" i="123"/>
  <c r="X315" i="123" s="1"/>
  <c r="S315" i="123"/>
  <c r="R315" i="123"/>
  <c r="Q315" i="123"/>
  <c r="P315" i="123"/>
  <c r="N315" i="123"/>
  <c r="AN314" i="123"/>
  <c r="AM314" i="123"/>
  <c r="AG314" i="123"/>
  <c r="AD314" i="123"/>
  <c r="AC314" i="123"/>
  <c r="W314" i="123"/>
  <c r="U314" i="123"/>
  <c r="S314" i="123"/>
  <c r="R314" i="123"/>
  <c r="Q314" i="123"/>
  <c r="P314" i="123"/>
  <c r="N314" i="123"/>
  <c r="AN313" i="123"/>
  <c r="AM313" i="123"/>
  <c r="AG313" i="123"/>
  <c r="AD313" i="123"/>
  <c r="W313" i="123"/>
  <c r="U313" i="123"/>
  <c r="S313" i="123"/>
  <c r="R313" i="123"/>
  <c r="Q313" i="123"/>
  <c r="P313" i="123"/>
  <c r="N313" i="123"/>
  <c r="AG312" i="123"/>
  <c r="AD312" i="123"/>
  <c r="AA312" i="123"/>
  <c r="X312" i="123"/>
  <c r="W312" i="123"/>
  <c r="U312" i="123"/>
  <c r="S312" i="123"/>
  <c r="R312" i="123"/>
  <c r="Q312" i="123"/>
  <c r="P312" i="123"/>
  <c r="O312" i="123"/>
  <c r="N312" i="123"/>
  <c r="L312" i="123"/>
  <c r="C312" i="123"/>
  <c r="AG311" i="123"/>
  <c r="AD311" i="123"/>
  <c r="W311" i="123"/>
  <c r="U311" i="123"/>
  <c r="S311" i="123"/>
  <c r="R311" i="123"/>
  <c r="Q311" i="123"/>
  <c r="P311" i="123"/>
  <c r="N311" i="123"/>
  <c r="AG310" i="123"/>
  <c r="AD310" i="123"/>
  <c r="W310" i="123"/>
  <c r="U310" i="123"/>
  <c r="S310" i="123"/>
  <c r="R310" i="123"/>
  <c r="Q310" i="123"/>
  <c r="P310" i="123"/>
  <c r="N310" i="123"/>
  <c r="AG309" i="123"/>
  <c r="AD309" i="123"/>
  <c r="W309" i="123"/>
  <c r="U309" i="123"/>
  <c r="X309" i="123" s="1"/>
  <c r="Y309" i="123" s="1"/>
  <c r="S309" i="123"/>
  <c r="R309" i="123"/>
  <c r="Q309" i="123"/>
  <c r="P309" i="123"/>
  <c r="N309" i="123"/>
  <c r="AG308" i="123"/>
  <c r="AH308" i="123" s="1"/>
  <c r="AD308" i="123"/>
  <c r="W308" i="123"/>
  <c r="U308" i="123"/>
  <c r="S308" i="123"/>
  <c r="R308" i="123"/>
  <c r="Q308" i="123"/>
  <c r="P308" i="123"/>
  <c r="N308" i="123"/>
  <c r="AL307" i="123"/>
  <c r="AG307" i="123"/>
  <c r="AH307" i="123" s="1"/>
  <c r="AD307" i="123"/>
  <c r="AB307" i="123"/>
  <c r="AA307" i="123"/>
  <c r="W307" i="123"/>
  <c r="U307" i="123"/>
  <c r="S307" i="123"/>
  <c r="R307" i="123"/>
  <c r="Q307" i="123"/>
  <c r="P307" i="123"/>
  <c r="O307" i="123"/>
  <c r="N307" i="123"/>
  <c r="L307" i="123"/>
  <c r="C307" i="123"/>
  <c r="AG306" i="123"/>
  <c r="AD306" i="123"/>
  <c r="W306" i="123"/>
  <c r="U306" i="123"/>
  <c r="S306" i="123"/>
  <c r="R306" i="123"/>
  <c r="Q306" i="123"/>
  <c r="P306" i="123"/>
  <c r="N306" i="123"/>
  <c r="AG305" i="123"/>
  <c r="AD305" i="123"/>
  <c r="W305" i="123"/>
  <c r="U305" i="123"/>
  <c r="S305" i="123"/>
  <c r="R305" i="123"/>
  <c r="Q305" i="123"/>
  <c r="P305" i="123"/>
  <c r="N305" i="123"/>
  <c r="AG304" i="123"/>
  <c r="AD304" i="123"/>
  <c r="W304" i="123"/>
  <c r="U304" i="123"/>
  <c r="S304" i="123"/>
  <c r="R304" i="123"/>
  <c r="Q304" i="123"/>
  <c r="P304" i="123"/>
  <c r="N304" i="123"/>
  <c r="AG303" i="123"/>
  <c r="AD303" i="123"/>
  <c r="AE301" i="123" s="1"/>
  <c r="W303" i="123"/>
  <c r="U303" i="123"/>
  <c r="X303" i="123" s="1"/>
  <c r="S303" i="123"/>
  <c r="R303" i="123"/>
  <c r="Q303" i="123"/>
  <c r="P303" i="123"/>
  <c r="N303" i="123"/>
  <c r="AG302" i="123"/>
  <c r="AD302" i="123"/>
  <c r="W302" i="123"/>
  <c r="U302" i="123"/>
  <c r="S302" i="123"/>
  <c r="R302" i="123"/>
  <c r="Q302" i="123"/>
  <c r="P302" i="123"/>
  <c r="N302" i="123"/>
  <c r="AG301" i="123"/>
  <c r="AD301" i="123"/>
  <c r="AH301" i="123" s="1"/>
  <c r="W301" i="123"/>
  <c r="U301" i="123"/>
  <c r="S301" i="123"/>
  <c r="R301" i="123"/>
  <c r="Q301" i="123"/>
  <c r="P301" i="123"/>
  <c r="N301" i="123"/>
  <c r="AG300" i="123"/>
  <c r="AD300" i="123"/>
  <c r="W300" i="123"/>
  <c r="U300" i="123"/>
  <c r="S300" i="123"/>
  <c r="R300" i="123"/>
  <c r="Q300" i="123"/>
  <c r="P300" i="123"/>
  <c r="N300" i="123"/>
  <c r="AN299" i="123"/>
  <c r="AM299" i="123"/>
  <c r="AL299" i="123"/>
  <c r="AL298" i="123" s="1"/>
  <c r="AL297" i="123" s="1"/>
  <c r="AL296" i="123" s="1"/>
  <c r="AG299" i="123"/>
  <c r="AD299" i="123"/>
  <c r="AB299" i="123"/>
  <c r="W299" i="123"/>
  <c r="U299" i="123"/>
  <c r="S299" i="123"/>
  <c r="R299" i="123"/>
  <c r="Q299" i="123"/>
  <c r="P299" i="123"/>
  <c r="N299" i="123"/>
  <c r="AN298" i="123"/>
  <c r="AM298" i="123"/>
  <c r="AG298" i="123"/>
  <c r="AD298" i="123"/>
  <c r="W298" i="123"/>
  <c r="U298" i="123"/>
  <c r="S298" i="123"/>
  <c r="R298" i="123"/>
  <c r="Q298" i="123"/>
  <c r="P298" i="123"/>
  <c r="N298" i="123"/>
  <c r="AN297" i="123"/>
  <c r="AM297" i="123"/>
  <c r="AG297" i="123"/>
  <c r="AD297" i="123"/>
  <c r="AH297" i="123" s="1"/>
  <c r="X297" i="123"/>
  <c r="W297" i="123"/>
  <c r="U297" i="123"/>
  <c r="S297" i="123"/>
  <c r="R297" i="123"/>
  <c r="Q297" i="123"/>
  <c r="P297" i="123"/>
  <c r="N297" i="123"/>
  <c r="AN296" i="123"/>
  <c r="AM296" i="123"/>
  <c r="AG296" i="123"/>
  <c r="AD296" i="123"/>
  <c r="W296" i="123"/>
  <c r="U296" i="123"/>
  <c r="S296" i="123"/>
  <c r="R296" i="123"/>
  <c r="Q296" i="123"/>
  <c r="P296" i="123"/>
  <c r="N296" i="123"/>
  <c r="AL295" i="123"/>
  <c r="AL293" i="123" s="1"/>
  <c r="AG295" i="123"/>
  <c r="AD295" i="123"/>
  <c r="AE295" i="123" s="1"/>
  <c r="AA295" i="123"/>
  <c r="W295" i="123"/>
  <c r="U295" i="123"/>
  <c r="S295" i="123"/>
  <c r="R295" i="123"/>
  <c r="Q295" i="123"/>
  <c r="P295" i="123"/>
  <c r="N295" i="123"/>
  <c r="AN294" i="123"/>
  <c r="AM294" i="123"/>
  <c r="AG294" i="123"/>
  <c r="AD294" i="123"/>
  <c r="W294" i="123"/>
  <c r="U294" i="123"/>
  <c r="S294" i="123"/>
  <c r="R294" i="123"/>
  <c r="Q294" i="123"/>
  <c r="P294" i="123"/>
  <c r="N294" i="123"/>
  <c r="AN293" i="123"/>
  <c r="AM293" i="123"/>
  <c r="AG293" i="123"/>
  <c r="AD293" i="123"/>
  <c r="W293" i="123"/>
  <c r="U293" i="123"/>
  <c r="S293" i="123"/>
  <c r="R293" i="123"/>
  <c r="Q293" i="123"/>
  <c r="P293" i="123"/>
  <c r="N293" i="123"/>
  <c r="AN292" i="123"/>
  <c r="AM292" i="123"/>
  <c r="AL292" i="123"/>
  <c r="AL291" i="123" s="1"/>
  <c r="AL290" i="123" s="1"/>
  <c r="AL289" i="123" s="1"/>
  <c r="AL288" i="123" s="1"/>
  <c r="AL287" i="123" s="1"/>
  <c r="AL286" i="123" s="1"/>
  <c r="AL285" i="123" s="1"/>
  <c r="AL284" i="123" s="1"/>
  <c r="AL283" i="123" s="1"/>
  <c r="AL282" i="123" s="1"/>
  <c r="AL281" i="123" s="1"/>
  <c r="AL280" i="123" s="1"/>
  <c r="AL279" i="123" s="1"/>
  <c r="AL278" i="123" s="1"/>
  <c r="AL277" i="123" s="1"/>
  <c r="AL276" i="123" s="1"/>
  <c r="AL275" i="123" s="1"/>
  <c r="AL274" i="123" s="1"/>
  <c r="AL273" i="123" s="1"/>
  <c r="AL272" i="123" s="1"/>
  <c r="AL271" i="123" s="1"/>
  <c r="AL270" i="123" s="1"/>
  <c r="AG292" i="123"/>
  <c r="AD292" i="123"/>
  <c r="W292" i="123"/>
  <c r="U292" i="123"/>
  <c r="X292" i="123" s="1"/>
  <c r="S292" i="123"/>
  <c r="R292" i="123"/>
  <c r="Q292" i="123"/>
  <c r="P292" i="123"/>
  <c r="N292" i="123"/>
  <c r="AN291" i="123"/>
  <c r="AM291" i="123"/>
  <c r="AG291" i="123"/>
  <c r="AD291" i="123"/>
  <c r="W291" i="123"/>
  <c r="X291" i="123" s="1"/>
  <c r="Y291" i="123" s="1"/>
  <c r="U291" i="123"/>
  <c r="S291" i="123"/>
  <c r="R291" i="123"/>
  <c r="Q291" i="123"/>
  <c r="P291" i="123"/>
  <c r="N291" i="123"/>
  <c r="AN290" i="123"/>
  <c r="AM290" i="123"/>
  <c r="AG290" i="123"/>
  <c r="AD290" i="123"/>
  <c r="AH290" i="123" s="1"/>
  <c r="W290" i="123"/>
  <c r="U290" i="123"/>
  <c r="S290" i="123"/>
  <c r="R290" i="123"/>
  <c r="Q290" i="123"/>
  <c r="P290" i="123"/>
  <c r="N290" i="123"/>
  <c r="AN289" i="123"/>
  <c r="AM289" i="123"/>
  <c r="AG289" i="123"/>
  <c r="AD289" i="123"/>
  <c r="W289" i="123"/>
  <c r="U289" i="123"/>
  <c r="S289" i="123"/>
  <c r="R289" i="123"/>
  <c r="Q289" i="123"/>
  <c r="P289" i="123"/>
  <c r="N289" i="123"/>
  <c r="AG288" i="123"/>
  <c r="AD288" i="123"/>
  <c r="AA288" i="123"/>
  <c r="W288" i="123"/>
  <c r="U288" i="123"/>
  <c r="S288" i="123"/>
  <c r="R288" i="123"/>
  <c r="Q288" i="123"/>
  <c r="P288" i="123"/>
  <c r="O288" i="123"/>
  <c r="N288" i="123"/>
  <c r="L288" i="123"/>
  <c r="C288" i="123"/>
  <c r="AN287" i="123"/>
  <c r="AM287" i="123"/>
  <c r="AG287" i="123"/>
  <c r="AD287" i="123"/>
  <c r="W287" i="123"/>
  <c r="U287" i="123"/>
  <c r="S287" i="123"/>
  <c r="R287" i="123"/>
  <c r="Q287" i="123"/>
  <c r="P287" i="123"/>
  <c r="N287" i="123"/>
  <c r="AN286" i="123"/>
  <c r="AM286" i="123"/>
  <c r="AG286" i="123"/>
  <c r="AD286" i="123"/>
  <c r="AH286" i="123" s="1"/>
  <c r="W286" i="123"/>
  <c r="U286" i="123"/>
  <c r="S286" i="123"/>
  <c r="R286" i="123"/>
  <c r="Q286" i="123"/>
  <c r="P286" i="123"/>
  <c r="N286" i="123"/>
  <c r="AN285" i="123"/>
  <c r="AM285" i="123"/>
  <c r="AG285" i="123"/>
  <c r="AD285" i="123"/>
  <c r="W285" i="123"/>
  <c r="U285" i="123"/>
  <c r="S285" i="123"/>
  <c r="R285" i="123"/>
  <c r="Q285" i="123"/>
  <c r="P285" i="123"/>
  <c r="N285" i="123"/>
  <c r="AN284" i="123"/>
  <c r="AM284" i="123"/>
  <c r="AG284" i="123"/>
  <c r="AD284" i="123"/>
  <c r="W284" i="123"/>
  <c r="U284" i="123"/>
  <c r="S284" i="123"/>
  <c r="R284" i="123"/>
  <c r="Q284" i="123"/>
  <c r="P284" i="123"/>
  <c r="N284" i="123"/>
  <c r="AN283" i="123"/>
  <c r="AM283" i="123"/>
  <c r="AG283" i="123"/>
  <c r="AD283" i="123"/>
  <c r="AH283" i="123" s="1"/>
  <c r="W283" i="123"/>
  <c r="U283" i="123"/>
  <c r="S283" i="123"/>
  <c r="R283" i="123"/>
  <c r="Q283" i="123"/>
  <c r="P283" i="123"/>
  <c r="N283" i="123"/>
  <c r="AG282" i="123"/>
  <c r="AD282" i="123"/>
  <c r="AA282" i="123"/>
  <c r="X282" i="123"/>
  <c r="W282" i="123"/>
  <c r="U282" i="123"/>
  <c r="S282" i="123"/>
  <c r="R282" i="123"/>
  <c r="Q282" i="123"/>
  <c r="P282" i="123"/>
  <c r="O282" i="123"/>
  <c r="N282" i="123"/>
  <c r="L282" i="123"/>
  <c r="C282" i="123"/>
  <c r="AN281" i="123"/>
  <c r="AM281" i="123"/>
  <c r="AG281" i="123"/>
  <c r="AD281" i="123"/>
  <c r="W281" i="123"/>
  <c r="X281" i="123" s="1"/>
  <c r="Y281" i="123" s="1"/>
  <c r="U281" i="123"/>
  <c r="S281" i="123"/>
  <c r="R281" i="123"/>
  <c r="Q281" i="123"/>
  <c r="P281" i="123"/>
  <c r="N281" i="123"/>
  <c r="AN280" i="123"/>
  <c r="AM280" i="123"/>
  <c r="AG280" i="123"/>
  <c r="AD280" i="123"/>
  <c r="AH280" i="123" s="1"/>
  <c r="W280" i="123"/>
  <c r="U280" i="123"/>
  <c r="X280" i="123" s="1"/>
  <c r="S280" i="123"/>
  <c r="R280" i="123"/>
  <c r="Q280" i="123"/>
  <c r="P280" i="123"/>
  <c r="N280" i="123"/>
  <c r="AN279" i="123"/>
  <c r="AM279" i="123"/>
  <c r="AG279" i="123"/>
  <c r="AD279" i="123"/>
  <c r="W279" i="123"/>
  <c r="U279" i="123"/>
  <c r="X279" i="123" s="1"/>
  <c r="S279" i="123"/>
  <c r="R279" i="123"/>
  <c r="Q279" i="123"/>
  <c r="P279" i="123"/>
  <c r="N279" i="123"/>
  <c r="AN278" i="123"/>
  <c r="AM278" i="123"/>
  <c r="AG278" i="123"/>
  <c r="AD278" i="123"/>
  <c r="W278" i="123"/>
  <c r="U278" i="123"/>
  <c r="S278" i="123"/>
  <c r="R278" i="123"/>
  <c r="Q278" i="123"/>
  <c r="P278" i="123"/>
  <c r="N278" i="123"/>
  <c r="AN277" i="123"/>
  <c r="AM277" i="123"/>
  <c r="AG277" i="123"/>
  <c r="AH277" i="123" s="1"/>
  <c r="AD277" i="123"/>
  <c r="W277" i="123"/>
  <c r="X277" i="123" s="1"/>
  <c r="U277" i="123"/>
  <c r="S277" i="123"/>
  <c r="R277" i="123"/>
  <c r="Q277" i="123"/>
  <c r="P277" i="123"/>
  <c r="N277" i="123"/>
  <c r="AG276" i="123"/>
  <c r="AD276" i="123"/>
  <c r="AA276" i="123"/>
  <c r="W276" i="123"/>
  <c r="U276" i="123"/>
  <c r="S276" i="123"/>
  <c r="R276" i="123"/>
  <c r="Q276" i="123"/>
  <c r="P276" i="123"/>
  <c r="O276" i="123"/>
  <c r="N276" i="123"/>
  <c r="L276" i="123"/>
  <c r="C276" i="123"/>
  <c r="AN275" i="123"/>
  <c r="AM275" i="123"/>
  <c r="AG275" i="123"/>
  <c r="AD275" i="123"/>
  <c r="W275" i="123"/>
  <c r="U275" i="123"/>
  <c r="S275" i="123"/>
  <c r="R275" i="123"/>
  <c r="Q275" i="123"/>
  <c r="P275" i="123"/>
  <c r="N275" i="123"/>
  <c r="AN274" i="123"/>
  <c r="AM274" i="123"/>
  <c r="AG274" i="123"/>
  <c r="AD274" i="123"/>
  <c r="W274" i="123"/>
  <c r="U274" i="123"/>
  <c r="S274" i="123"/>
  <c r="R274" i="123"/>
  <c r="Q274" i="123"/>
  <c r="P274" i="123"/>
  <c r="N274" i="123"/>
  <c r="AN273" i="123"/>
  <c r="AM273" i="123"/>
  <c r="AG273" i="123"/>
  <c r="AD273" i="123"/>
  <c r="W273" i="123"/>
  <c r="U273" i="123"/>
  <c r="S273" i="123"/>
  <c r="R273" i="123"/>
  <c r="Q273" i="123"/>
  <c r="P273" i="123"/>
  <c r="N273" i="123"/>
  <c r="AN272" i="123"/>
  <c r="AM272" i="123"/>
  <c r="AG272" i="123"/>
  <c r="AD272" i="123"/>
  <c r="W272" i="123"/>
  <c r="U272" i="123"/>
  <c r="X272" i="123" s="1"/>
  <c r="S272" i="123"/>
  <c r="R272" i="123"/>
  <c r="Q272" i="123"/>
  <c r="P272" i="123"/>
  <c r="N272" i="123"/>
  <c r="AN271" i="123"/>
  <c r="AM271" i="123"/>
  <c r="AG271" i="123"/>
  <c r="AD271" i="123"/>
  <c r="AE271" i="123" s="1"/>
  <c r="W271" i="123"/>
  <c r="U271" i="123"/>
  <c r="X271" i="123" s="1"/>
  <c r="S271" i="123"/>
  <c r="R271" i="123"/>
  <c r="Q271" i="123"/>
  <c r="P271" i="123"/>
  <c r="N271" i="123"/>
  <c r="AG270" i="123"/>
  <c r="AD270" i="123"/>
  <c r="AA270" i="123"/>
  <c r="W270" i="123"/>
  <c r="U270" i="123"/>
  <c r="X270" i="123" s="1"/>
  <c r="S270" i="123"/>
  <c r="R270" i="123"/>
  <c r="Q270" i="123"/>
  <c r="P270" i="123"/>
  <c r="O270" i="123"/>
  <c r="N270" i="123"/>
  <c r="L270" i="123"/>
  <c r="C270" i="123"/>
  <c r="AG269" i="123"/>
  <c r="AD269" i="123"/>
  <c r="W269" i="123"/>
  <c r="U269" i="123"/>
  <c r="S269" i="123"/>
  <c r="R269" i="123"/>
  <c r="Q269" i="123"/>
  <c r="P269" i="123"/>
  <c r="N269" i="123"/>
  <c r="AG268" i="123"/>
  <c r="AD268" i="123"/>
  <c r="W268" i="123"/>
  <c r="U268" i="123"/>
  <c r="S268" i="123"/>
  <c r="R268" i="123"/>
  <c r="Q268" i="123"/>
  <c r="P268" i="123"/>
  <c r="N268" i="123"/>
  <c r="AG267" i="123"/>
  <c r="AD267" i="123"/>
  <c r="W267" i="123"/>
  <c r="U267" i="123"/>
  <c r="S267" i="123"/>
  <c r="R267" i="123"/>
  <c r="Q267" i="123"/>
  <c r="P267" i="123"/>
  <c r="N267" i="123"/>
  <c r="AG266" i="123"/>
  <c r="AD266" i="123"/>
  <c r="W266" i="123"/>
  <c r="U266" i="123"/>
  <c r="S266" i="123"/>
  <c r="R266" i="123"/>
  <c r="Q266" i="123"/>
  <c r="P266" i="123"/>
  <c r="N266" i="123"/>
  <c r="AL265" i="123"/>
  <c r="AL263" i="123" s="1"/>
  <c r="AL262" i="123" s="1"/>
  <c r="AL261" i="123" s="1"/>
  <c r="AL260" i="123" s="1"/>
  <c r="AG265" i="123"/>
  <c r="AD265" i="123"/>
  <c r="AH265" i="123" s="1"/>
  <c r="AA265" i="123"/>
  <c r="W265" i="123"/>
  <c r="U265" i="123"/>
  <c r="S265" i="123"/>
  <c r="R265" i="123"/>
  <c r="Q265" i="123"/>
  <c r="P265" i="123"/>
  <c r="O265" i="123"/>
  <c r="N265" i="123"/>
  <c r="L265" i="123"/>
  <c r="AG264" i="123"/>
  <c r="AD264" i="123"/>
  <c r="W264" i="123"/>
  <c r="U264" i="123"/>
  <c r="S264" i="123"/>
  <c r="R264" i="123"/>
  <c r="Q264" i="123"/>
  <c r="P264" i="123"/>
  <c r="N264" i="123"/>
  <c r="AN263" i="123"/>
  <c r="AM263" i="123"/>
  <c r="AG263" i="123"/>
  <c r="AD263" i="123"/>
  <c r="W263" i="123"/>
  <c r="X263" i="123" s="1"/>
  <c r="Y263" i="123" s="1"/>
  <c r="U263" i="123"/>
  <c r="S263" i="123"/>
  <c r="R263" i="123"/>
  <c r="Q263" i="123"/>
  <c r="P263" i="123"/>
  <c r="N263" i="123"/>
  <c r="AN262" i="123"/>
  <c r="AM262" i="123"/>
  <c r="AG262" i="123"/>
  <c r="AD262" i="123"/>
  <c r="W262" i="123"/>
  <c r="U262" i="123"/>
  <c r="S262" i="123"/>
  <c r="R262" i="123"/>
  <c r="Q262" i="123"/>
  <c r="P262" i="123"/>
  <c r="N262" i="123"/>
  <c r="AN261" i="123"/>
  <c r="AM261" i="123"/>
  <c r="AG261" i="123"/>
  <c r="AD261" i="123"/>
  <c r="W261" i="123"/>
  <c r="U261" i="123"/>
  <c r="S261" i="123"/>
  <c r="R261" i="123"/>
  <c r="Q261" i="123"/>
  <c r="P261" i="123"/>
  <c r="N261" i="123"/>
  <c r="AN260" i="123"/>
  <c r="AM260" i="123"/>
  <c r="AG260" i="123"/>
  <c r="AD260" i="123"/>
  <c r="W260" i="123"/>
  <c r="U260" i="123"/>
  <c r="X260" i="123" s="1"/>
  <c r="Y260" i="123" s="1"/>
  <c r="S260" i="123"/>
  <c r="R260" i="123"/>
  <c r="Q260" i="123"/>
  <c r="P260" i="123"/>
  <c r="N260" i="123"/>
  <c r="AL259" i="123"/>
  <c r="AL258" i="123" s="1"/>
  <c r="AL257" i="123" s="1"/>
  <c r="AL256" i="123" s="1"/>
  <c r="AL255" i="123" s="1"/>
  <c r="AL254" i="123" s="1"/>
  <c r="AL253" i="123" s="1"/>
  <c r="AL252" i="123" s="1"/>
  <c r="AL251" i="123" s="1"/>
  <c r="AL250" i="123" s="1"/>
  <c r="AL249" i="123" s="1"/>
  <c r="AL248" i="123" s="1"/>
  <c r="AL247" i="123" s="1"/>
  <c r="AL246" i="123" s="1"/>
  <c r="AL245" i="123" s="1"/>
  <c r="AL244" i="123" s="1"/>
  <c r="AL243" i="123" s="1"/>
  <c r="AL242" i="123" s="1"/>
  <c r="AL241" i="123" s="1"/>
  <c r="AL240" i="123" s="1"/>
  <c r="AL239" i="123" s="1"/>
  <c r="AL238" i="123" s="1"/>
  <c r="AL237" i="123" s="1"/>
  <c r="AL236" i="123" s="1"/>
  <c r="AL235" i="123" s="1"/>
  <c r="AG259" i="123"/>
  <c r="AE259" i="123"/>
  <c r="AD259" i="123"/>
  <c r="AA259" i="123"/>
  <c r="W259" i="123"/>
  <c r="U259" i="123"/>
  <c r="S259" i="123"/>
  <c r="R259" i="123"/>
  <c r="Q259" i="123"/>
  <c r="P259" i="123"/>
  <c r="N259" i="123"/>
  <c r="AN258" i="123"/>
  <c r="AM258" i="123"/>
  <c r="AG258" i="123"/>
  <c r="AD258" i="123"/>
  <c r="W258" i="123"/>
  <c r="U258" i="123"/>
  <c r="S258" i="123"/>
  <c r="R258" i="123"/>
  <c r="Q258" i="123"/>
  <c r="P258" i="123"/>
  <c r="N258" i="123"/>
  <c r="AN257" i="123"/>
  <c r="AM257" i="123"/>
  <c r="AG257" i="123"/>
  <c r="AD257" i="123"/>
  <c r="W257" i="123"/>
  <c r="U257" i="123"/>
  <c r="S257" i="123"/>
  <c r="R257" i="123"/>
  <c r="Q257" i="123"/>
  <c r="P257" i="123"/>
  <c r="N257" i="123"/>
  <c r="AN256" i="123"/>
  <c r="AM256" i="123"/>
  <c r="AG256" i="123"/>
  <c r="AD256" i="123"/>
  <c r="W256" i="123"/>
  <c r="U256" i="123"/>
  <c r="S256" i="123"/>
  <c r="R256" i="123"/>
  <c r="Q256" i="123"/>
  <c r="P256" i="123"/>
  <c r="N256" i="123"/>
  <c r="AN255" i="123"/>
  <c r="AM255" i="123"/>
  <c r="AG255" i="123"/>
  <c r="AD255" i="123"/>
  <c r="W255" i="123"/>
  <c r="U255" i="123"/>
  <c r="X255" i="123" s="1"/>
  <c r="Y255" i="123" s="1"/>
  <c r="S255" i="123"/>
  <c r="R255" i="123"/>
  <c r="Q255" i="123"/>
  <c r="P255" i="123"/>
  <c r="N255" i="123"/>
  <c r="AN254" i="123"/>
  <c r="AM254" i="123"/>
  <c r="AG254" i="123"/>
  <c r="AD254" i="123"/>
  <c r="AE254" i="123" s="1"/>
  <c r="W254" i="123"/>
  <c r="U254" i="123"/>
  <c r="X254" i="123" s="1"/>
  <c r="S254" i="123"/>
  <c r="R254" i="123"/>
  <c r="Q254" i="123"/>
  <c r="P254" i="123"/>
  <c r="N254" i="123"/>
  <c r="AG253" i="123"/>
  <c r="AD253" i="123"/>
  <c r="AH253" i="123" s="1"/>
  <c r="AA253" i="123"/>
  <c r="W253" i="123"/>
  <c r="U253" i="123"/>
  <c r="S253" i="123"/>
  <c r="R253" i="123"/>
  <c r="Q253" i="123"/>
  <c r="P253" i="123"/>
  <c r="O253" i="123"/>
  <c r="N253" i="123"/>
  <c r="L253" i="123"/>
  <c r="C253" i="123"/>
  <c r="AN252" i="123"/>
  <c r="AM252" i="123"/>
  <c r="AG252" i="123"/>
  <c r="AD252" i="123"/>
  <c r="W252" i="123"/>
  <c r="U252" i="123"/>
  <c r="S252" i="123"/>
  <c r="R252" i="123"/>
  <c r="Q252" i="123"/>
  <c r="P252" i="123"/>
  <c r="N252" i="123"/>
  <c r="AN251" i="123"/>
  <c r="AM251" i="123"/>
  <c r="AG251" i="123"/>
  <c r="AD251" i="123"/>
  <c r="W251" i="123"/>
  <c r="U251" i="123"/>
  <c r="S251" i="123"/>
  <c r="R251" i="123"/>
  <c r="Q251" i="123"/>
  <c r="P251" i="123"/>
  <c r="N251" i="123"/>
  <c r="AN250" i="123"/>
  <c r="AM250" i="123"/>
  <c r="AG250" i="123"/>
  <c r="AD250" i="123"/>
  <c r="AH250" i="123" s="1"/>
  <c r="AI250" i="123" s="1"/>
  <c r="AJ250" i="123" s="1"/>
  <c r="W250" i="123"/>
  <c r="U250" i="123"/>
  <c r="X250" i="123" s="1"/>
  <c r="S250" i="123"/>
  <c r="R250" i="123"/>
  <c r="Q250" i="123"/>
  <c r="P250" i="123"/>
  <c r="N250" i="123"/>
  <c r="AN249" i="123"/>
  <c r="AM249" i="123"/>
  <c r="AG249" i="123"/>
  <c r="AD249" i="123"/>
  <c r="W249" i="123"/>
  <c r="U249" i="123"/>
  <c r="S249" i="123"/>
  <c r="R249" i="123"/>
  <c r="Q249" i="123"/>
  <c r="P249" i="123"/>
  <c r="N249" i="123"/>
  <c r="AN248" i="123"/>
  <c r="AM248" i="123"/>
  <c r="AG248" i="123"/>
  <c r="AD248" i="123"/>
  <c r="AH248" i="123" s="1"/>
  <c r="W248" i="123"/>
  <c r="U248" i="123"/>
  <c r="S248" i="123"/>
  <c r="R248" i="123"/>
  <c r="Q248" i="123"/>
  <c r="P248" i="123"/>
  <c r="N248" i="123"/>
  <c r="AG247" i="123"/>
  <c r="AD247" i="123"/>
  <c r="AA247" i="123"/>
  <c r="AA246" i="123" s="1"/>
  <c r="AA245" i="123" s="1"/>
  <c r="AA244" i="123" s="1"/>
  <c r="W247" i="123"/>
  <c r="U247" i="123"/>
  <c r="S247" i="123"/>
  <c r="R247" i="123"/>
  <c r="Q247" i="123"/>
  <c r="P247" i="123"/>
  <c r="O247" i="123"/>
  <c r="N247" i="123"/>
  <c r="L247" i="123"/>
  <c r="C247" i="123"/>
  <c r="AG246" i="123"/>
  <c r="AD246" i="123"/>
  <c r="W246" i="123"/>
  <c r="U246" i="123"/>
  <c r="X246" i="123" s="1"/>
  <c r="S246" i="123"/>
  <c r="R246" i="123"/>
  <c r="Q246" i="123"/>
  <c r="P246" i="123"/>
  <c r="N246" i="123"/>
  <c r="AG245" i="123"/>
  <c r="AD245" i="123"/>
  <c r="W245" i="123"/>
  <c r="U245" i="123"/>
  <c r="S245" i="123"/>
  <c r="R245" i="123"/>
  <c r="Q245" i="123"/>
  <c r="P245" i="123"/>
  <c r="N245" i="123"/>
  <c r="AG244" i="123"/>
  <c r="AD244" i="123"/>
  <c r="AH244" i="123" s="1"/>
  <c r="W244" i="123"/>
  <c r="U244" i="123"/>
  <c r="S244" i="123"/>
  <c r="R244" i="123"/>
  <c r="Q244" i="123"/>
  <c r="P244" i="123"/>
  <c r="N244" i="123"/>
  <c r="AG243" i="123"/>
  <c r="AD243" i="123"/>
  <c r="AA243" i="123"/>
  <c r="AA242" i="123" s="1"/>
  <c r="AA241" i="123" s="1"/>
  <c r="AA240" i="123" s="1"/>
  <c r="AA239" i="123" s="1"/>
  <c r="AA238" i="123" s="1"/>
  <c r="AA237" i="123" s="1"/>
  <c r="AA236" i="123" s="1"/>
  <c r="AA235" i="123" s="1"/>
  <c r="W243" i="123"/>
  <c r="U243" i="123"/>
  <c r="X243" i="123" s="1"/>
  <c r="S243" i="123"/>
  <c r="R243" i="123"/>
  <c r="Q243" i="123"/>
  <c r="P243" i="123"/>
  <c r="N243" i="123"/>
  <c r="AG242" i="123"/>
  <c r="AD242" i="123"/>
  <c r="W242" i="123"/>
  <c r="U242" i="123"/>
  <c r="S242" i="123"/>
  <c r="R242" i="123"/>
  <c r="Q242" i="123"/>
  <c r="P242" i="123"/>
  <c r="N242" i="123"/>
  <c r="AG241" i="123"/>
  <c r="AD241" i="123"/>
  <c r="AH241" i="123" s="1"/>
  <c r="W241" i="123"/>
  <c r="U241" i="123"/>
  <c r="X241" i="123" s="1"/>
  <c r="S241" i="123"/>
  <c r="R241" i="123"/>
  <c r="Q241" i="123"/>
  <c r="P241" i="123"/>
  <c r="O241" i="123"/>
  <c r="N241" i="123"/>
  <c r="L241" i="123"/>
  <c r="C241" i="123"/>
  <c r="AD240" i="123"/>
  <c r="AH240" i="123" s="1"/>
  <c r="X240" i="123"/>
  <c r="Y240" i="123" s="1"/>
  <c r="W240" i="123"/>
  <c r="U240" i="123"/>
  <c r="S240" i="123"/>
  <c r="R240" i="123"/>
  <c r="Q240" i="123"/>
  <c r="P240" i="123"/>
  <c r="N240" i="123"/>
  <c r="AD239" i="123"/>
  <c r="AH239" i="123" s="1"/>
  <c r="W239" i="123"/>
  <c r="U239" i="123"/>
  <c r="X239" i="123" s="1"/>
  <c r="S239" i="123"/>
  <c r="R239" i="123"/>
  <c r="Q239" i="123"/>
  <c r="P239" i="123"/>
  <c r="N239" i="123"/>
  <c r="AH238" i="123"/>
  <c r="AD238" i="123"/>
  <c r="W238" i="123"/>
  <c r="U238" i="123"/>
  <c r="S238" i="123"/>
  <c r="R238" i="123"/>
  <c r="Q238" i="123"/>
  <c r="P238" i="123"/>
  <c r="N238" i="123"/>
  <c r="AD237" i="123"/>
  <c r="AH237" i="123" s="1"/>
  <c r="W237" i="123"/>
  <c r="U237" i="123"/>
  <c r="S237" i="123"/>
  <c r="R237" i="123"/>
  <c r="Q237" i="123"/>
  <c r="P237" i="123"/>
  <c r="N237" i="123"/>
  <c r="AG236" i="123"/>
  <c r="AD236" i="123"/>
  <c r="AH236" i="123" s="1"/>
  <c r="W236" i="123"/>
  <c r="U236" i="123"/>
  <c r="X236" i="123" s="1"/>
  <c r="S236" i="123"/>
  <c r="R236" i="123"/>
  <c r="Q236" i="123"/>
  <c r="P236" i="123"/>
  <c r="N236" i="123"/>
  <c r="AG235" i="123"/>
  <c r="AD235" i="123"/>
  <c r="W235" i="123"/>
  <c r="U235" i="123"/>
  <c r="S235" i="123"/>
  <c r="R235" i="123"/>
  <c r="Q235" i="123"/>
  <c r="P235" i="123"/>
  <c r="O235" i="123"/>
  <c r="N235" i="123"/>
  <c r="L235" i="123"/>
  <c r="C235" i="123"/>
  <c r="AL234" i="123"/>
  <c r="AL233" i="123" s="1"/>
  <c r="AL232" i="123" s="1"/>
  <c r="AL231" i="123" s="1"/>
  <c r="AL230" i="123" s="1"/>
  <c r="AL229" i="123" s="1"/>
  <c r="AL228" i="123" s="1"/>
  <c r="AL227" i="123" s="1"/>
  <c r="AL226" i="123" s="1"/>
  <c r="AG234" i="123"/>
  <c r="AD234" i="123"/>
  <c r="AB234" i="123"/>
  <c r="AB233" i="123" s="1"/>
  <c r="AB232" i="123" s="1"/>
  <c r="AB231" i="123" s="1"/>
  <c r="AB230" i="123" s="1"/>
  <c r="AB229" i="123" s="1"/>
  <c r="AB228" i="123" s="1"/>
  <c r="AB227" i="123" s="1"/>
  <c r="AB226" i="123" s="1"/>
  <c r="AA234" i="123"/>
  <c r="AA233" i="123" s="1"/>
  <c r="W234" i="123"/>
  <c r="U234" i="123"/>
  <c r="S234" i="123"/>
  <c r="R234" i="123"/>
  <c r="Q234" i="123"/>
  <c r="P234" i="123"/>
  <c r="N234" i="123"/>
  <c r="AG233" i="123"/>
  <c r="AD233" i="123"/>
  <c r="W233" i="123"/>
  <c r="U233" i="123"/>
  <c r="S233" i="123"/>
  <c r="R233" i="123"/>
  <c r="Q233" i="123"/>
  <c r="P233" i="123"/>
  <c r="O233" i="123"/>
  <c r="N233" i="123"/>
  <c r="L233" i="123"/>
  <c r="C233" i="123"/>
  <c r="AN232" i="123"/>
  <c r="AM232" i="123"/>
  <c r="AG232" i="123"/>
  <c r="AD232" i="123"/>
  <c r="W232" i="123"/>
  <c r="U232" i="123"/>
  <c r="S232" i="123"/>
  <c r="R232" i="123"/>
  <c r="Q232" i="123"/>
  <c r="P232" i="123"/>
  <c r="N232" i="123"/>
  <c r="AG231" i="123"/>
  <c r="AD231" i="123"/>
  <c r="AA231" i="123"/>
  <c r="W231" i="123"/>
  <c r="U231" i="123"/>
  <c r="X231" i="123" s="1"/>
  <c r="S231" i="123"/>
  <c r="R231" i="123"/>
  <c r="Q231" i="123"/>
  <c r="P231" i="123"/>
  <c r="O231" i="123"/>
  <c r="N231" i="123"/>
  <c r="L231" i="123"/>
  <c r="C231" i="123"/>
  <c r="AN230" i="123"/>
  <c r="AM230" i="123"/>
  <c r="AG230" i="123"/>
  <c r="AD230" i="123"/>
  <c r="W230" i="123"/>
  <c r="X230" i="123" s="1"/>
  <c r="U230" i="123"/>
  <c r="S230" i="123"/>
  <c r="R230" i="123"/>
  <c r="Q230" i="123"/>
  <c r="P230" i="123"/>
  <c r="N230" i="123"/>
  <c r="AG229" i="123"/>
  <c r="AH229" i="123" s="1"/>
  <c r="AD229" i="123"/>
  <c r="AA229" i="123"/>
  <c r="AA228" i="123" s="1"/>
  <c r="AA227" i="123" s="1"/>
  <c r="AA226" i="123" s="1"/>
  <c r="W229" i="123"/>
  <c r="U229" i="123"/>
  <c r="S229" i="123"/>
  <c r="R229" i="123"/>
  <c r="Q229" i="123"/>
  <c r="P229" i="123"/>
  <c r="O229" i="123"/>
  <c r="N229" i="123"/>
  <c r="L229" i="123"/>
  <c r="C229" i="123"/>
  <c r="AG228" i="123"/>
  <c r="AD228" i="123"/>
  <c r="W228" i="123"/>
  <c r="U228" i="123"/>
  <c r="S228" i="123"/>
  <c r="R228" i="123"/>
  <c r="Q228" i="123"/>
  <c r="P228" i="123"/>
  <c r="N228" i="123"/>
  <c r="AG227" i="123"/>
  <c r="AD227" i="123"/>
  <c r="W227" i="123"/>
  <c r="X227" i="123" s="1"/>
  <c r="U227" i="123"/>
  <c r="S227" i="123"/>
  <c r="R227" i="123"/>
  <c r="Q227" i="123"/>
  <c r="P227" i="123"/>
  <c r="N227" i="123"/>
  <c r="AG226" i="123"/>
  <c r="AD226" i="123"/>
  <c r="AH226" i="123" s="1"/>
  <c r="W226" i="123"/>
  <c r="U226" i="123"/>
  <c r="S226" i="123"/>
  <c r="R226" i="123"/>
  <c r="Q226" i="123"/>
  <c r="P226" i="123"/>
  <c r="O226" i="123"/>
  <c r="N226" i="123"/>
  <c r="L226" i="123"/>
  <c r="C226" i="123"/>
  <c r="AN225" i="123"/>
  <c r="AM225" i="123"/>
  <c r="AL225" i="123"/>
  <c r="AG225" i="123"/>
  <c r="AD225" i="123"/>
  <c r="W225" i="123"/>
  <c r="U225" i="123"/>
  <c r="S225" i="123"/>
  <c r="R225" i="123"/>
  <c r="Q225" i="123"/>
  <c r="P225" i="123"/>
  <c r="N225" i="123"/>
  <c r="AL224" i="123"/>
  <c r="AL223" i="123" s="1"/>
  <c r="AL222" i="123" s="1"/>
  <c r="AL221" i="123" s="1"/>
  <c r="AL220" i="123" s="1"/>
  <c r="AL219" i="123" s="1"/>
  <c r="AL218" i="123" s="1"/>
  <c r="AL217" i="123" s="1"/>
  <c r="AL216" i="123" s="1"/>
  <c r="AL215" i="123" s="1"/>
  <c r="AL214" i="123" s="1"/>
  <c r="AL213" i="123" s="1"/>
  <c r="AL212" i="123" s="1"/>
  <c r="AL211" i="123" s="1"/>
  <c r="AL210" i="123" s="1"/>
  <c r="AL209" i="123" s="1"/>
  <c r="AL208" i="123" s="1"/>
  <c r="AL207" i="123" s="1"/>
  <c r="AL206" i="123" s="1"/>
  <c r="AL205" i="123" s="1"/>
  <c r="AL204" i="123" s="1"/>
  <c r="AL203" i="123" s="1"/>
  <c r="AL202" i="123" s="1"/>
  <c r="AL201" i="123" s="1"/>
  <c r="AL200" i="123" s="1"/>
  <c r="AL199" i="123" s="1"/>
  <c r="AL198" i="123" s="1"/>
  <c r="AL197" i="123" s="1"/>
  <c r="AL196" i="123" s="1"/>
  <c r="AL195" i="123" s="1"/>
  <c r="AG224" i="123"/>
  <c r="AD224" i="123"/>
  <c r="AA224" i="123"/>
  <c r="W224" i="123"/>
  <c r="U224" i="123"/>
  <c r="S224" i="123"/>
  <c r="R224" i="123"/>
  <c r="Q224" i="123"/>
  <c r="P224" i="123"/>
  <c r="O224" i="123"/>
  <c r="N224" i="123"/>
  <c r="L224" i="123"/>
  <c r="C224" i="123"/>
  <c r="AN223" i="123"/>
  <c r="AM223" i="123"/>
  <c r="AG223" i="123"/>
  <c r="AD223" i="123"/>
  <c r="W223" i="123"/>
  <c r="U223" i="123"/>
  <c r="S223" i="123"/>
  <c r="R223" i="123"/>
  <c r="Q223" i="123"/>
  <c r="P223" i="123"/>
  <c r="N223" i="123"/>
  <c r="AG222" i="123"/>
  <c r="AD222" i="123"/>
  <c r="AA222" i="123"/>
  <c r="W222" i="123"/>
  <c r="U222" i="123"/>
  <c r="X222" i="123" s="1"/>
  <c r="S222" i="123"/>
  <c r="R222" i="123"/>
  <c r="Q222" i="123"/>
  <c r="P222" i="123"/>
  <c r="O222" i="123"/>
  <c r="N222" i="123"/>
  <c r="L222" i="123"/>
  <c r="C222" i="123"/>
  <c r="AN221" i="123"/>
  <c r="AM221" i="123"/>
  <c r="AG221" i="123"/>
  <c r="AD221" i="123"/>
  <c r="AH221" i="123" s="1"/>
  <c r="W221" i="123"/>
  <c r="U221" i="123"/>
  <c r="S221" i="123"/>
  <c r="R221" i="123"/>
  <c r="Q221" i="123"/>
  <c r="P221" i="123"/>
  <c r="N221" i="123"/>
  <c r="AG220" i="123"/>
  <c r="AD220" i="123"/>
  <c r="AA220" i="123"/>
  <c r="W220" i="123"/>
  <c r="U220" i="123"/>
  <c r="X220" i="123" s="1"/>
  <c r="Y220" i="123" s="1"/>
  <c r="S220" i="123"/>
  <c r="R220" i="123"/>
  <c r="Q220" i="123"/>
  <c r="P220" i="123"/>
  <c r="O220" i="123"/>
  <c r="N220" i="123"/>
  <c r="L220" i="123"/>
  <c r="C220" i="123"/>
  <c r="AN219" i="123"/>
  <c r="AM219" i="123"/>
  <c r="AG219" i="123"/>
  <c r="AD219" i="123"/>
  <c r="W219" i="123"/>
  <c r="U219" i="123"/>
  <c r="S219" i="123"/>
  <c r="R219" i="123"/>
  <c r="Q219" i="123"/>
  <c r="P219" i="123"/>
  <c r="N219" i="123"/>
  <c r="AG218" i="123"/>
  <c r="AD218" i="123"/>
  <c r="AA218" i="123"/>
  <c r="W218" i="123"/>
  <c r="U218" i="123"/>
  <c r="X218" i="123" s="1"/>
  <c r="S218" i="123"/>
  <c r="R218" i="123"/>
  <c r="Q218" i="123"/>
  <c r="P218" i="123"/>
  <c r="O218" i="123"/>
  <c r="N218" i="123"/>
  <c r="L218" i="123"/>
  <c r="C218" i="123"/>
  <c r="AN217" i="123"/>
  <c r="AM217" i="123"/>
  <c r="AG217" i="123"/>
  <c r="AD217" i="123"/>
  <c r="W217" i="123"/>
  <c r="U217" i="123"/>
  <c r="S217" i="123"/>
  <c r="R217" i="123"/>
  <c r="Q217" i="123"/>
  <c r="P217" i="123"/>
  <c r="N217" i="123"/>
  <c r="AG216" i="123"/>
  <c r="AD216" i="123"/>
  <c r="AA216" i="123"/>
  <c r="W216" i="123"/>
  <c r="U216" i="123"/>
  <c r="S216" i="123"/>
  <c r="R216" i="123"/>
  <c r="Q216" i="123"/>
  <c r="P216" i="123"/>
  <c r="O216" i="123"/>
  <c r="N216" i="123"/>
  <c r="L216" i="123"/>
  <c r="C216" i="123"/>
  <c r="AN215" i="123"/>
  <c r="AM215" i="123"/>
  <c r="AG215" i="123"/>
  <c r="AD215" i="123"/>
  <c r="W215" i="123"/>
  <c r="U215" i="123"/>
  <c r="X215" i="123" s="1"/>
  <c r="S215" i="123"/>
  <c r="R215" i="123"/>
  <c r="Q215" i="123"/>
  <c r="P215" i="123"/>
  <c r="N215" i="123"/>
  <c r="AG214" i="123"/>
  <c r="AD214" i="123"/>
  <c r="AA214" i="123"/>
  <c r="W214" i="123"/>
  <c r="U214" i="123"/>
  <c r="S214" i="123"/>
  <c r="R214" i="123"/>
  <c r="Q214" i="123"/>
  <c r="P214" i="123"/>
  <c r="O214" i="123"/>
  <c r="N214" i="123"/>
  <c r="L214" i="123"/>
  <c r="C214" i="123"/>
  <c r="AN213" i="123"/>
  <c r="AM213" i="123"/>
  <c r="AG213" i="123"/>
  <c r="AH213" i="123" s="1"/>
  <c r="AD213" i="123"/>
  <c r="W213" i="123"/>
  <c r="U213" i="123"/>
  <c r="X213" i="123" s="1"/>
  <c r="S213" i="123"/>
  <c r="R213" i="123"/>
  <c r="Q213" i="123"/>
  <c r="P213" i="123"/>
  <c r="N213" i="123"/>
  <c r="AG212" i="123"/>
  <c r="AD212" i="123"/>
  <c r="AA212" i="123"/>
  <c r="W212" i="123"/>
  <c r="U212" i="123"/>
  <c r="X212" i="123" s="1"/>
  <c r="S212" i="123"/>
  <c r="R212" i="123"/>
  <c r="Q212" i="123"/>
  <c r="P212" i="123"/>
  <c r="O212" i="123"/>
  <c r="N212" i="123"/>
  <c r="L212" i="123"/>
  <c r="C212" i="123"/>
  <c r="AN211" i="123"/>
  <c r="AM211" i="123"/>
  <c r="AG211" i="123"/>
  <c r="AD211" i="123"/>
  <c r="W211" i="123"/>
  <c r="U211" i="123"/>
  <c r="S211" i="123"/>
  <c r="R211" i="123"/>
  <c r="Q211" i="123"/>
  <c r="P211" i="123"/>
  <c r="N211" i="123"/>
  <c r="AG210" i="123"/>
  <c r="AD210" i="123"/>
  <c r="AA210" i="123"/>
  <c r="W210" i="123"/>
  <c r="U210" i="123"/>
  <c r="S210" i="123"/>
  <c r="R210" i="123"/>
  <c r="Q210" i="123"/>
  <c r="P210" i="123"/>
  <c r="O210" i="123"/>
  <c r="N210" i="123"/>
  <c r="L210" i="123"/>
  <c r="C210" i="123"/>
  <c r="AN209" i="123"/>
  <c r="AM209" i="123"/>
  <c r="AG209" i="123"/>
  <c r="AD209" i="123"/>
  <c r="W209" i="123"/>
  <c r="U209" i="123"/>
  <c r="S209" i="123"/>
  <c r="R209" i="123"/>
  <c r="Q209" i="123"/>
  <c r="P209" i="123"/>
  <c r="N209" i="123"/>
  <c r="AG208" i="123"/>
  <c r="AD208" i="123"/>
  <c r="AA208" i="123"/>
  <c r="W208" i="123"/>
  <c r="U208" i="123"/>
  <c r="S208" i="123"/>
  <c r="R208" i="123"/>
  <c r="Q208" i="123"/>
  <c r="P208" i="123"/>
  <c r="O208" i="123"/>
  <c r="N208" i="123"/>
  <c r="L208" i="123"/>
  <c r="C208" i="123"/>
  <c r="AN207" i="123"/>
  <c r="AM207" i="123"/>
  <c r="AG207" i="123"/>
  <c r="AD207" i="123"/>
  <c r="W207" i="123"/>
  <c r="U207" i="123"/>
  <c r="S207" i="123"/>
  <c r="R207" i="123"/>
  <c r="Q207" i="123"/>
  <c r="P207" i="123"/>
  <c r="N207" i="123"/>
  <c r="AG206" i="123"/>
  <c r="AD206" i="123"/>
  <c r="AA206" i="123"/>
  <c r="W206" i="123"/>
  <c r="U206" i="123"/>
  <c r="X206" i="123" s="1"/>
  <c r="S206" i="123"/>
  <c r="R206" i="123"/>
  <c r="Q206" i="123"/>
  <c r="P206" i="123"/>
  <c r="O206" i="123"/>
  <c r="N206" i="123"/>
  <c r="L206" i="123"/>
  <c r="C206" i="123"/>
  <c r="AN205" i="123"/>
  <c r="AM205" i="123"/>
  <c r="AG205" i="123"/>
  <c r="AD205" i="123"/>
  <c r="W205" i="123"/>
  <c r="U205" i="123"/>
  <c r="S205" i="123"/>
  <c r="R205" i="123"/>
  <c r="Q205" i="123"/>
  <c r="P205" i="123"/>
  <c r="N205" i="123"/>
  <c r="AG204" i="123"/>
  <c r="AD204" i="123"/>
  <c r="AE204" i="123" s="1"/>
  <c r="AA204" i="123"/>
  <c r="W204" i="123"/>
  <c r="U204" i="123"/>
  <c r="X204" i="123" s="1"/>
  <c r="S204" i="123"/>
  <c r="R204" i="123"/>
  <c r="Q204" i="123"/>
  <c r="P204" i="123"/>
  <c r="O204" i="123"/>
  <c r="N204" i="123"/>
  <c r="L204" i="123"/>
  <c r="C204" i="123"/>
  <c r="AN203" i="123"/>
  <c r="AM203" i="123"/>
  <c r="AG203" i="123"/>
  <c r="AD203" i="123"/>
  <c r="W203" i="123"/>
  <c r="U203" i="123"/>
  <c r="S203" i="123"/>
  <c r="R203" i="123"/>
  <c r="Q203" i="123"/>
  <c r="P203" i="123"/>
  <c r="N203" i="123"/>
  <c r="AG202" i="123"/>
  <c r="AD202" i="123"/>
  <c r="AA202" i="123"/>
  <c r="W202" i="123"/>
  <c r="U202" i="123"/>
  <c r="S202" i="123"/>
  <c r="R202" i="123"/>
  <c r="Q202" i="123"/>
  <c r="P202" i="123"/>
  <c r="O202" i="123"/>
  <c r="N202" i="123"/>
  <c r="L202" i="123"/>
  <c r="C202" i="123"/>
  <c r="AN201" i="123"/>
  <c r="AM201" i="123"/>
  <c r="AG201" i="123"/>
  <c r="AD201" i="123"/>
  <c r="W201" i="123"/>
  <c r="U201" i="123"/>
  <c r="S201" i="123"/>
  <c r="R201" i="123"/>
  <c r="Q201" i="123"/>
  <c r="P201" i="123"/>
  <c r="N201" i="123"/>
  <c r="AN200" i="123"/>
  <c r="AM200" i="123"/>
  <c r="AG200" i="123"/>
  <c r="AD200" i="123"/>
  <c r="W200" i="123"/>
  <c r="U200" i="123"/>
  <c r="S200" i="123"/>
  <c r="R200" i="123"/>
  <c r="Q200" i="123"/>
  <c r="P200" i="123"/>
  <c r="N200" i="123"/>
  <c r="AN199" i="123"/>
  <c r="AM199" i="123"/>
  <c r="AG199" i="123"/>
  <c r="AD199" i="123"/>
  <c r="W199" i="123"/>
  <c r="U199" i="123"/>
  <c r="X199" i="123" s="1"/>
  <c r="S199" i="123"/>
  <c r="R199" i="123"/>
  <c r="Q199" i="123"/>
  <c r="P199" i="123"/>
  <c r="N199" i="123"/>
  <c r="AG198" i="123"/>
  <c r="AD198" i="123"/>
  <c r="AA198" i="123"/>
  <c r="W198" i="123"/>
  <c r="U198" i="123"/>
  <c r="S198" i="123"/>
  <c r="R198" i="123"/>
  <c r="Q198" i="123"/>
  <c r="P198" i="123"/>
  <c r="O198" i="123"/>
  <c r="N198" i="123"/>
  <c r="L198" i="123"/>
  <c r="C198" i="123"/>
  <c r="AN197" i="123"/>
  <c r="AM197" i="123"/>
  <c r="AG197" i="123"/>
  <c r="AD197" i="123"/>
  <c r="W197" i="123"/>
  <c r="U197" i="123"/>
  <c r="S197" i="123"/>
  <c r="R197" i="123"/>
  <c r="Q197" i="123"/>
  <c r="P197" i="123"/>
  <c r="N197" i="123"/>
  <c r="AN196" i="123"/>
  <c r="AM196" i="123"/>
  <c r="AG196" i="123"/>
  <c r="AD196" i="123"/>
  <c r="W196" i="123"/>
  <c r="U196" i="123"/>
  <c r="S196" i="123"/>
  <c r="R196" i="123"/>
  <c r="Q196" i="123"/>
  <c r="P196" i="123"/>
  <c r="N196" i="123"/>
  <c r="AG195" i="123"/>
  <c r="AD195" i="123"/>
  <c r="AA195" i="123"/>
  <c r="W195" i="123"/>
  <c r="U195" i="123"/>
  <c r="S195" i="123"/>
  <c r="R195" i="123"/>
  <c r="Q195" i="123"/>
  <c r="P195" i="123"/>
  <c r="O195" i="123"/>
  <c r="N195" i="123"/>
  <c r="L195" i="123"/>
  <c r="C195" i="123"/>
  <c r="AG194" i="123"/>
  <c r="AD194" i="123"/>
  <c r="W194" i="123"/>
  <c r="U194" i="123"/>
  <c r="S194" i="123"/>
  <c r="R194" i="123"/>
  <c r="Q194" i="123"/>
  <c r="P194" i="123"/>
  <c r="N194" i="123"/>
  <c r="AG193" i="123"/>
  <c r="AD193" i="123"/>
  <c r="W193" i="123"/>
  <c r="U193" i="123"/>
  <c r="S193" i="123"/>
  <c r="R193" i="123"/>
  <c r="Q193" i="123"/>
  <c r="P193" i="123"/>
  <c r="N193" i="123"/>
  <c r="AG192" i="123"/>
  <c r="AD192" i="123"/>
  <c r="AH192" i="123" s="1"/>
  <c r="W192" i="123"/>
  <c r="U192" i="123"/>
  <c r="X192" i="123" s="1"/>
  <c r="S192" i="123"/>
  <c r="R192" i="123"/>
  <c r="Q192" i="123"/>
  <c r="P192" i="123"/>
  <c r="N192" i="123"/>
  <c r="AG191" i="123"/>
  <c r="AD191" i="123"/>
  <c r="W191" i="123"/>
  <c r="U191" i="123"/>
  <c r="S191" i="123"/>
  <c r="R191" i="123"/>
  <c r="Q191" i="123"/>
  <c r="P191" i="123"/>
  <c r="N191" i="123"/>
  <c r="AG190" i="123"/>
  <c r="AD190" i="123"/>
  <c r="AH190" i="123" s="1"/>
  <c r="W190" i="123"/>
  <c r="U190" i="123"/>
  <c r="S190" i="123"/>
  <c r="R190" i="123"/>
  <c r="Q190" i="123"/>
  <c r="P190" i="123"/>
  <c r="N190" i="123"/>
  <c r="AG189" i="123"/>
  <c r="AD189" i="123"/>
  <c r="W189" i="123"/>
  <c r="U189" i="123"/>
  <c r="S189" i="123"/>
  <c r="R189" i="123"/>
  <c r="Q189" i="123"/>
  <c r="P189" i="123"/>
  <c r="N189" i="123"/>
  <c r="AN188" i="123"/>
  <c r="AM188" i="123"/>
  <c r="AG188" i="123"/>
  <c r="AD188" i="123"/>
  <c r="W188" i="123"/>
  <c r="U188" i="123"/>
  <c r="S188" i="123"/>
  <c r="R188" i="123"/>
  <c r="Q188" i="123"/>
  <c r="P188" i="123"/>
  <c r="N188" i="123"/>
  <c r="AN187" i="123"/>
  <c r="AM187" i="123"/>
  <c r="AG187" i="123"/>
  <c r="AD187" i="123"/>
  <c r="W187" i="123"/>
  <c r="U187" i="123"/>
  <c r="S187" i="123"/>
  <c r="R187" i="123"/>
  <c r="Q187" i="123"/>
  <c r="P187" i="123"/>
  <c r="N187" i="123"/>
  <c r="AN186" i="123"/>
  <c r="AM186" i="123"/>
  <c r="AG186" i="123"/>
  <c r="AD186" i="123"/>
  <c r="W186" i="123"/>
  <c r="U186" i="123"/>
  <c r="S186" i="123"/>
  <c r="R186" i="123"/>
  <c r="Q186" i="123"/>
  <c r="P186" i="123"/>
  <c r="N186" i="123"/>
  <c r="AN185" i="123"/>
  <c r="AM185" i="123"/>
  <c r="AG185" i="123"/>
  <c r="AD185" i="123"/>
  <c r="AH185" i="123" s="1"/>
  <c r="W185" i="123"/>
  <c r="U185" i="123"/>
  <c r="S185" i="123"/>
  <c r="R185" i="123"/>
  <c r="Q185" i="123"/>
  <c r="P185" i="123"/>
  <c r="N185" i="123"/>
  <c r="AN184" i="123"/>
  <c r="AM184" i="123"/>
  <c r="AG184" i="123"/>
  <c r="AD184" i="123"/>
  <c r="AH184" i="123" s="1"/>
  <c r="W184" i="123"/>
  <c r="U184" i="123"/>
  <c r="S184" i="123"/>
  <c r="R184" i="123"/>
  <c r="Q184" i="123"/>
  <c r="P184" i="123"/>
  <c r="N184" i="123"/>
  <c r="AN183" i="123"/>
  <c r="AM183" i="123"/>
  <c r="AG183" i="123"/>
  <c r="AD183" i="123"/>
  <c r="AH183" i="123" s="1"/>
  <c r="W183" i="123"/>
  <c r="U183" i="123"/>
  <c r="S183" i="123"/>
  <c r="R183" i="123"/>
  <c r="Q183" i="123"/>
  <c r="P183" i="123"/>
  <c r="N183" i="123"/>
  <c r="AN182" i="123"/>
  <c r="AM182" i="123"/>
  <c r="AG182" i="123"/>
  <c r="AD182" i="123"/>
  <c r="W182" i="123"/>
  <c r="U182" i="123"/>
  <c r="X182" i="123" s="1"/>
  <c r="S182" i="123"/>
  <c r="R182" i="123"/>
  <c r="Q182" i="123"/>
  <c r="P182" i="123"/>
  <c r="N182" i="123"/>
  <c r="AN181" i="123"/>
  <c r="AM181" i="123"/>
  <c r="AG181" i="123"/>
  <c r="AD181" i="123"/>
  <c r="W181" i="123"/>
  <c r="U181" i="123"/>
  <c r="S181" i="123"/>
  <c r="R181" i="123"/>
  <c r="Q181" i="123"/>
  <c r="P181" i="123"/>
  <c r="N181" i="123"/>
  <c r="AN180" i="123"/>
  <c r="AM180" i="123"/>
  <c r="AG180" i="123"/>
  <c r="AD180" i="123"/>
  <c r="W180" i="123"/>
  <c r="U180" i="123"/>
  <c r="S180" i="123"/>
  <c r="R180" i="123"/>
  <c r="Q180" i="123"/>
  <c r="P180" i="123"/>
  <c r="N180" i="123"/>
  <c r="AG179" i="123"/>
  <c r="AD179" i="123"/>
  <c r="W179" i="123"/>
  <c r="U179" i="123"/>
  <c r="S179" i="123"/>
  <c r="R179" i="123"/>
  <c r="Q179" i="123"/>
  <c r="P179" i="123"/>
  <c r="N179" i="123"/>
  <c r="AG178" i="123"/>
  <c r="AD178" i="123"/>
  <c r="W178" i="123"/>
  <c r="U178" i="123"/>
  <c r="S178" i="123"/>
  <c r="R178" i="123"/>
  <c r="Q178" i="123"/>
  <c r="P178" i="123"/>
  <c r="N178" i="123"/>
  <c r="AG177" i="123"/>
  <c r="AD177" i="123"/>
  <c r="AH177" i="123" s="1"/>
  <c r="W177" i="123"/>
  <c r="U177" i="123"/>
  <c r="S177" i="123"/>
  <c r="R177" i="123"/>
  <c r="Q177" i="123"/>
  <c r="P177" i="123"/>
  <c r="N177" i="123"/>
  <c r="AN176" i="123"/>
  <c r="AM176" i="123"/>
  <c r="AG176" i="123"/>
  <c r="AH176" i="123" s="1"/>
  <c r="AD176" i="123"/>
  <c r="W176" i="123"/>
  <c r="U176" i="123"/>
  <c r="S176" i="123"/>
  <c r="R176" i="123"/>
  <c r="Q176" i="123"/>
  <c r="P176" i="123"/>
  <c r="N176" i="123"/>
  <c r="AN175" i="123"/>
  <c r="AM175" i="123"/>
  <c r="AG175" i="123"/>
  <c r="AD175" i="123"/>
  <c r="W175" i="123"/>
  <c r="U175" i="123"/>
  <c r="S175" i="123"/>
  <c r="R175" i="123"/>
  <c r="Q175" i="123"/>
  <c r="P175" i="123"/>
  <c r="N175" i="123"/>
  <c r="AN174" i="123"/>
  <c r="AM174" i="123"/>
  <c r="AG174" i="123"/>
  <c r="AD174" i="123"/>
  <c r="AH174" i="123" s="1"/>
  <c r="W174" i="123"/>
  <c r="U174" i="123"/>
  <c r="S174" i="123"/>
  <c r="R174" i="123"/>
  <c r="Q174" i="123"/>
  <c r="P174" i="123"/>
  <c r="N174" i="123"/>
  <c r="AN173" i="123"/>
  <c r="AM173" i="123"/>
  <c r="AG173" i="123"/>
  <c r="AD173" i="123"/>
  <c r="W173" i="123"/>
  <c r="U173" i="123"/>
  <c r="S173" i="123"/>
  <c r="R173" i="123"/>
  <c r="Q173" i="123"/>
  <c r="P173" i="123"/>
  <c r="N173" i="123"/>
  <c r="AN172" i="123"/>
  <c r="AM172" i="123"/>
  <c r="AG172" i="123"/>
  <c r="AD172" i="123"/>
  <c r="AH172" i="123" s="1"/>
  <c r="W172" i="123"/>
  <c r="U172" i="123"/>
  <c r="S172" i="123"/>
  <c r="R172" i="123"/>
  <c r="Q172" i="123"/>
  <c r="P172" i="123"/>
  <c r="N172" i="123"/>
  <c r="AN171" i="123"/>
  <c r="AM171" i="123"/>
  <c r="AG171" i="123"/>
  <c r="AD171" i="123"/>
  <c r="W171" i="123"/>
  <c r="U171" i="123"/>
  <c r="X171" i="123" s="1"/>
  <c r="S171" i="123"/>
  <c r="R171" i="123"/>
  <c r="Q171" i="123"/>
  <c r="P171" i="123"/>
  <c r="N171" i="123"/>
  <c r="AN170" i="123"/>
  <c r="AM170" i="123"/>
  <c r="AG170" i="123"/>
  <c r="AD170" i="123"/>
  <c r="W170" i="123"/>
  <c r="U170" i="123"/>
  <c r="S170" i="123"/>
  <c r="R170" i="123"/>
  <c r="Q170" i="123"/>
  <c r="P170" i="123"/>
  <c r="N170" i="123"/>
  <c r="AN169" i="123"/>
  <c r="AM169" i="123"/>
  <c r="AG169" i="123"/>
  <c r="AD169" i="123"/>
  <c r="AH169" i="123" s="1"/>
  <c r="W169" i="123"/>
  <c r="U169" i="123"/>
  <c r="S169" i="123"/>
  <c r="R169" i="123"/>
  <c r="Q169" i="123"/>
  <c r="P169" i="123"/>
  <c r="N169" i="123"/>
  <c r="AN168" i="123"/>
  <c r="AM168" i="123"/>
  <c r="AG168" i="123"/>
  <c r="AD168" i="123"/>
  <c r="W168" i="123"/>
  <c r="U168" i="123"/>
  <c r="S168" i="123"/>
  <c r="R168" i="123"/>
  <c r="Q168" i="123"/>
  <c r="P168" i="123"/>
  <c r="N168" i="123"/>
  <c r="AN167" i="123"/>
  <c r="AM167" i="123"/>
  <c r="AG167" i="123"/>
  <c r="AD167" i="123"/>
  <c r="W167" i="123"/>
  <c r="U167" i="123"/>
  <c r="S167" i="123"/>
  <c r="R167" i="123"/>
  <c r="Q167" i="123"/>
  <c r="P167" i="123"/>
  <c r="N167" i="123"/>
  <c r="AN166" i="123"/>
  <c r="AM166" i="123"/>
  <c r="AG166" i="123"/>
  <c r="AD166" i="123"/>
  <c r="W166" i="123"/>
  <c r="U166" i="123"/>
  <c r="S166" i="123"/>
  <c r="R166" i="123"/>
  <c r="Q166" i="123"/>
  <c r="P166" i="123"/>
  <c r="N166" i="123"/>
  <c r="AN165" i="123"/>
  <c r="AM165" i="123"/>
  <c r="AG165" i="123"/>
  <c r="AD165" i="123"/>
  <c r="W165" i="123"/>
  <c r="U165" i="123"/>
  <c r="S165" i="123"/>
  <c r="R165" i="123"/>
  <c r="Q165" i="123"/>
  <c r="P165" i="123"/>
  <c r="N165" i="123"/>
  <c r="AG164" i="123"/>
  <c r="AD164" i="123"/>
  <c r="W164" i="123"/>
  <c r="U164" i="123"/>
  <c r="X164" i="123" s="1"/>
  <c r="S164" i="123"/>
  <c r="R164" i="123"/>
  <c r="Q164" i="123"/>
  <c r="P164" i="123"/>
  <c r="N164" i="123"/>
  <c r="AG163" i="123"/>
  <c r="AD163" i="123"/>
  <c r="W163" i="123"/>
  <c r="U163" i="123"/>
  <c r="S163" i="123"/>
  <c r="R163" i="123"/>
  <c r="Q163" i="123"/>
  <c r="P163" i="123"/>
  <c r="N163" i="123"/>
  <c r="AG162" i="123"/>
  <c r="AD162" i="123"/>
  <c r="AH162" i="123" s="1"/>
  <c r="W162" i="123"/>
  <c r="U162" i="123"/>
  <c r="S162" i="123"/>
  <c r="R162" i="123"/>
  <c r="Q162" i="123"/>
  <c r="P162" i="123"/>
  <c r="N162" i="123"/>
  <c r="AG161" i="123"/>
  <c r="AD161" i="123"/>
  <c r="W161" i="123"/>
  <c r="U161" i="123"/>
  <c r="S161" i="123"/>
  <c r="R161" i="123"/>
  <c r="Q161" i="123"/>
  <c r="P161" i="123"/>
  <c r="N161" i="123"/>
  <c r="AG160" i="123"/>
  <c r="AD160" i="123"/>
  <c r="W160" i="123"/>
  <c r="U160" i="123"/>
  <c r="S160" i="123"/>
  <c r="R160" i="123"/>
  <c r="Q160" i="123"/>
  <c r="P160" i="123"/>
  <c r="N160" i="123"/>
  <c r="AG159" i="123"/>
  <c r="AD159" i="123"/>
  <c r="W159" i="123"/>
  <c r="U159" i="123"/>
  <c r="S159" i="123"/>
  <c r="R159" i="123"/>
  <c r="Q159" i="123"/>
  <c r="P159" i="123"/>
  <c r="N159" i="123"/>
  <c r="AG158" i="123"/>
  <c r="AD158" i="123"/>
  <c r="W158" i="123"/>
  <c r="U158" i="123"/>
  <c r="S158" i="123"/>
  <c r="R158" i="123"/>
  <c r="Q158" i="123"/>
  <c r="P158" i="123"/>
  <c r="N158" i="123"/>
  <c r="AG157" i="123"/>
  <c r="AD157" i="123"/>
  <c r="W157" i="123"/>
  <c r="U157" i="123"/>
  <c r="X157" i="123" s="1"/>
  <c r="S157" i="123"/>
  <c r="R157" i="123"/>
  <c r="Q157" i="123"/>
  <c r="P157" i="123"/>
  <c r="N157" i="123"/>
  <c r="AG156" i="123"/>
  <c r="AD156" i="123"/>
  <c r="W156" i="123"/>
  <c r="U156" i="123"/>
  <c r="S156" i="123"/>
  <c r="R156" i="123"/>
  <c r="Q156" i="123"/>
  <c r="P156" i="123"/>
  <c r="N156" i="123"/>
  <c r="AG155" i="123"/>
  <c r="AD155" i="123"/>
  <c r="W155" i="123"/>
  <c r="U155" i="123"/>
  <c r="S155" i="123"/>
  <c r="R155" i="123"/>
  <c r="Q155" i="123"/>
  <c r="P155" i="123"/>
  <c r="N155" i="123"/>
  <c r="AG154" i="123"/>
  <c r="AD154" i="123"/>
  <c r="AH154" i="123" s="1"/>
  <c r="W154" i="123"/>
  <c r="U154" i="123"/>
  <c r="X154" i="123" s="1"/>
  <c r="S154" i="123"/>
  <c r="R154" i="123"/>
  <c r="Q154" i="123"/>
  <c r="P154" i="123"/>
  <c r="N154" i="123"/>
  <c r="AG153" i="123"/>
  <c r="AD153" i="123"/>
  <c r="W153" i="123"/>
  <c r="U153" i="123"/>
  <c r="S153" i="123"/>
  <c r="R153" i="123"/>
  <c r="Q153" i="123"/>
  <c r="P153" i="123"/>
  <c r="N153" i="123"/>
  <c r="AG152" i="123"/>
  <c r="AD152" i="123"/>
  <c r="AH152" i="123" s="1"/>
  <c r="W152" i="123"/>
  <c r="U152" i="123"/>
  <c r="S152" i="123"/>
  <c r="R152" i="123"/>
  <c r="Q152" i="123"/>
  <c r="P152" i="123"/>
  <c r="N152" i="123"/>
  <c r="AG151" i="123"/>
  <c r="AD151" i="123"/>
  <c r="W151" i="123"/>
  <c r="U151" i="123"/>
  <c r="S151" i="123"/>
  <c r="R151" i="123"/>
  <c r="Q151" i="123"/>
  <c r="P151" i="123"/>
  <c r="N151" i="123"/>
  <c r="AG150" i="123"/>
  <c r="AD150" i="123"/>
  <c r="W150" i="123"/>
  <c r="U150" i="123"/>
  <c r="S150" i="123"/>
  <c r="R150" i="123"/>
  <c r="Q150" i="123"/>
  <c r="P150" i="123"/>
  <c r="N150" i="123"/>
  <c r="AG149" i="123"/>
  <c r="AD149" i="123"/>
  <c r="W149" i="123"/>
  <c r="U149" i="123"/>
  <c r="S149" i="123"/>
  <c r="R149" i="123"/>
  <c r="Q149" i="123"/>
  <c r="P149" i="123"/>
  <c r="N149" i="123"/>
  <c r="AG148" i="123"/>
  <c r="AH148" i="123" s="1"/>
  <c r="AD148" i="123"/>
  <c r="W148" i="123"/>
  <c r="U148" i="123"/>
  <c r="S148" i="123"/>
  <c r="R148" i="123"/>
  <c r="Q148" i="123"/>
  <c r="P148" i="123"/>
  <c r="N148" i="123"/>
  <c r="AG147" i="123"/>
  <c r="AD147" i="123"/>
  <c r="W147" i="123"/>
  <c r="U147" i="123"/>
  <c r="S147" i="123"/>
  <c r="R147" i="123"/>
  <c r="Q147" i="123"/>
  <c r="P147" i="123"/>
  <c r="N147" i="123"/>
  <c r="AG146" i="123"/>
  <c r="AD146" i="123"/>
  <c r="W146" i="123"/>
  <c r="U146" i="123"/>
  <c r="X146" i="123" s="1"/>
  <c r="Y146" i="123" s="1"/>
  <c r="S146" i="123"/>
  <c r="R146" i="123"/>
  <c r="Q146" i="123"/>
  <c r="P146" i="123"/>
  <c r="N146" i="123"/>
  <c r="AG145" i="123"/>
  <c r="AD145" i="123"/>
  <c r="W145" i="123"/>
  <c r="U145" i="123"/>
  <c r="S145" i="123"/>
  <c r="R145" i="123"/>
  <c r="Q145" i="123"/>
  <c r="P145" i="123"/>
  <c r="N145" i="123"/>
  <c r="AG144" i="123"/>
  <c r="AD144" i="123"/>
  <c r="W144" i="123"/>
  <c r="U144" i="123"/>
  <c r="S144" i="123"/>
  <c r="R144" i="123"/>
  <c r="Q144" i="123"/>
  <c r="P144" i="123"/>
  <c r="N144" i="123"/>
  <c r="AG143" i="123"/>
  <c r="AD143" i="123"/>
  <c r="W143" i="123"/>
  <c r="U143" i="123"/>
  <c r="S143" i="123"/>
  <c r="R143" i="123"/>
  <c r="Q143" i="123"/>
  <c r="P143" i="123"/>
  <c r="N143" i="123"/>
  <c r="AG142" i="123"/>
  <c r="AD142" i="123"/>
  <c r="W142" i="123"/>
  <c r="U142" i="123"/>
  <c r="S142" i="123"/>
  <c r="R142" i="123"/>
  <c r="Q142" i="123"/>
  <c r="P142" i="123"/>
  <c r="N142" i="123"/>
  <c r="AG141" i="123"/>
  <c r="AD141" i="123"/>
  <c r="W141" i="123"/>
  <c r="U141" i="123"/>
  <c r="S141" i="123"/>
  <c r="R141" i="123"/>
  <c r="Q141" i="123"/>
  <c r="P141" i="123"/>
  <c r="N141" i="123"/>
  <c r="AG140" i="123"/>
  <c r="AD140" i="123"/>
  <c r="W140" i="123"/>
  <c r="U140" i="123"/>
  <c r="S140" i="123"/>
  <c r="R140" i="123"/>
  <c r="Q140" i="123"/>
  <c r="P140" i="123"/>
  <c r="N140" i="123"/>
  <c r="AG139" i="123"/>
  <c r="AD139" i="123"/>
  <c r="W139" i="123"/>
  <c r="U139" i="123"/>
  <c r="X139" i="123" s="1"/>
  <c r="S139" i="123"/>
  <c r="R139" i="123"/>
  <c r="Q139" i="123"/>
  <c r="P139" i="123"/>
  <c r="N139" i="123"/>
  <c r="AG138" i="123"/>
  <c r="AD138" i="123"/>
  <c r="W138" i="123"/>
  <c r="U138" i="123"/>
  <c r="S138" i="123"/>
  <c r="R138" i="123"/>
  <c r="Q138" i="123"/>
  <c r="P138" i="123"/>
  <c r="N138" i="123"/>
  <c r="AG137" i="123"/>
  <c r="AD137" i="123"/>
  <c r="W137" i="123"/>
  <c r="U137" i="123"/>
  <c r="S137" i="123"/>
  <c r="R137" i="123"/>
  <c r="Q137" i="123"/>
  <c r="P137" i="123"/>
  <c r="N137" i="123"/>
  <c r="AG136" i="123"/>
  <c r="AD136" i="123"/>
  <c r="W136" i="123"/>
  <c r="U136" i="123"/>
  <c r="S136" i="123"/>
  <c r="R136" i="123"/>
  <c r="Q136" i="123"/>
  <c r="P136" i="123"/>
  <c r="N136" i="123"/>
  <c r="AG135" i="123"/>
  <c r="AD135" i="123"/>
  <c r="W135" i="123"/>
  <c r="U135" i="123"/>
  <c r="X135" i="123" s="1"/>
  <c r="S135" i="123"/>
  <c r="R135" i="123"/>
  <c r="Q135" i="123"/>
  <c r="P135" i="123"/>
  <c r="N135" i="123"/>
  <c r="AG134" i="123"/>
  <c r="AD134" i="123"/>
  <c r="W134" i="123"/>
  <c r="X134" i="123" s="1"/>
  <c r="U134" i="123"/>
  <c r="S134" i="123"/>
  <c r="R134" i="123"/>
  <c r="Q134" i="123"/>
  <c r="P134" i="123"/>
  <c r="N134" i="123"/>
  <c r="AG133" i="123"/>
  <c r="AD133" i="123"/>
  <c r="W133" i="123"/>
  <c r="U133" i="123"/>
  <c r="S133" i="123"/>
  <c r="R133" i="123"/>
  <c r="Q133" i="123"/>
  <c r="P133" i="123"/>
  <c r="N133" i="123"/>
  <c r="AG132" i="123"/>
  <c r="AH132" i="123" s="1"/>
  <c r="AD132" i="123"/>
  <c r="W132" i="123"/>
  <c r="U132" i="123"/>
  <c r="X132" i="123" s="1"/>
  <c r="S132" i="123"/>
  <c r="R132" i="123"/>
  <c r="Q132" i="123"/>
  <c r="P132" i="123"/>
  <c r="N132" i="123"/>
  <c r="AG131" i="123"/>
  <c r="AD131" i="123"/>
  <c r="W131" i="123"/>
  <c r="U131" i="123"/>
  <c r="X131" i="123" s="1"/>
  <c r="S131" i="123"/>
  <c r="R131" i="123"/>
  <c r="Q131" i="123"/>
  <c r="P131" i="123"/>
  <c r="N131" i="123"/>
  <c r="AG130" i="123"/>
  <c r="AD130" i="123"/>
  <c r="W130" i="123"/>
  <c r="U130" i="123"/>
  <c r="X130" i="123" s="1"/>
  <c r="Y130" i="123" s="1"/>
  <c r="S130" i="123"/>
  <c r="R130" i="123"/>
  <c r="Q130" i="123"/>
  <c r="P130" i="123"/>
  <c r="N130" i="123"/>
  <c r="AG129" i="123"/>
  <c r="AD129" i="123"/>
  <c r="W129" i="123"/>
  <c r="U129" i="123"/>
  <c r="S129" i="123"/>
  <c r="R129" i="123"/>
  <c r="Q129" i="123"/>
  <c r="P129" i="123"/>
  <c r="N129" i="123"/>
  <c r="AG128" i="123"/>
  <c r="AD128" i="123"/>
  <c r="W128" i="123"/>
  <c r="U128" i="123"/>
  <c r="S128" i="123"/>
  <c r="R128" i="123"/>
  <c r="Q128" i="123"/>
  <c r="P128" i="123"/>
  <c r="N128" i="123"/>
  <c r="AN127" i="123"/>
  <c r="AG127" i="123"/>
  <c r="AD127" i="123"/>
  <c r="W127" i="123"/>
  <c r="U127" i="123"/>
  <c r="S127" i="123"/>
  <c r="R127" i="123"/>
  <c r="Q127" i="123"/>
  <c r="P127" i="123"/>
  <c r="N127" i="123"/>
  <c r="AN126" i="123"/>
  <c r="AG126" i="123"/>
  <c r="AD126" i="123"/>
  <c r="W126" i="123"/>
  <c r="U126" i="123"/>
  <c r="S126" i="123"/>
  <c r="R126" i="123"/>
  <c r="Q126" i="123"/>
  <c r="P126" i="123"/>
  <c r="N126" i="123"/>
  <c r="AN125" i="123"/>
  <c r="AG125" i="123"/>
  <c r="AD125" i="123"/>
  <c r="AH125" i="123" s="1"/>
  <c r="W125" i="123"/>
  <c r="U125" i="123"/>
  <c r="X125" i="123" s="1"/>
  <c r="S125" i="123"/>
  <c r="R125" i="123"/>
  <c r="Q125" i="123"/>
  <c r="P125" i="123"/>
  <c r="N125" i="123"/>
  <c r="AN124" i="123"/>
  <c r="AG124" i="123"/>
  <c r="AD124" i="123"/>
  <c r="W124" i="123"/>
  <c r="U124" i="123"/>
  <c r="S124" i="123"/>
  <c r="R124" i="123"/>
  <c r="Q124" i="123"/>
  <c r="P124" i="123"/>
  <c r="N124" i="123"/>
  <c r="AN123" i="123"/>
  <c r="AG123" i="123"/>
  <c r="AD123" i="123"/>
  <c r="W123" i="123"/>
  <c r="U123" i="123"/>
  <c r="S123" i="123"/>
  <c r="R123" i="123"/>
  <c r="Q123" i="123"/>
  <c r="P123" i="123"/>
  <c r="N123" i="123"/>
  <c r="AN122" i="123"/>
  <c r="AG122" i="123"/>
  <c r="AD122" i="123"/>
  <c r="W122" i="123"/>
  <c r="U122" i="123"/>
  <c r="S122" i="123"/>
  <c r="R122" i="123"/>
  <c r="Q122" i="123"/>
  <c r="P122" i="123"/>
  <c r="N122" i="123"/>
  <c r="AN121" i="123"/>
  <c r="AG121" i="123"/>
  <c r="AD121" i="123"/>
  <c r="W121" i="123"/>
  <c r="U121" i="123"/>
  <c r="S121" i="123"/>
  <c r="R121" i="123"/>
  <c r="Q121" i="123"/>
  <c r="P121" i="123"/>
  <c r="N121" i="123"/>
  <c r="AN120" i="123"/>
  <c r="AG120" i="123"/>
  <c r="AD120" i="123"/>
  <c r="W120" i="123"/>
  <c r="U120" i="123"/>
  <c r="S120" i="123"/>
  <c r="R120" i="123"/>
  <c r="Q120" i="123"/>
  <c r="P120" i="123"/>
  <c r="N120" i="123"/>
  <c r="AN119" i="123"/>
  <c r="AG119" i="123"/>
  <c r="AD119" i="123"/>
  <c r="W119" i="123"/>
  <c r="U119" i="123"/>
  <c r="S119" i="123"/>
  <c r="R119" i="123"/>
  <c r="Q119" i="123"/>
  <c r="P119" i="123"/>
  <c r="N119" i="123"/>
  <c r="AN118" i="123"/>
  <c r="AG118" i="123"/>
  <c r="AD118" i="123"/>
  <c r="W118" i="123"/>
  <c r="U118" i="123"/>
  <c r="S118" i="123"/>
  <c r="R118" i="123"/>
  <c r="Q118" i="123"/>
  <c r="P118" i="123"/>
  <c r="N118" i="123"/>
  <c r="AN117" i="123"/>
  <c r="AG117" i="123"/>
  <c r="AD117" i="123"/>
  <c r="W117" i="123"/>
  <c r="U117" i="123"/>
  <c r="S117" i="123"/>
  <c r="R117" i="123"/>
  <c r="Q117" i="123"/>
  <c r="P117" i="123"/>
  <c r="N117" i="123"/>
  <c r="AN116" i="123"/>
  <c r="AG116" i="123"/>
  <c r="AD116" i="123"/>
  <c r="W116" i="123"/>
  <c r="U116" i="123"/>
  <c r="S116" i="123"/>
  <c r="R116" i="123"/>
  <c r="Q116" i="123"/>
  <c r="P116" i="123"/>
  <c r="N116" i="123"/>
  <c r="AQ115" i="123" a="1"/>
  <c r="AQ115" i="123" s="1"/>
  <c r="AN115" i="123"/>
  <c r="AM115" i="123"/>
  <c r="AG115" i="123"/>
  <c r="AD115" i="123"/>
  <c r="W115" i="123"/>
  <c r="U115" i="123"/>
  <c r="X115" i="123" s="1"/>
  <c r="S115" i="123"/>
  <c r="R115" i="123"/>
  <c r="Q115" i="123"/>
  <c r="P115" i="123"/>
  <c r="N115" i="123"/>
  <c r="AN114" i="123"/>
  <c r="AM114" i="123"/>
  <c r="AG114" i="123"/>
  <c r="AD114" i="123"/>
  <c r="W114" i="123"/>
  <c r="U114" i="123"/>
  <c r="S114" i="123"/>
  <c r="R114" i="123"/>
  <c r="Q114" i="123"/>
  <c r="P114" i="123"/>
  <c r="N114" i="123"/>
  <c r="AQ113" i="123" a="1"/>
  <c r="AQ113" i="123" s="1"/>
  <c r="AN113" i="123"/>
  <c r="AM113" i="123"/>
  <c r="AG113" i="123"/>
  <c r="AD113" i="123"/>
  <c r="W113" i="123"/>
  <c r="U113" i="123"/>
  <c r="S113" i="123"/>
  <c r="R113" i="123"/>
  <c r="Q113" i="123"/>
  <c r="P113" i="123"/>
  <c r="N113" i="123"/>
  <c r="AN112" i="123"/>
  <c r="AM112" i="123"/>
  <c r="AG112" i="123"/>
  <c r="AD112" i="123"/>
  <c r="W112" i="123"/>
  <c r="U112" i="123"/>
  <c r="X112" i="123" s="1"/>
  <c r="S112" i="123"/>
  <c r="R112" i="123"/>
  <c r="Q112" i="123"/>
  <c r="P112" i="123"/>
  <c r="N112" i="123"/>
  <c r="AN111" i="123"/>
  <c r="AM111" i="123"/>
  <c r="AG111" i="123"/>
  <c r="AD111" i="123"/>
  <c r="AH111" i="123" s="1"/>
  <c r="W111" i="123"/>
  <c r="U111" i="123"/>
  <c r="S111" i="123"/>
  <c r="R111" i="123"/>
  <c r="Q111" i="123"/>
  <c r="P111" i="123"/>
  <c r="N111" i="123"/>
  <c r="AN110" i="123"/>
  <c r="AM110" i="123"/>
  <c r="AG110" i="123"/>
  <c r="AD110" i="123"/>
  <c r="W110" i="123"/>
  <c r="U110" i="123"/>
  <c r="S110" i="123"/>
  <c r="R110" i="123"/>
  <c r="Q110" i="123"/>
  <c r="P110" i="123"/>
  <c r="N110" i="123"/>
  <c r="AN109" i="123"/>
  <c r="AM109" i="123"/>
  <c r="AG109" i="123"/>
  <c r="AD109" i="123"/>
  <c r="W109" i="123"/>
  <c r="U109" i="123"/>
  <c r="S109" i="123"/>
  <c r="R109" i="123"/>
  <c r="Q109" i="123"/>
  <c r="P109" i="123"/>
  <c r="N109" i="123"/>
  <c r="AN108" i="123"/>
  <c r="AM108" i="123"/>
  <c r="AG108" i="123"/>
  <c r="AD108" i="123"/>
  <c r="W108" i="123"/>
  <c r="U108" i="123"/>
  <c r="S108" i="123"/>
  <c r="R108" i="123"/>
  <c r="Q108" i="123"/>
  <c r="P108" i="123"/>
  <c r="N108" i="123"/>
  <c r="AG107" i="123"/>
  <c r="AD107" i="123"/>
  <c r="W107" i="123"/>
  <c r="U107" i="123"/>
  <c r="X107" i="123" s="1"/>
  <c r="Y107" i="123" s="1"/>
  <c r="S107" i="123"/>
  <c r="R107" i="123"/>
  <c r="Q107" i="123"/>
  <c r="P107" i="123"/>
  <c r="N107" i="123"/>
  <c r="G107" i="123"/>
  <c r="AG106" i="123"/>
  <c r="AD106" i="123"/>
  <c r="W106" i="123"/>
  <c r="U106" i="123"/>
  <c r="S106" i="123"/>
  <c r="R106" i="123"/>
  <c r="Q106" i="123"/>
  <c r="P106" i="123"/>
  <c r="N106" i="123"/>
  <c r="G106" i="123"/>
  <c r="AG105" i="123"/>
  <c r="AD105" i="123"/>
  <c r="W105" i="123"/>
  <c r="U105" i="123"/>
  <c r="S105" i="123"/>
  <c r="R105" i="123"/>
  <c r="Q105" i="123"/>
  <c r="P105" i="123"/>
  <c r="N105" i="123"/>
  <c r="G105" i="123"/>
  <c r="AG104" i="123"/>
  <c r="AD104" i="123"/>
  <c r="AH104" i="123" s="1"/>
  <c r="W104" i="123"/>
  <c r="U104" i="123"/>
  <c r="X104" i="123" s="1"/>
  <c r="S104" i="123"/>
  <c r="R104" i="123"/>
  <c r="Q104" i="123"/>
  <c r="P104" i="123"/>
  <c r="N104" i="123"/>
  <c r="G104" i="123"/>
  <c r="AG103" i="123"/>
  <c r="AD103" i="123"/>
  <c r="W103" i="123"/>
  <c r="U103" i="123"/>
  <c r="S103" i="123"/>
  <c r="R103" i="123"/>
  <c r="Q103" i="123"/>
  <c r="P103" i="123"/>
  <c r="N103" i="123"/>
  <c r="G103" i="123"/>
  <c r="AG102" i="123"/>
  <c r="AD102" i="123"/>
  <c r="W102" i="123"/>
  <c r="U102" i="123"/>
  <c r="S102" i="123"/>
  <c r="R102" i="123"/>
  <c r="Q102" i="123"/>
  <c r="P102" i="123"/>
  <c r="N102" i="123"/>
  <c r="G102" i="123"/>
  <c r="AN101" i="123"/>
  <c r="AM101" i="123"/>
  <c r="AG101" i="123"/>
  <c r="AD101" i="123"/>
  <c r="W101" i="123"/>
  <c r="U101" i="123"/>
  <c r="X101" i="123" s="1"/>
  <c r="S101" i="123"/>
  <c r="R101" i="123"/>
  <c r="Q101" i="123"/>
  <c r="P101" i="123"/>
  <c r="N101" i="123"/>
  <c r="G101" i="123"/>
  <c r="AN100" i="123"/>
  <c r="AM100" i="123"/>
  <c r="AG100" i="123"/>
  <c r="AD100" i="123"/>
  <c r="W100" i="123"/>
  <c r="U100" i="123"/>
  <c r="X100" i="123" s="1"/>
  <c r="Y100" i="123" s="1"/>
  <c r="S100" i="123"/>
  <c r="R100" i="123"/>
  <c r="Q100" i="123"/>
  <c r="P100" i="123"/>
  <c r="N100" i="123"/>
  <c r="G100" i="123"/>
  <c r="AN99" i="123"/>
  <c r="AM99" i="123"/>
  <c r="AG99" i="123"/>
  <c r="AD99" i="123"/>
  <c r="AH99" i="123" s="1"/>
  <c r="W99" i="123"/>
  <c r="U99" i="123"/>
  <c r="S99" i="123"/>
  <c r="R99" i="123"/>
  <c r="Q99" i="123"/>
  <c r="P99" i="123"/>
  <c r="N99" i="123"/>
  <c r="G99" i="123"/>
  <c r="AN98" i="123"/>
  <c r="AM98" i="123"/>
  <c r="AG98" i="123"/>
  <c r="AD98" i="123"/>
  <c r="W98" i="123"/>
  <c r="U98" i="123"/>
  <c r="S98" i="123"/>
  <c r="R98" i="123"/>
  <c r="Q98" i="123"/>
  <c r="P98" i="123"/>
  <c r="N98" i="123"/>
  <c r="G98" i="123"/>
  <c r="AN97" i="123"/>
  <c r="AM97" i="123"/>
  <c r="AG97" i="123"/>
  <c r="AD97" i="123"/>
  <c r="AH97" i="123" s="1"/>
  <c r="W97" i="123"/>
  <c r="U97" i="123"/>
  <c r="S97" i="123"/>
  <c r="R97" i="123"/>
  <c r="Q97" i="123"/>
  <c r="P97" i="123"/>
  <c r="N97" i="123"/>
  <c r="G97" i="123"/>
  <c r="AN96" i="123"/>
  <c r="AM96" i="123"/>
  <c r="AG96" i="123"/>
  <c r="AD96" i="123"/>
  <c r="W96" i="123"/>
  <c r="U96" i="123"/>
  <c r="X96" i="123" s="1"/>
  <c r="S96" i="123"/>
  <c r="R96" i="123"/>
  <c r="Q96" i="123"/>
  <c r="P96" i="123"/>
  <c r="N96" i="123"/>
  <c r="G96" i="123"/>
  <c r="AN95" i="123"/>
  <c r="AM95" i="123"/>
  <c r="AG95" i="123"/>
  <c r="AD95" i="123"/>
  <c r="AH95" i="123" s="1"/>
  <c r="W95" i="123"/>
  <c r="U95" i="123"/>
  <c r="S95" i="123"/>
  <c r="R95" i="123"/>
  <c r="Q95" i="123"/>
  <c r="P95" i="123"/>
  <c r="N95" i="123"/>
  <c r="G95" i="123"/>
  <c r="AN94" i="123"/>
  <c r="AM94" i="123"/>
  <c r="AG94" i="123"/>
  <c r="AD94" i="123"/>
  <c r="W94" i="123"/>
  <c r="U94" i="123"/>
  <c r="X94" i="123" s="1"/>
  <c r="S94" i="123"/>
  <c r="R94" i="123"/>
  <c r="Q94" i="123"/>
  <c r="P94" i="123"/>
  <c r="N94" i="123"/>
  <c r="G94" i="123"/>
  <c r="AG93" i="123"/>
  <c r="AD93" i="123"/>
  <c r="W93" i="123"/>
  <c r="U93" i="123"/>
  <c r="S93" i="123"/>
  <c r="R93" i="123"/>
  <c r="Q93" i="123"/>
  <c r="P93" i="123"/>
  <c r="N93" i="123"/>
  <c r="G93" i="123"/>
  <c r="AG92" i="123"/>
  <c r="AD92" i="123"/>
  <c r="W92" i="123"/>
  <c r="U92" i="123"/>
  <c r="S92" i="123"/>
  <c r="R92" i="123"/>
  <c r="Q92" i="123"/>
  <c r="P92" i="123"/>
  <c r="N92" i="123"/>
  <c r="G92" i="123"/>
  <c r="AN91" i="123"/>
  <c r="AM91" i="123"/>
  <c r="AG91" i="123"/>
  <c r="AD91" i="123"/>
  <c r="W91" i="123"/>
  <c r="U91" i="123"/>
  <c r="X91" i="123" s="1"/>
  <c r="Y91" i="123" s="1"/>
  <c r="S91" i="123"/>
  <c r="R91" i="123"/>
  <c r="Q91" i="123"/>
  <c r="P91" i="123"/>
  <c r="N91" i="123"/>
  <c r="G91" i="123"/>
  <c r="AN90" i="123"/>
  <c r="AM90" i="123"/>
  <c r="AG90" i="123"/>
  <c r="AD90" i="123"/>
  <c r="W90" i="123"/>
  <c r="U90" i="123"/>
  <c r="X90" i="123" s="1"/>
  <c r="S90" i="123"/>
  <c r="R90" i="123"/>
  <c r="Q90" i="123"/>
  <c r="P90" i="123"/>
  <c r="N90" i="123"/>
  <c r="G90" i="123"/>
  <c r="AN89" i="123"/>
  <c r="AM89" i="123"/>
  <c r="AG89" i="123"/>
  <c r="AD89" i="123"/>
  <c r="W89" i="123"/>
  <c r="U89" i="123"/>
  <c r="X89" i="123" s="1"/>
  <c r="Y89" i="123" s="1"/>
  <c r="S89" i="123"/>
  <c r="R89" i="123"/>
  <c r="Q89" i="123"/>
  <c r="P89" i="123"/>
  <c r="N89" i="123"/>
  <c r="AN88" i="123"/>
  <c r="AM88" i="123"/>
  <c r="AG88" i="123"/>
  <c r="AD88" i="123"/>
  <c r="W88" i="123"/>
  <c r="U88" i="123"/>
  <c r="S88" i="123"/>
  <c r="R88" i="123"/>
  <c r="Q88" i="123"/>
  <c r="P88" i="123"/>
  <c r="N88" i="123"/>
  <c r="AN87" i="123"/>
  <c r="AM87" i="123"/>
  <c r="AG87" i="123"/>
  <c r="AD87" i="123"/>
  <c r="W87" i="123"/>
  <c r="U87" i="123"/>
  <c r="S87" i="123"/>
  <c r="R87" i="123"/>
  <c r="Q87" i="123"/>
  <c r="P87" i="123"/>
  <c r="N87" i="123"/>
  <c r="AN86" i="123"/>
  <c r="AM86" i="123"/>
  <c r="AG86" i="123"/>
  <c r="AD86" i="123"/>
  <c r="W86" i="123"/>
  <c r="U86" i="123"/>
  <c r="S86" i="123"/>
  <c r="R86" i="123"/>
  <c r="Q86" i="123"/>
  <c r="P86" i="123"/>
  <c r="N86" i="123"/>
  <c r="AN85" i="123"/>
  <c r="AM85" i="123"/>
  <c r="AG85" i="123"/>
  <c r="AD85" i="123"/>
  <c r="W85" i="123"/>
  <c r="U85" i="123"/>
  <c r="X85" i="123" s="1"/>
  <c r="S85" i="123"/>
  <c r="R85" i="123"/>
  <c r="Q85" i="123"/>
  <c r="P85" i="123"/>
  <c r="N85" i="123"/>
  <c r="AN84" i="123"/>
  <c r="AM84" i="123"/>
  <c r="AG84" i="123"/>
  <c r="AD84" i="123"/>
  <c r="W84" i="123"/>
  <c r="U84" i="123"/>
  <c r="X84" i="123" s="1"/>
  <c r="S84" i="123"/>
  <c r="R84" i="123"/>
  <c r="Q84" i="123"/>
  <c r="P84" i="123"/>
  <c r="N84" i="123"/>
  <c r="AN83" i="123"/>
  <c r="AM83" i="123"/>
  <c r="AG83" i="123"/>
  <c r="AD83" i="123"/>
  <c r="W83" i="123"/>
  <c r="U83" i="123"/>
  <c r="S83" i="123"/>
  <c r="R83" i="123"/>
  <c r="Q83" i="123"/>
  <c r="P83" i="123"/>
  <c r="N83" i="123"/>
  <c r="AN82" i="123"/>
  <c r="AM82" i="123"/>
  <c r="AG82" i="123"/>
  <c r="AD82" i="123"/>
  <c r="W82" i="123"/>
  <c r="U82" i="123"/>
  <c r="S82" i="123"/>
  <c r="R82" i="123"/>
  <c r="Q82" i="123"/>
  <c r="P82" i="123"/>
  <c r="N82" i="123"/>
  <c r="AN81" i="123"/>
  <c r="AM81" i="123"/>
  <c r="AG81" i="123"/>
  <c r="AD81" i="123"/>
  <c r="W81" i="123"/>
  <c r="U81" i="123"/>
  <c r="X81" i="123" s="1"/>
  <c r="Y81" i="123" s="1"/>
  <c r="S81" i="123"/>
  <c r="R81" i="123"/>
  <c r="Q81" i="123"/>
  <c r="P81" i="123"/>
  <c r="N81" i="123"/>
  <c r="AN80" i="123"/>
  <c r="AM80" i="123"/>
  <c r="AG80" i="123"/>
  <c r="AD80" i="123"/>
  <c r="W80" i="123"/>
  <c r="U80" i="123"/>
  <c r="S80" i="123"/>
  <c r="R80" i="123"/>
  <c r="Q80" i="123"/>
  <c r="P80" i="123"/>
  <c r="N80" i="123"/>
  <c r="AN79" i="123"/>
  <c r="AM79" i="123"/>
  <c r="AG79" i="123"/>
  <c r="AD79" i="123"/>
  <c r="W79" i="123"/>
  <c r="U79" i="123"/>
  <c r="S79" i="123"/>
  <c r="R79" i="123"/>
  <c r="Q79" i="123"/>
  <c r="P79" i="123"/>
  <c r="N79" i="123"/>
  <c r="AN78" i="123"/>
  <c r="AM78" i="123"/>
  <c r="AG78" i="123"/>
  <c r="AD78" i="123"/>
  <c r="W78" i="123"/>
  <c r="U78" i="123"/>
  <c r="S78" i="123"/>
  <c r="R78" i="123"/>
  <c r="Q78" i="123"/>
  <c r="P78" i="123"/>
  <c r="N78" i="123"/>
  <c r="AN77" i="123"/>
  <c r="AM77" i="123"/>
  <c r="AG77" i="123"/>
  <c r="AD77" i="123"/>
  <c r="W77" i="123"/>
  <c r="U77" i="123"/>
  <c r="X77" i="123" s="1"/>
  <c r="S77" i="123"/>
  <c r="R77" i="123"/>
  <c r="Q77" i="123"/>
  <c r="P77" i="123"/>
  <c r="N77" i="123"/>
  <c r="AN76" i="123"/>
  <c r="AM76" i="123"/>
  <c r="AG76" i="123"/>
  <c r="AD76" i="123"/>
  <c r="W76" i="123"/>
  <c r="U76" i="123"/>
  <c r="X76" i="123" s="1"/>
  <c r="S76" i="123"/>
  <c r="R76" i="123"/>
  <c r="Q76" i="123"/>
  <c r="P76" i="123"/>
  <c r="N76" i="123"/>
  <c r="AN75" i="123"/>
  <c r="AM75" i="123"/>
  <c r="AG75" i="123"/>
  <c r="AD75" i="123"/>
  <c r="W75" i="123"/>
  <c r="U75" i="123"/>
  <c r="X75" i="123" s="1"/>
  <c r="S75" i="123"/>
  <c r="R75" i="123"/>
  <c r="Q75" i="123"/>
  <c r="P75" i="123"/>
  <c r="N75" i="123"/>
  <c r="AN74" i="123"/>
  <c r="AM74" i="123"/>
  <c r="AG74" i="123"/>
  <c r="AD74" i="123"/>
  <c r="W74" i="123"/>
  <c r="U74" i="123"/>
  <c r="S74" i="123"/>
  <c r="R74" i="123"/>
  <c r="Q74" i="123"/>
  <c r="P74" i="123"/>
  <c r="N74" i="123"/>
  <c r="AN73" i="123"/>
  <c r="AM73" i="123"/>
  <c r="AG73" i="123"/>
  <c r="AD73" i="123"/>
  <c r="W73" i="123"/>
  <c r="U73" i="123"/>
  <c r="S73" i="123"/>
  <c r="R73" i="123"/>
  <c r="Q73" i="123"/>
  <c r="P73" i="123"/>
  <c r="N73" i="123"/>
  <c r="AN72" i="123"/>
  <c r="AM72" i="123"/>
  <c r="AG72" i="123"/>
  <c r="AD72" i="123"/>
  <c r="W72" i="123"/>
  <c r="U72" i="123"/>
  <c r="S72" i="123"/>
  <c r="R72" i="123"/>
  <c r="Q72" i="123"/>
  <c r="P72" i="123"/>
  <c r="N72" i="123"/>
  <c r="AN71" i="123"/>
  <c r="AM71" i="123"/>
  <c r="AG71" i="123"/>
  <c r="AD71" i="123"/>
  <c r="W71" i="123"/>
  <c r="U71" i="123"/>
  <c r="S71" i="123"/>
  <c r="R71" i="123"/>
  <c r="Q71" i="123"/>
  <c r="P71" i="123"/>
  <c r="N71" i="123"/>
  <c r="AN70" i="123"/>
  <c r="AM70" i="123"/>
  <c r="AG70" i="123"/>
  <c r="AD70" i="123"/>
  <c r="W70" i="123"/>
  <c r="U70" i="123"/>
  <c r="S70" i="123"/>
  <c r="R70" i="123"/>
  <c r="Q70" i="123"/>
  <c r="P70" i="123"/>
  <c r="N70" i="123"/>
  <c r="AG69" i="123"/>
  <c r="AD69" i="123"/>
  <c r="W69" i="123"/>
  <c r="U69" i="123"/>
  <c r="X69" i="123" s="1"/>
  <c r="S69" i="123"/>
  <c r="R69" i="123"/>
  <c r="Q69" i="123"/>
  <c r="P69" i="123"/>
  <c r="N69" i="123"/>
  <c r="AG68" i="123"/>
  <c r="AD68" i="123"/>
  <c r="W68" i="123"/>
  <c r="U68" i="123"/>
  <c r="S68" i="123"/>
  <c r="R68" i="123"/>
  <c r="Q68" i="123"/>
  <c r="P68" i="123"/>
  <c r="N68" i="123"/>
  <c r="AG67" i="123"/>
  <c r="AD67" i="123"/>
  <c r="W67" i="123"/>
  <c r="U67" i="123"/>
  <c r="S67" i="123"/>
  <c r="R67" i="123"/>
  <c r="Q67" i="123"/>
  <c r="P67" i="123"/>
  <c r="N67" i="123"/>
  <c r="AG66" i="123"/>
  <c r="AD66" i="123"/>
  <c r="W66" i="123"/>
  <c r="U66" i="123"/>
  <c r="S66" i="123"/>
  <c r="R66" i="123"/>
  <c r="Q66" i="123"/>
  <c r="P66" i="123"/>
  <c r="N66" i="123"/>
  <c r="AG65" i="123"/>
  <c r="AD65" i="123"/>
  <c r="AH65" i="123" s="1"/>
  <c r="W65" i="123"/>
  <c r="U65" i="123"/>
  <c r="S65" i="123"/>
  <c r="R65" i="123"/>
  <c r="Q65" i="123"/>
  <c r="P65" i="123"/>
  <c r="N65" i="123"/>
  <c r="AG64" i="123"/>
  <c r="AD64" i="123"/>
  <c r="W64" i="123"/>
  <c r="U64" i="123"/>
  <c r="X64" i="123" s="1"/>
  <c r="S64" i="123"/>
  <c r="R64" i="123"/>
  <c r="Q64" i="123"/>
  <c r="P64" i="123"/>
  <c r="N64" i="123"/>
  <c r="G64" i="123"/>
  <c r="AN63" i="123"/>
  <c r="AM63" i="123"/>
  <c r="AG63" i="123"/>
  <c r="AD63" i="123"/>
  <c r="W63" i="123"/>
  <c r="U63" i="123"/>
  <c r="S63" i="123"/>
  <c r="R63" i="123"/>
  <c r="Q63" i="123"/>
  <c r="P63" i="123"/>
  <c r="N63" i="123"/>
  <c r="AN62" i="123"/>
  <c r="AM62" i="123"/>
  <c r="AG62" i="123"/>
  <c r="AD62" i="123"/>
  <c r="W62" i="123"/>
  <c r="U62" i="123"/>
  <c r="S62" i="123"/>
  <c r="R62" i="123"/>
  <c r="Q62" i="123"/>
  <c r="P62" i="123"/>
  <c r="N62" i="123"/>
  <c r="AN61" i="123"/>
  <c r="AM61" i="123"/>
  <c r="AG61" i="123"/>
  <c r="AD61" i="123"/>
  <c r="W61" i="123"/>
  <c r="U61" i="123"/>
  <c r="S61" i="123"/>
  <c r="R61" i="123"/>
  <c r="Q61" i="123"/>
  <c r="P61" i="123"/>
  <c r="N61" i="123"/>
  <c r="AN60" i="123"/>
  <c r="AM60" i="123"/>
  <c r="AG60" i="123"/>
  <c r="AD60" i="123"/>
  <c r="W60" i="123"/>
  <c r="U60" i="123"/>
  <c r="S60" i="123"/>
  <c r="R60" i="123"/>
  <c r="Q60" i="123"/>
  <c r="P60" i="123"/>
  <c r="N60" i="123"/>
  <c r="AN59" i="123"/>
  <c r="AM59" i="123"/>
  <c r="AG59" i="123"/>
  <c r="AD59" i="123"/>
  <c r="W59" i="123"/>
  <c r="U59" i="123"/>
  <c r="S59" i="123"/>
  <c r="R59" i="123"/>
  <c r="Q59" i="123"/>
  <c r="P59" i="123"/>
  <c r="N59" i="123"/>
  <c r="AN58" i="123"/>
  <c r="AM58" i="123"/>
  <c r="AG58" i="123"/>
  <c r="AD58" i="123"/>
  <c r="W58" i="123"/>
  <c r="U58" i="123"/>
  <c r="S58" i="123"/>
  <c r="R58" i="123"/>
  <c r="Q58" i="123"/>
  <c r="P58" i="123"/>
  <c r="N58" i="123"/>
  <c r="G58" i="123"/>
  <c r="AN57" i="123"/>
  <c r="AM57" i="123"/>
  <c r="AG57" i="123"/>
  <c r="AD57" i="123"/>
  <c r="W57" i="123"/>
  <c r="U57" i="123"/>
  <c r="S57" i="123"/>
  <c r="R57" i="123"/>
  <c r="Q57" i="123"/>
  <c r="P57" i="123"/>
  <c r="N57" i="123"/>
  <c r="G57" i="123"/>
  <c r="AG56" i="123"/>
  <c r="AD56" i="123"/>
  <c r="W56" i="123"/>
  <c r="U56" i="123"/>
  <c r="S56" i="123"/>
  <c r="R56" i="123"/>
  <c r="Q56" i="123"/>
  <c r="P56" i="123"/>
  <c r="N56" i="123"/>
  <c r="AG55" i="123"/>
  <c r="AD55" i="123"/>
  <c r="W55" i="123"/>
  <c r="U55" i="123"/>
  <c r="S55" i="123"/>
  <c r="R55" i="123"/>
  <c r="Q55" i="123"/>
  <c r="P55" i="123"/>
  <c r="N55" i="123"/>
  <c r="G55" i="123"/>
  <c r="AG54" i="123"/>
  <c r="AD54" i="123"/>
  <c r="AH54" i="123" s="1"/>
  <c r="W54" i="123"/>
  <c r="U54" i="123"/>
  <c r="S54" i="123"/>
  <c r="R54" i="123"/>
  <c r="Q54" i="123"/>
  <c r="P54" i="123"/>
  <c r="N54" i="123"/>
  <c r="AG53" i="123"/>
  <c r="AD53" i="123"/>
  <c r="AE53" i="123" s="1"/>
  <c r="W53" i="123"/>
  <c r="U53" i="123"/>
  <c r="X53" i="123" s="1"/>
  <c r="S53" i="123"/>
  <c r="R53" i="123"/>
  <c r="Q53" i="123"/>
  <c r="P53" i="123"/>
  <c r="N53" i="123"/>
  <c r="G53" i="123"/>
  <c r="AN52" i="123"/>
  <c r="AM52" i="123"/>
  <c r="AG52" i="123"/>
  <c r="AD52" i="123"/>
  <c r="W52" i="123"/>
  <c r="U52" i="123"/>
  <c r="S52" i="123"/>
  <c r="R52" i="123"/>
  <c r="Q52" i="123"/>
  <c r="P52" i="123"/>
  <c r="N52" i="123"/>
  <c r="AN51" i="123"/>
  <c r="AM51" i="123"/>
  <c r="AG51" i="123"/>
  <c r="AD51" i="123"/>
  <c r="W51" i="123"/>
  <c r="U51" i="123"/>
  <c r="S51" i="123"/>
  <c r="R51" i="123"/>
  <c r="Q51" i="123"/>
  <c r="P51" i="123"/>
  <c r="N51" i="123"/>
  <c r="G51" i="123"/>
  <c r="AN50" i="123"/>
  <c r="AM50" i="123"/>
  <c r="AG50" i="123"/>
  <c r="AD50" i="123"/>
  <c r="W50" i="123"/>
  <c r="U50" i="123"/>
  <c r="S50" i="123"/>
  <c r="R50" i="123"/>
  <c r="Q50" i="123"/>
  <c r="P50" i="123"/>
  <c r="N50" i="123"/>
  <c r="AN49" i="123"/>
  <c r="AM49" i="123"/>
  <c r="AG49" i="123"/>
  <c r="AD49" i="123"/>
  <c r="W49" i="123"/>
  <c r="U49" i="123"/>
  <c r="S49" i="123"/>
  <c r="R49" i="123"/>
  <c r="Q49" i="123"/>
  <c r="P49" i="123"/>
  <c r="N49" i="123"/>
  <c r="G49" i="123"/>
  <c r="AG48" i="123"/>
  <c r="AD48" i="123"/>
  <c r="AH48" i="123" s="1"/>
  <c r="W48" i="123"/>
  <c r="U48" i="123"/>
  <c r="S48" i="123"/>
  <c r="R48" i="123"/>
  <c r="Q48" i="123"/>
  <c r="P48" i="123"/>
  <c r="N48" i="123"/>
  <c r="AG47" i="123"/>
  <c r="AD47" i="123"/>
  <c r="W47" i="123"/>
  <c r="U47" i="123"/>
  <c r="S47" i="123"/>
  <c r="R47" i="123"/>
  <c r="Q47" i="123"/>
  <c r="P47" i="123"/>
  <c r="N47" i="123"/>
  <c r="G47" i="123"/>
  <c r="AN46" i="123"/>
  <c r="AG46" i="123"/>
  <c r="AD46" i="123"/>
  <c r="W46" i="123"/>
  <c r="U46" i="123"/>
  <c r="X46" i="123" s="1"/>
  <c r="S46" i="123"/>
  <c r="R46" i="123"/>
  <c r="Q46" i="123"/>
  <c r="P46" i="123"/>
  <c r="N46" i="123"/>
  <c r="AN45" i="123"/>
  <c r="AG45" i="123"/>
  <c r="AD45" i="123"/>
  <c r="AH45" i="123" s="1"/>
  <c r="W45" i="123"/>
  <c r="U45" i="123"/>
  <c r="S45" i="123"/>
  <c r="R45" i="123"/>
  <c r="Q45" i="123"/>
  <c r="P45" i="123"/>
  <c r="N45" i="123"/>
  <c r="AN44" i="123"/>
  <c r="AG44" i="123"/>
  <c r="AD44" i="123"/>
  <c r="W44" i="123"/>
  <c r="U44" i="123"/>
  <c r="S44" i="123"/>
  <c r="R44" i="123"/>
  <c r="Q44" i="123"/>
  <c r="P44" i="123"/>
  <c r="N44" i="123"/>
  <c r="AN43" i="123"/>
  <c r="AG43" i="123"/>
  <c r="AD43" i="123"/>
  <c r="W43" i="123"/>
  <c r="U43" i="123"/>
  <c r="S43" i="123"/>
  <c r="R43" i="123"/>
  <c r="Q43" i="123"/>
  <c r="P43" i="123"/>
  <c r="N43" i="123"/>
  <c r="AN42" i="123"/>
  <c r="AM42" i="123"/>
  <c r="AG42" i="123"/>
  <c r="AD42" i="123"/>
  <c r="W42" i="123"/>
  <c r="U42" i="123"/>
  <c r="X42" i="123" s="1"/>
  <c r="Y42" i="123" s="1"/>
  <c r="S42" i="123"/>
  <c r="R42" i="123"/>
  <c r="Q42" i="123"/>
  <c r="P42" i="123"/>
  <c r="N42" i="123"/>
  <c r="AN41" i="123"/>
  <c r="AM41" i="123"/>
  <c r="AG41" i="123"/>
  <c r="AD41" i="123"/>
  <c r="W41" i="123"/>
  <c r="U41" i="123"/>
  <c r="S41" i="123"/>
  <c r="R41" i="123"/>
  <c r="Q41" i="123"/>
  <c r="P41" i="123"/>
  <c r="N41" i="123"/>
  <c r="AN40" i="123"/>
  <c r="AM40" i="123"/>
  <c r="AG40" i="123"/>
  <c r="AD40" i="123"/>
  <c r="W40" i="123"/>
  <c r="U40" i="123"/>
  <c r="X40" i="123" s="1"/>
  <c r="S40" i="123"/>
  <c r="R40" i="123"/>
  <c r="Q40" i="123"/>
  <c r="P40" i="123"/>
  <c r="N40" i="123"/>
  <c r="AN39" i="123"/>
  <c r="AM39" i="123"/>
  <c r="AG39" i="123"/>
  <c r="AD39" i="123"/>
  <c r="W39" i="123"/>
  <c r="U39" i="123"/>
  <c r="S39" i="123"/>
  <c r="R39" i="123"/>
  <c r="Q39" i="123"/>
  <c r="P39" i="123"/>
  <c r="N39" i="123"/>
  <c r="AN38" i="123"/>
  <c r="AG38" i="123"/>
  <c r="AD38" i="123"/>
  <c r="W38" i="123"/>
  <c r="U38" i="123"/>
  <c r="S38" i="123"/>
  <c r="R38" i="123"/>
  <c r="Q38" i="123"/>
  <c r="P38" i="123"/>
  <c r="N38" i="123"/>
  <c r="AN37" i="123"/>
  <c r="AG37" i="123"/>
  <c r="AD37" i="123"/>
  <c r="AH37" i="123" s="1"/>
  <c r="W37" i="123"/>
  <c r="U37" i="123"/>
  <c r="S37" i="123"/>
  <c r="R37" i="123"/>
  <c r="Q37" i="123"/>
  <c r="P37" i="123"/>
  <c r="N37" i="123"/>
  <c r="AN36" i="123"/>
  <c r="AG36" i="123"/>
  <c r="AD36" i="123"/>
  <c r="W36" i="123"/>
  <c r="U36" i="123"/>
  <c r="S36" i="123"/>
  <c r="R36" i="123"/>
  <c r="Q36" i="123"/>
  <c r="P36" i="123"/>
  <c r="N36" i="123"/>
  <c r="AN35" i="123"/>
  <c r="AG35" i="123"/>
  <c r="AD35" i="123"/>
  <c r="W35" i="123"/>
  <c r="U35" i="123"/>
  <c r="S35" i="123"/>
  <c r="R35" i="123"/>
  <c r="Q35" i="123"/>
  <c r="P35" i="123"/>
  <c r="N35" i="123"/>
  <c r="AN34" i="123"/>
  <c r="AM34" i="123"/>
  <c r="AG34" i="123"/>
  <c r="AD34" i="123"/>
  <c r="W34" i="123"/>
  <c r="U34" i="123"/>
  <c r="S34" i="123"/>
  <c r="R34" i="123"/>
  <c r="Q34" i="123"/>
  <c r="P34" i="123"/>
  <c r="N34" i="123"/>
  <c r="AN33" i="123"/>
  <c r="AM33" i="123"/>
  <c r="AG33" i="123"/>
  <c r="AD33" i="123"/>
  <c r="W33" i="123"/>
  <c r="U33" i="123"/>
  <c r="X33" i="123" s="1"/>
  <c r="S33" i="123"/>
  <c r="R33" i="123"/>
  <c r="Q33" i="123"/>
  <c r="P33" i="123"/>
  <c r="N33" i="123"/>
  <c r="AN32" i="123"/>
  <c r="AM32" i="123"/>
  <c r="AG32" i="123"/>
  <c r="AD32" i="123"/>
  <c r="AH32" i="123" s="1"/>
  <c r="W32" i="123"/>
  <c r="U32" i="123"/>
  <c r="S32" i="123"/>
  <c r="R32" i="123"/>
  <c r="Q32" i="123"/>
  <c r="P32" i="123"/>
  <c r="N32" i="123"/>
  <c r="AN31" i="123"/>
  <c r="AM31" i="123"/>
  <c r="AG31" i="123"/>
  <c r="AD31" i="123"/>
  <c r="W31" i="123"/>
  <c r="U31" i="123"/>
  <c r="S31" i="123"/>
  <c r="R31" i="123"/>
  <c r="Q31" i="123"/>
  <c r="P31" i="123"/>
  <c r="N31" i="123"/>
  <c r="AN30" i="123"/>
  <c r="AM30" i="123"/>
  <c r="AG30" i="123"/>
  <c r="AD30" i="123"/>
  <c r="W30" i="123"/>
  <c r="U30" i="123"/>
  <c r="S30" i="123"/>
  <c r="R30" i="123"/>
  <c r="Q30" i="123"/>
  <c r="P30" i="123"/>
  <c r="N30" i="123"/>
  <c r="AN29" i="123"/>
  <c r="AM29" i="123"/>
  <c r="AG29" i="123"/>
  <c r="AD29" i="123"/>
  <c r="W29" i="123"/>
  <c r="U29" i="123"/>
  <c r="X29" i="123" s="1"/>
  <c r="S29" i="123"/>
  <c r="R29" i="123"/>
  <c r="Q29" i="123"/>
  <c r="P29" i="123"/>
  <c r="N29" i="123"/>
  <c r="AN28" i="123"/>
  <c r="AM28" i="123"/>
  <c r="AG28" i="123"/>
  <c r="AD28" i="123"/>
  <c r="W28" i="123"/>
  <c r="U28" i="123"/>
  <c r="X28" i="123" s="1"/>
  <c r="S28" i="123"/>
  <c r="R28" i="123"/>
  <c r="Q28" i="123"/>
  <c r="P28" i="123"/>
  <c r="N28" i="123"/>
  <c r="AN27" i="123"/>
  <c r="AM27" i="123"/>
  <c r="AG27" i="123"/>
  <c r="AD27" i="123"/>
  <c r="W27" i="123"/>
  <c r="U27" i="123"/>
  <c r="S27" i="123"/>
  <c r="R27" i="123"/>
  <c r="Q27" i="123"/>
  <c r="P27" i="123"/>
  <c r="N27" i="123"/>
  <c r="AN26" i="123"/>
  <c r="AM26" i="123"/>
  <c r="AG26" i="123"/>
  <c r="AD26" i="123"/>
  <c r="W26" i="123"/>
  <c r="U26" i="123"/>
  <c r="S26" i="123"/>
  <c r="R26" i="123"/>
  <c r="Q26" i="123"/>
  <c r="P26" i="123"/>
  <c r="N26" i="123"/>
  <c r="AN25" i="123"/>
  <c r="AM25" i="123"/>
  <c r="AG25" i="123"/>
  <c r="AD25" i="123"/>
  <c r="W25" i="123"/>
  <c r="U25" i="123"/>
  <c r="S25" i="123"/>
  <c r="R25" i="123"/>
  <c r="Q25" i="123"/>
  <c r="P25" i="123"/>
  <c r="N25" i="123"/>
  <c r="AN24" i="123"/>
  <c r="AM24" i="123"/>
  <c r="AG24" i="123"/>
  <c r="AD24" i="123"/>
  <c r="W24" i="123"/>
  <c r="U24" i="123"/>
  <c r="S24" i="123"/>
  <c r="R24" i="123"/>
  <c r="Q24" i="123"/>
  <c r="P24" i="123"/>
  <c r="N24" i="123"/>
  <c r="AN23" i="123"/>
  <c r="AM23" i="123"/>
  <c r="AG23" i="123"/>
  <c r="AD23" i="123"/>
  <c r="W23" i="123"/>
  <c r="U23" i="123"/>
  <c r="S23" i="123"/>
  <c r="R23" i="123"/>
  <c r="Q23" i="123"/>
  <c r="P23" i="123"/>
  <c r="N23" i="123"/>
  <c r="AN22" i="123"/>
  <c r="AM22" i="123"/>
  <c r="AG22" i="123"/>
  <c r="AD22" i="123"/>
  <c r="W22" i="123"/>
  <c r="U22" i="123"/>
  <c r="S22" i="123"/>
  <c r="R22" i="123"/>
  <c r="Q22" i="123"/>
  <c r="P22" i="123"/>
  <c r="N22" i="123"/>
  <c r="AN21" i="123"/>
  <c r="AM21" i="123"/>
  <c r="AG21" i="123"/>
  <c r="AD21" i="123"/>
  <c r="W21" i="123"/>
  <c r="U21" i="123"/>
  <c r="S21" i="123"/>
  <c r="R21" i="123"/>
  <c r="Q21" i="123"/>
  <c r="P21" i="123"/>
  <c r="N21" i="123"/>
  <c r="AN20" i="123"/>
  <c r="AM20" i="123"/>
  <c r="AG20" i="123"/>
  <c r="AD20" i="123"/>
  <c r="W20" i="123"/>
  <c r="U20" i="123"/>
  <c r="S20" i="123"/>
  <c r="R20" i="123"/>
  <c r="Q20" i="123"/>
  <c r="P20" i="123"/>
  <c r="N20" i="123"/>
  <c r="AN19" i="123"/>
  <c r="AM19" i="123"/>
  <c r="AG19" i="123"/>
  <c r="AD19" i="123"/>
  <c r="W19" i="123"/>
  <c r="U19" i="123"/>
  <c r="S19" i="123"/>
  <c r="R19" i="123"/>
  <c r="Q19" i="123"/>
  <c r="P19" i="123"/>
  <c r="N19" i="123"/>
  <c r="AN18" i="123"/>
  <c r="AM18" i="123"/>
  <c r="AG18" i="123"/>
  <c r="AH18" i="123" s="1"/>
  <c r="AD18" i="123"/>
  <c r="W18" i="123"/>
  <c r="U18" i="123"/>
  <c r="S18" i="123"/>
  <c r="R18" i="123"/>
  <c r="Q18" i="123"/>
  <c r="P18" i="123"/>
  <c r="N18" i="123"/>
  <c r="AN17" i="123"/>
  <c r="AM17" i="123"/>
  <c r="AG17" i="123"/>
  <c r="AD17" i="123"/>
  <c r="W17" i="123"/>
  <c r="U17" i="123"/>
  <c r="X17" i="123" s="1"/>
  <c r="S17" i="123"/>
  <c r="R17" i="123"/>
  <c r="Q17" i="123"/>
  <c r="P17" i="123"/>
  <c r="N17" i="123"/>
  <c r="AN16" i="123"/>
  <c r="AM16" i="123"/>
  <c r="AG16" i="123"/>
  <c r="AD16" i="123"/>
  <c r="AH16" i="123" s="1"/>
  <c r="W16" i="123"/>
  <c r="U16" i="123"/>
  <c r="S16" i="123"/>
  <c r="R16" i="123"/>
  <c r="Q16" i="123"/>
  <c r="P16" i="123"/>
  <c r="N16" i="123"/>
  <c r="AN15" i="123"/>
  <c r="AM15" i="123"/>
  <c r="AG15" i="123"/>
  <c r="AD15" i="123"/>
  <c r="AH15" i="123" s="1"/>
  <c r="W15" i="123"/>
  <c r="U15" i="123"/>
  <c r="S15" i="123"/>
  <c r="R15" i="123"/>
  <c r="Q15" i="123"/>
  <c r="P15" i="123"/>
  <c r="N15" i="123"/>
  <c r="AN14" i="123"/>
  <c r="AM14" i="123"/>
  <c r="AG14" i="123"/>
  <c r="AD14" i="123"/>
  <c r="W14" i="123"/>
  <c r="U14" i="123"/>
  <c r="X14" i="123" s="1"/>
  <c r="S14" i="123"/>
  <c r="R14" i="123"/>
  <c r="Q14" i="123"/>
  <c r="P14" i="123"/>
  <c r="N14" i="123"/>
  <c r="AN13" i="123"/>
  <c r="AM13" i="123"/>
  <c r="AG13" i="123"/>
  <c r="AD13" i="123"/>
  <c r="W13" i="123"/>
  <c r="U13" i="123"/>
  <c r="X13" i="123" s="1"/>
  <c r="S13" i="123"/>
  <c r="R13" i="123"/>
  <c r="Q13" i="123"/>
  <c r="P13" i="123"/>
  <c r="N13" i="123"/>
  <c r="AN12" i="123"/>
  <c r="AM12" i="123"/>
  <c r="AG12" i="123"/>
  <c r="AD12" i="123"/>
  <c r="W12" i="123"/>
  <c r="U12" i="123"/>
  <c r="X12" i="123" s="1"/>
  <c r="S12" i="123"/>
  <c r="R12" i="123"/>
  <c r="Q12" i="123"/>
  <c r="P12" i="123"/>
  <c r="N12" i="123"/>
  <c r="AN11" i="123"/>
  <c r="AM11" i="123"/>
  <c r="AG11" i="123"/>
  <c r="AD11" i="123"/>
  <c r="W11" i="123"/>
  <c r="U11" i="123"/>
  <c r="S11" i="123"/>
  <c r="R11" i="123"/>
  <c r="Q11" i="123"/>
  <c r="P11" i="123"/>
  <c r="N11" i="123"/>
  <c r="AN10" i="123"/>
  <c r="AM10" i="123"/>
  <c r="AG10" i="123"/>
  <c r="AD10" i="123"/>
  <c r="W10" i="123"/>
  <c r="U10" i="123"/>
  <c r="S10" i="123"/>
  <c r="R10" i="123"/>
  <c r="Q10" i="123"/>
  <c r="P10" i="123"/>
  <c r="N10" i="123"/>
  <c r="AN9" i="123"/>
  <c r="AM9" i="123"/>
  <c r="AG9" i="123"/>
  <c r="AD9" i="123"/>
  <c r="W9" i="123"/>
  <c r="U9" i="123"/>
  <c r="S9" i="123"/>
  <c r="R9" i="123"/>
  <c r="Q9" i="123"/>
  <c r="P9" i="123"/>
  <c r="N9" i="123"/>
  <c r="AN8" i="123"/>
  <c r="AM8" i="123"/>
  <c r="AG8" i="123"/>
  <c r="AD8" i="123"/>
  <c r="W8" i="123"/>
  <c r="U8" i="123"/>
  <c r="S8" i="123"/>
  <c r="R8" i="123"/>
  <c r="Q8" i="123"/>
  <c r="P8" i="123"/>
  <c r="N8" i="123"/>
  <c r="AN7" i="123"/>
  <c r="AM7" i="123"/>
  <c r="AG7" i="123"/>
  <c r="AD7" i="123"/>
  <c r="W7" i="123"/>
  <c r="U7" i="123"/>
  <c r="S7" i="123"/>
  <c r="R7" i="123"/>
  <c r="Q7" i="123"/>
  <c r="P7" i="123"/>
  <c r="N7" i="123"/>
  <c r="AN6" i="123"/>
  <c r="AM6" i="123"/>
  <c r="AG6" i="123"/>
  <c r="AD6" i="123"/>
  <c r="AE6" i="123" s="1"/>
  <c r="W6" i="123"/>
  <c r="U6" i="123"/>
  <c r="X6" i="123" s="1"/>
  <c r="S6" i="123"/>
  <c r="R6" i="123"/>
  <c r="Q6" i="123"/>
  <c r="P6" i="123"/>
  <c r="N6" i="123"/>
  <c r="AN5" i="123"/>
  <c r="AM5" i="123"/>
  <c r="AG5" i="123"/>
  <c r="AD5" i="123"/>
  <c r="W5" i="123"/>
  <c r="U5" i="123"/>
  <c r="S5" i="123"/>
  <c r="R5" i="123"/>
  <c r="Q5" i="123"/>
  <c r="P5" i="123"/>
  <c r="N5" i="123"/>
  <c r="AN4" i="123"/>
  <c r="AM4" i="123"/>
  <c r="AG4" i="123"/>
  <c r="AD4" i="123"/>
  <c r="W4" i="123"/>
  <c r="U4" i="123"/>
  <c r="S4" i="123"/>
  <c r="R4" i="123"/>
  <c r="Q4" i="123"/>
  <c r="P4" i="123"/>
  <c r="N4" i="123"/>
  <c r="AN3" i="123"/>
  <c r="AM3" i="123"/>
  <c r="AG3" i="123"/>
  <c r="AD3" i="123"/>
  <c r="W3" i="123"/>
  <c r="U3" i="123"/>
  <c r="S3" i="123"/>
  <c r="R3" i="123"/>
  <c r="Q3" i="123"/>
  <c r="P3" i="123"/>
  <c r="N3" i="123"/>
  <c r="R12" i="61" l="1"/>
  <c r="P12" i="61"/>
  <c r="AV12" i="61"/>
  <c r="AX12" i="61"/>
  <c r="Z81" i="123"/>
  <c r="Z100" i="123"/>
  <c r="AV10" i="61"/>
  <c r="BF10" i="61" s="1"/>
  <c r="M13" i="61"/>
  <c r="AA13" i="61" s="1"/>
  <c r="P10" i="61"/>
  <c r="Z10" i="61" s="1"/>
  <c r="Z291" i="123"/>
  <c r="Z349" i="123"/>
  <c r="Y53" i="123"/>
  <c r="Z53" i="123" s="1"/>
  <c r="Y77" i="123"/>
  <c r="Y134" i="123"/>
  <c r="Y135" i="123"/>
  <c r="Y227" i="123"/>
  <c r="Y230" i="123"/>
  <c r="X48" i="123"/>
  <c r="Y48" i="123" s="1"/>
  <c r="Z48" i="123" s="1"/>
  <c r="AK48" i="123" s="1"/>
  <c r="X51" i="123"/>
  <c r="Y51" i="123" s="1"/>
  <c r="AH74" i="123"/>
  <c r="X116" i="123"/>
  <c r="X120" i="123"/>
  <c r="Y120" i="123" s="1"/>
  <c r="AH127" i="123"/>
  <c r="X128" i="123"/>
  <c r="Y128" i="123" s="1"/>
  <c r="X144" i="123"/>
  <c r="X160" i="123"/>
  <c r="Y160" i="123" s="1"/>
  <c r="Z160" i="123" s="1"/>
  <c r="X166" i="123"/>
  <c r="Y166" i="123" s="1"/>
  <c r="Z166" i="123" s="1"/>
  <c r="X184" i="123"/>
  <c r="X195" i="123"/>
  <c r="X200" i="123"/>
  <c r="Y200" i="123" s="1"/>
  <c r="AH227" i="123"/>
  <c r="AE247" i="123"/>
  <c r="X262" i="123"/>
  <c r="Y262" i="123" s="1"/>
  <c r="Z262" i="123" s="1"/>
  <c r="AH264" i="123"/>
  <c r="X265" i="123"/>
  <c r="Y265" i="123" s="1"/>
  <c r="Z265" i="123" s="1"/>
  <c r="Y279" i="123"/>
  <c r="AH300" i="123"/>
  <c r="AH339" i="123"/>
  <c r="Y350" i="123"/>
  <c r="AI351" i="123"/>
  <c r="AJ351" i="123" s="1"/>
  <c r="AH356" i="123"/>
  <c r="AH364" i="123"/>
  <c r="X369" i="123"/>
  <c r="Y369" i="123" s="1"/>
  <c r="Z369" i="123" s="1"/>
  <c r="AH373" i="123"/>
  <c r="AH375" i="123"/>
  <c r="AI375" i="123" s="1"/>
  <c r="AJ375" i="123" s="1"/>
  <c r="AH380" i="123"/>
  <c r="AI380" i="123" s="1"/>
  <c r="AJ380" i="123" s="1"/>
  <c r="X382" i="123"/>
  <c r="Y382" i="123" s="1"/>
  <c r="Z386" i="123"/>
  <c r="X387" i="123"/>
  <c r="Y387" i="123" s="1"/>
  <c r="AH393" i="123"/>
  <c r="AI393" i="123" s="1"/>
  <c r="AJ393" i="123" s="1"/>
  <c r="Z395" i="123"/>
  <c r="AK395" i="123" s="1"/>
  <c r="X396" i="123"/>
  <c r="Y396" i="123" s="1"/>
  <c r="Z397" i="123"/>
  <c r="AK397" i="123" s="1"/>
  <c r="X398" i="123"/>
  <c r="Y398" i="123" s="1"/>
  <c r="Y327" i="123"/>
  <c r="Y376" i="123"/>
  <c r="AH259" i="123"/>
  <c r="AH262" i="123"/>
  <c r="AI262" i="123" s="1"/>
  <c r="AJ262" i="123" s="1"/>
  <c r="X275" i="123"/>
  <c r="X283" i="123"/>
  <c r="Y283" i="123" s="1"/>
  <c r="X314" i="123"/>
  <c r="Y314" i="123" s="1"/>
  <c r="X316" i="123"/>
  <c r="Y316" i="123" s="1"/>
  <c r="AH321" i="123"/>
  <c r="AH324" i="123"/>
  <c r="X325" i="123"/>
  <c r="X335" i="123"/>
  <c r="Y335" i="123" s="1"/>
  <c r="X345" i="123"/>
  <c r="Y345" i="123" s="1"/>
  <c r="Z345" i="123" s="1"/>
  <c r="AH355" i="123"/>
  <c r="Z362" i="123"/>
  <c r="AK362" i="123" s="1"/>
  <c r="X363" i="123"/>
  <c r="Y363" i="123" s="1"/>
  <c r="AH371" i="123"/>
  <c r="AI371" i="123" s="1"/>
  <c r="AJ371" i="123" s="1"/>
  <c r="X372" i="123"/>
  <c r="Y372" i="123" s="1"/>
  <c r="AH381" i="123"/>
  <c r="AI381" i="123" s="1"/>
  <c r="AJ381" i="123" s="1"/>
  <c r="Z391" i="123"/>
  <c r="AK391" i="123" s="1"/>
  <c r="X392" i="123"/>
  <c r="Y392" i="123" s="1"/>
  <c r="X394" i="123"/>
  <c r="Y394" i="123" s="1"/>
  <c r="Y401" i="123"/>
  <c r="Y336" i="123"/>
  <c r="Z384" i="123"/>
  <c r="Y213" i="123"/>
  <c r="AH263" i="123"/>
  <c r="AH272" i="123"/>
  <c r="X293" i="123"/>
  <c r="Y293" i="123" s="1"/>
  <c r="X308" i="123"/>
  <c r="Y308" i="123" s="1"/>
  <c r="X328" i="123"/>
  <c r="AH338" i="123"/>
  <c r="AI338" i="123" s="1"/>
  <c r="AJ338" i="123" s="1"/>
  <c r="AE343" i="123"/>
  <c r="Y357" i="123"/>
  <c r="AH365" i="123"/>
  <c r="AI365" i="123" s="1"/>
  <c r="AJ365" i="123" s="1"/>
  <c r="AH367" i="123"/>
  <c r="AH372" i="123"/>
  <c r="X377" i="123"/>
  <c r="Y377" i="123" s="1"/>
  <c r="X383" i="123"/>
  <c r="Y383" i="123" s="1"/>
  <c r="Z383" i="123" s="1"/>
  <c r="X390" i="123"/>
  <c r="Y390" i="123" s="1"/>
  <c r="Z390" i="123" s="1"/>
  <c r="AH401" i="123"/>
  <c r="Z340" i="123"/>
  <c r="AI340" i="123"/>
  <c r="AJ340" i="123" s="1"/>
  <c r="AI348" i="123"/>
  <c r="AJ348" i="123" s="1"/>
  <c r="X117" i="123"/>
  <c r="Y117" i="123" s="1"/>
  <c r="Y76" i="123"/>
  <c r="Y84" i="123"/>
  <c r="Z84" i="123" s="1"/>
  <c r="Y115" i="123"/>
  <c r="Z115" i="123" s="1"/>
  <c r="X207" i="123"/>
  <c r="X229" i="123"/>
  <c r="Y312" i="123"/>
  <c r="AH12" i="123"/>
  <c r="AI12" i="123" s="1"/>
  <c r="AJ12" i="123" s="1"/>
  <c r="X26" i="123"/>
  <c r="Y26" i="123" s="1"/>
  <c r="Z26" i="123" s="1"/>
  <c r="X47" i="123"/>
  <c r="AH50" i="123"/>
  <c r="AE64" i="123"/>
  <c r="X66" i="123"/>
  <c r="Y66" i="123" s="1"/>
  <c r="Z66" i="123" s="1"/>
  <c r="X74" i="123"/>
  <c r="Y74" i="123" s="1"/>
  <c r="Z74" i="123" s="1"/>
  <c r="X82" i="123"/>
  <c r="Y82" i="123" s="1"/>
  <c r="AH100" i="123"/>
  <c r="AH110" i="123"/>
  <c r="AH118" i="123"/>
  <c r="X119" i="123"/>
  <c r="Y119" i="123" s="1"/>
  <c r="Z119" i="123" s="1"/>
  <c r="X133" i="123"/>
  <c r="Y133" i="123" s="1"/>
  <c r="Z133" i="123" s="1"/>
  <c r="AE180" i="123"/>
  <c r="AE222" i="123"/>
  <c r="X223" i="123"/>
  <c r="Y223" i="123" s="1"/>
  <c r="Z223" i="123" s="1"/>
  <c r="AE224" i="123"/>
  <c r="X225" i="123"/>
  <c r="Y225" i="123" s="1"/>
  <c r="Z225" i="123" s="1"/>
  <c r="AH235" i="123"/>
  <c r="X237" i="123"/>
  <c r="Y237" i="123" s="1"/>
  <c r="Z237" i="123" s="1"/>
  <c r="AH256" i="123"/>
  <c r="AH261" i="123"/>
  <c r="AE270" i="123"/>
  <c r="X287" i="123"/>
  <c r="Y287" i="123" s="1"/>
  <c r="Z287" i="123" s="1"/>
  <c r="X289" i="123"/>
  <c r="Y289" i="123" s="1"/>
  <c r="Z289" i="123" s="1"/>
  <c r="X296" i="123"/>
  <c r="Y296" i="123" s="1"/>
  <c r="Z296" i="123" s="1"/>
  <c r="X298" i="123"/>
  <c r="Y298" i="123" s="1"/>
  <c r="X300" i="123"/>
  <c r="Y300" i="123" s="1"/>
  <c r="Z300" i="123" s="1"/>
  <c r="AK300" i="123" s="1"/>
  <c r="AH305" i="123"/>
  <c r="AI305" i="123" s="1"/>
  <c r="AJ305" i="123" s="1"/>
  <c r="X313" i="123"/>
  <c r="AH320" i="123"/>
  <c r="AH322" i="123"/>
  <c r="AH335" i="123"/>
  <c r="X341" i="123"/>
  <c r="Y341" i="123" s="1"/>
  <c r="X344" i="123"/>
  <c r="Y344" i="123" s="1"/>
  <c r="X346" i="123"/>
  <c r="Y346" i="123" s="1"/>
  <c r="X353" i="123"/>
  <c r="Y353" i="123" s="1"/>
  <c r="Z353" i="123" s="1"/>
  <c r="X354" i="123"/>
  <c r="Y354" i="123" s="1"/>
  <c r="AH379" i="123"/>
  <c r="AH385" i="123"/>
  <c r="AH386" i="123"/>
  <c r="Y393" i="123"/>
  <c r="Z393" i="123" s="1"/>
  <c r="AK393" i="123" s="1"/>
  <c r="Y400" i="123"/>
  <c r="Z400" i="123" s="1"/>
  <c r="AK400" i="123" s="1"/>
  <c r="AH278" i="123"/>
  <c r="X285" i="123"/>
  <c r="Y285" i="123" s="1"/>
  <c r="Z285" i="123" s="1"/>
  <c r="AH288" i="123"/>
  <c r="AH295" i="123"/>
  <c r="X301" i="123"/>
  <c r="Y301" i="123" s="1"/>
  <c r="AH309" i="123"/>
  <c r="AI309" i="123" s="1"/>
  <c r="AJ309" i="123" s="1"/>
  <c r="X311" i="123"/>
  <c r="AH318" i="123"/>
  <c r="AI318" i="123" s="1"/>
  <c r="AJ318" i="123" s="1"/>
  <c r="X319" i="123"/>
  <c r="Y319" i="123" s="1"/>
  <c r="X324" i="123"/>
  <c r="Y324" i="123" s="1"/>
  <c r="Z324" i="123" s="1"/>
  <c r="AH326" i="123"/>
  <c r="AH328" i="123"/>
  <c r="Z347" i="123"/>
  <c r="AK347" i="123" s="1"/>
  <c r="Y380" i="123"/>
  <c r="Z380" i="123" s="1"/>
  <c r="AH383" i="123"/>
  <c r="X384" i="123"/>
  <c r="Y384" i="123" s="1"/>
  <c r="Y391" i="123"/>
  <c r="X103" i="123"/>
  <c r="Y103" i="123" s="1"/>
  <c r="Z103" i="123" s="1"/>
  <c r="AI192" i="123"/>
  <c r="AJ192" i="123" s="1"/>
  <c r="AI272" i="123"/>
  <c r="AJ272" i="123" s="1"/>
  <c r="Y17" i="123"/>
  <c r="AE35" i="123"/>
  <c r="Y101" i="123"/>
  <c r="Z101" i="123" s="1"/>
  <c r="AH44" i="123"/>
  <c r="Z51" i="123"/>
  <c r="Y46" i="123"/>
  <c r="Z46" i="123" s="1"/>
  <c r="Y12" i="123"/>
  <c r="Z12" i="123" s="1"/>
  <c r="AK12" i="123" s="1"/>
  <c r="Y28" i="123"/>
  <c r="Z28" i="123" s="1"/>
  <c r="Y40" i="123"/>
  <c r="X72" i="123"/>
  <c r="Y72" i="123" s="1"/>
  <c r="Z72" i="123" s="1"/>
  <c r="AH6" i="123"/>
  <c r="AI6" i="123" s="1"/>
  <c r="AJ6" i="123" s="1"/>
  <c r="X7" i="123"/>
  <c r="Y7" i="123" s="1"/>
  <c r="Z7" i="123" s="1"/>
  <c r="AH9" i="123"/>
  <c r="AI9" i="123" s="1"/>
  <c r="AJ9" i="123" s="1"/>
  <c r="X15" i="123"/>
  <c r="Y15" i="123" s="1"/>
  <c r="AH17" i="123"/>
  <c r="X23" i="123"/>
  <c r="Y23" i="123" s="1"/>
  <c r="X31" i="123"/>
  <c r="Y31" i="123" s="1"/>
  <c r="X50" i="123"/>
  <c r="Y50" i="123" s="1"/>
  <c r="Z50" i="123" s="1"/>
  <c r="X52" i="123"/>
  <c r="Y52" i="123" s="1"/>
  <c r="Z52" i="123" s="1"/>
  <c r="X86" i="123"/>
  <c r="Y86" i="123" s="1"/>
  <c r="Z86" i="123" s="1"/>
  <c r="AH113" i="123"/>
  <c r="AH122" i="123"/>
  <c r="AE140" i="123"/>
  <c r="X168" i="123"/>
  <c r="Y168" i="123" s="1"/>
  <c r="X176" i="123"/>
  <c r="Y176" i="123" s="1"/>
  <c r="Z176" i="123" s="1"/>
  <c r="AH119" i="123"/>
  <c r="Y144" i="123"/>
  <c r="AH10" i="123"/>
  <c r="AH56" i="123"/>
  <c r="AE59" i="123"/>
  <c r="X79" i="123"/>
  <c r="AH94" i="123"/>
  <c r="AI94" i="123" s="1"/>
  <c r="AJ94" i="123" s="1"/>
  <c r="X114" i="123"/>
  <c r="X129" i="123"/>
  <c r="Y129" i="123" s="1"/>
  <c r="Z129" i="123" s="1"/>
  <c r="AH135" i="123"/>
  <c r="X137" i="123"/>
  <c r="AI137" i="123" s="1"/>
  <c r="AJ137" i="123" s="1"/>
  <c r="X145" i="123"/>
  <c r="Y145" i="123" s="1"/>
  <c r="Z145" i="123" s="1"/>
  <c r="AH151" i="123"/>
  <c r="X153" i="123"/>
  <c r="AE159" i="123"/>
  <c r="X169" i="123"/>
  <c r="Y169" i="123" s="1"/>
  <c r="AH149" i="123"/>
  <c r="X151" i="123"/>
  <c r="AH157" i="123"/>
  <c r="AI157" i="123" s="1"/>
  <c r="AJ157" i="123" s="1"/>
  <c r="X159" i="123"/>
  <c r="AH167" i="123"/>
  <c r="Y171" i="123"/>
  <c r="AH180" i="123"/>
  <c r="X201" i="123"/>
  <c r="Y201" i="123" s="1"/>
  <c r="Z201" i="123" s="1"/>
  <c r="Y204" i="123"/>
  <c r="X205" i="123"/>
  <c r="Y205" i="123" s="1"/>
  <c r="Z205" i="123" s="1"/>
  <c r="X209" i="123"/>
  <c r="Y209" i="123" s="1"/>
  <c r="Z209" i="123" s="1"/>
  <c r="Y212" i="123"/>
  <c r="Z212" i="123" s="1"/>
  <c r="AH246" i="123"/>
  <c r="AH275" i="123"/>
  <c r="AH292" i="123"/>
  <c r="AI292" i="123" s="1"/>
  <c r="AJ292" i="123" s="1"/>
  <c r="X295" i="123"/>
  <c r="Y295" i="123" s="1"/>
  <c r="X9" i="123"/>
  <c r="Y9" i="123" s="1"/>
  <c r="Z9" i="123" s="1"/>
  <c r="AH4" i="123"/>
  <c r="AI48" i="123"/>
  <c r="AJ48" i="123" s="1"/>
  <c r="AH88" i="123"/>
  <c r="AH103" i="123"/>
  <c r="AH5" i="123"/>
  <c r="X20" i="123"/>
  <c r="Y20" i="123" s="1"/>
  <c r="X43" i="123"/>
  <c r="Y43" i="123" s="1"/>
  <c r="Z43" i="123" s="1"/>
  <c r="X58" i="123"/>
  <c r="AH60" i="123"/>
  <c r="X68" i="123"/>
  <c r="Y68" i="123" s="1"/>
  <c r="Z68" i="123" s="1"/>
  <c r="X98" i="123"/>
  <c r="Y98" i="123" s="1"/>
  <c r="Z98" i="123" s="1"/>
  <c r="AH101" i="123"/>
  <c r="Z130" i="123"/>
  <c r="AE40" i="123"/>
  <c r="Y153" i="123"/>
  <c r="AH165" i="123"/>
  <c r="AI165" i="123" s="1"/>
  <c r="AJ165" i="123" s="1"/>
  <c r="AH202" i="123"/>
  <c r="Y215" i="123"/>
  <c r="X216" i="123"/>
  <c r="X232" i="123"/>
  <c r="Y232" i="123" s="1"/>
  <c r="X252" i="123"/>
  <c r="Y252" i="123" s="1"/>
  <c r="X268" i="123"/>
  <c r="AH303" i="123"/>
  <c r="AI303" i="123" s="1"/>
  <c r="AJ303" i="123" s="1"/>
  <c r="X60" i="123"/>
  <c r="Y60" i="123" s="1"/>
  <c r="Z60" i="123" s="1"/>
  <c r="AE28" i="123"/>
  <c r="Y131" i="123"/>
  <c r="AH136" i="123"/>
  <c r="AE137" i="123"/>
  <c r="AH20" i="123"/>
  <c r="AI20" i="123" s="1"/>
  <c r="AJ20" i="123" s="1"/>
  <c r="Y29" i="123"/>
  <c r="Z29" i="123" s="1"/>
  <c r="AE72" i="123"/>
  <c r="AH79" i="123"/>
  <c r="AI79" i="123" s="1"/>
  <c r="AJ79" i="123" s="1"/>
  <c r="Y85" i="123"/>
  <c r="Z230" i="123"/>
  <c r="X238" i="123"/>
  <c r="Y238" i="123" s="1"/>
  <c r="Z238" i="123" s="1"/>
  <c r="Y239" i="123"/>
  <c r="Z239" i="123" s="1"/>
  <c r="AE242" i="123"/>
  <c r="AH270" i="123"/>
  <c r="AI270" i="123" s="1"/>
  <c r="AJ270" i="123" s="1"/>
  <c r="Y13" i="123"/>
  <c r="AE3" i="123"/>
  <c r="AH40" i="123"/>
  <c r="AI40" i="123" s="1"/>
  <c r="AJ40" i="123" s="1"/>
  <c r="X55" i="123"/>
  <c r="Y55" i="123" s="1"/>
  <c r="Z55" i="123" s="1"/>
  <c r="Y116" i="123"/>
  <c r="Z116" i="123" s="1"/>
  <c r="Y132" i="123"/>
  <c r="Z132" i="123" s="1"/>
  <c r="Y139" i="123"/>
  <c r="Z139" i="123" s="1"/>
  <c r="AK139" i="123" s="1"/>
  <c r="AE145" i="123"/>
  <c r="Y154" i="123"/>
  <c r="AH201" i="123"/>
  <c r="AH205" i="123"/>
  <c r="AI205" i="123" s="1"/>
  <c r="AJ205" i="123" s="1"/>
  <c r="AK205" i="123" s="1"/>
  <c r="X11" i="123"/>
  <c r="Y11" i="123" s="1"/>
  <c r="Z11" i="123" s="1"/>
  <c r="X16" i="123"/>
  <c r="AI16" i="123" s="1"/>
  <c r="AJ16" i="123" s="1"/>
  <c r="AH26" i="123"/>
  <c r="AI26" i="123" s="1"/>
  <c r="AJ26" i="123" s="1"/>
  <c r="X32" i="123"/>
  <c r="Y32" i="123" s="1"/>
  <c r="Z32" i="123" s="1"/>
  <c r="AH34" i="123"/>
  <c r="AH52" i="123"/>
  <c r="AH58" i="123"/>
  <c r="X59" i="123"/>
  <c r="Y59" i="123" s="1"/>
  <c r="AH61" i="123"/>
  <c r="AH68" i="123"/>
  <c r="X70" i="123"/>
  <c r="Y70" i="123" s="1"/>
  <c r="Z70" i="123" s="1"/>
  <c r="AH87" i="123"/>
  <c r="X92" i="123"/>
  <c r="Y92" i="123" s="1"/>
  <c r="X95" i="123"/>
  <c r="X99" i="123"/>
  <c r="AI99" i="123" s="1"/>
  <c r="AJ99" i="123" s="1"/>
  <c r="AH126" i="123"/>
  <c r="X127" i="123"/>
  <c r="Y127" i="123" s="1"/>
  <c r="Z127" i="123" s="1"/>
  <c r="AH137" i="123"/>
  <c r="X140" i="123"/>
  <c r="Y140" i="123" s="1"/>
  <c r="X147" i="123"/>
  <c r="Y147" i="123" s="1"/>
  <c r="Z147" i="123" s="1"/>
  <c r="X155" i="123"/>
  <c r="Y155" i="123" s="1"/>
  <c r="AH160" i="123"/>
  <c r="AH161" i="123"/>
  <c r="X162" i="123"/>
  <c r="AI162" i="123" s="1"/>
  <c r="AJ162" i="123" s="1"/>
  <c r="X163" i="123"/>
  <c r="Y163" i="123" s="1"/>
  <c r="Z163" i="123" s="1"/>
  <c r="AE168" i="123"/>
  <c r="AH170" i="123"/>
  <c r="X173" i="123"/>
  <c r="X189" i="123"/>
  <c r="Y189" i="123" s="1"/>
  <c r="AH197" i="123"/>
  <c r="AH215" i="123"/>
  <c r="AI215" i="123" s="1"/>
  <c r="AJ215" i="123" s="1"/>
  <c r="X219" i="123"/>
  <c r="Y219" i="123" s="1"/>
  <c r="Z219" i="123" s="1"/>
  <c r="X221" i="123"/>
  <c r="Y221" i="123" s="1"/>
  <c r="Z221" i="123" s="1"/>
  <c r="X226" i="123"/>
  <c r="AI226" i="123" s="1"/>
  <c r="AJ226" i="123" s="1"/>
  <c r="AH234" i="123"/>
  <c r="X248" i="123"/>
  <c r="Y248" i="123" s="1"/>
  <c r="Z248" i="123" s="1"/>
  <c r="Y254" i="123"/>
  <c r="X259" i="123"/>
  <c r="Y259" i="123" s="1"/>
  <c r="AI320" i="123"/>
  <c r="AJ320" i="123" s="1"/>
  <c r="AH38" i="123"/>
  <c r="X62" i="123"/>
  <c r="AH70" i="123"/>
  <c r="AH75" i="123"/>
  <c r="AI75" i="123" s="1"/>
  <c r="AJ75" i="123" s="1"/>
  <c r="AH80" i="123"/>
  <c r="X83" i="123"/>
  <c r="Y83" i="123" s="1"/>
  <c r="AE92" i="123"/>
  <c r="X93" i="123"/>
  <c r="Y93" i="123" s="1"/>
  <c r="Z93" i="123" s="1"/>
  <c r="AI100" i="123"/>
  <c r="AJ100" i="123" s="1"/>
  <c r="AH105" i="123"/>
  <c r="AH109" i="123"/>
  <c r="Y114" i="123"/>
  <c r="Z114" i="123" s="1"/>
  <c r="AH116" i="123"/>
  <c r="AI116" i="123" s="1"/>
  <c r="AJ116" i="123" s="1"/>
  <c r="AH139" i="123"/>
  <c r="AI139" i="123" s="1"/>
  <c r="AJ139" i="123" s="1"/>
  <c r="X148" i="123"/>
  <c r="Y148" i="123" s="1"/>
  <c r="AE165" i="123"/>
  <c r="AE174" i="123"/>
  <c r="AH218" i="123"/>
  <c r="AI218" i="123" s="1"/>
  <c r="AJ218" i="123" s="1"/>
  <c r="Z232" i="123"/>
  <c r="AI328" i="123"/>
  <c r="AJ328" i="123" s="1"/>
  <c r="Y157" i="123"/>
  <c r="Z157" i="123" s="1"/>
  <c r="AH182" i="123"/>
  <c r="AI182" i="123" s="1"/>
  <c r="AJ182" i="123" s="1"/>
  <c r="X191" i="123"/>
  <c r="Y191" i="123" s="1"/>
  <c r="Z191" i="123" s="1"/>
  <c r="Y192" i="123"/>
  <c r="Z192" i="123" s="1"/>
  <c r="AK192" i="123" s="1"/>
  <c r="AH222" i="123"/>
  <c r="Y246" i="123"/>
  <c r="AE248" i="123"/>
  <c r="AI300" i="123"/>
  <c r="AJ300" i="123" s="1"/>
  <c r="AI373" i="123"/>
  <c r="AJ373" i="123" s="1"/>
  <c r="AH140" i="123"/>
  <c r="X143" i="123"/>
  <c r="Y143" i="123" s="1"/>
  <c r="Z143" i="123" s="1"/>
  <c r="AH147" i="123"/>
  <c r="AE148" i="123"/>
  <c r="X149" i="123"/>
  <c r="Y149" i="123" s="1"/>
  <c r="X150" i="123"/>
  <c r="AH156" i="123"/>
  <c r="X158" i="123"/>
  <c r="Y158" i="123" s="1"/>
  <c r="Z158" i="123" s="1"/>
  <c r="X165" i="123"/>
  <c r="Y165" i="123" s="1"/>
  <c r="Z165" i="123" s="1"/>
  <c r="AH173" i="123"/>
  <c r="X183" i="123"/>
  <c r="Y183" i="123" s="1"/>
  <c r="X185" i="123"/>
  <c r="Y185" i="123" s="1"/>
  <c r="AE226" i="123"/>
  <c r="AE229" i="123"/>
  <c r="X233" i="123"/>
  <c r="Y233" i="123" s="1"/>
  <c r="Z233" i="123" s="1"/>
  <c r="AH254" i="123"/>
  <c r="AI254" i="123" s="1"/>
  <c r="AJ254" i="123" s="1"/>
  <c r="AI301" i="123"/>
  <c r="AJ301" i="123" s="1"/>
  <c r="AI384" i="123"/>
  <c r="AJ384" i="123" s="1"/>
  <c r="AI58" i="123"/>
  <c r="AJ58" i="123" s="1"/>
  <c r="AH69" i="123"/>
  <c r="AI69" i="123" s="1"/>
  <c r="AJ69" i="123" s="1"/>
  <c r="Y90" i="123"/>
  <c r="AE96" i="123"/>
  <c r="AH96" i="123"/>
  <c r="AE104" i="123"/>
  <c r="AH107" i="123"/>
  <c r="AI107" i="123" s="1"/>
  <c r="AJ107" i="123" s="1"/>
  <c r="AE108" i="123"/>
  <c r="AH108" i="123"/>
  <c r="X170" i="123"/>
  <c r="Y170" i="123" s="1"/>
  <c r="Z170" i="123" s="1"/>
  <c r="AI176" i="123"/>
  <c r="AJ176" i="123" s="1"/>
  <c r="AH57" i="123"/>
  <c r="Y64" i="123"/>
  <c r="Z64" i="123" s="1"/>
  <c r="AH90" i="123"/>
  <c r="AI90" i="123" s="1"/>
  <c r="AJ90" i="123" s="1"/>
  <c r="Y99" i="123"/>
  <c r="Z99" i="123" s="1"/>
  <c r="AE12" i="123"/>
  <c r="AE19" i="123"/>
  <c r="X30" i="123"/>
  <c r="Y30" i="123" s="1"/>
  <c r="X41" i="123"/>
  <c r="Y41" i="123" s="1"/>
  <c r="Z41" i="123" s="1"/>
  <c r="AH62" i="123"/>
  <c r="X124" i="123"/>
  <c r="Y124" i="123" s="1"/>
  <c r="Z155" i="123"/>
  <c r="X152" i="123"/>
  <c r="Y152" i="123" s="1"/>
  <c r="Z152" i="123" s="1"/>
  <c r="Z107" i="123"/>
  <c r="AH25" i="123"/>
  <c r="X36" i="123"/>
  <c r="Y36" i="123" s="1"/>
  <c r="Z36" i="123" s="1"/>
  <c r="AE39" i="123"/>
  <c r="AH39" i="123"/>
  <c r="Y47" i="123"/>
  <c r="Z47" i="123" s="1"/>
  <c r="X87" i="123"/>
  <c r="Y164" i="123"/>
  <c r="AE11" i="123"/>
  <c r="AH11" i="123"/>
  <c r="AH33" i="123"/>
  <c r="AI33" i="123" s="1"/>
  <c r="AJ33" i="123" s="1"/>
  <c r="X45" i="123"/>
  <c r="Y45" i="123" s="1"/>
  <c r="Z45" i="123" s="1"/>
  <c r="AE58" i="123"/>
  <c r="Y112" i="123"/>
  <c r="Z112" i="123" s="1"/>
  <c r="Z117" i="123"/>
  <c r="AH146" i="123"/>
  <c r="AI146" i="123" s="1"/>
  <c r="AJ146" i="123" s="1"/>
  <c r="AH159" i="123"/>
  <c r="AI159" i="123" s="1"/>
  <c r="AJ159" i="123" s="1"/>
  <c r="Z168" i="123"/>
  <c r="Y184" i="123"/>
  <c r="Z184" i="123" s="1"/>
  <c r="X111" i="123"/>
  <c r="Y111" i="123" s="1"/>
  <c r="Z111" i="123" s="1"/>
  <c r="Z120" i="123"/>
  <c r="AH130" i="123"/>
  <c r="Z134" i="123"/>
  <c r="X136" i="123"/>
  <c r="Y136" i="123" s="1"/>
  <c r="Z136" i="123" s="1"/>
  <c r="AE149" i="123"/>
  <c r="AH191" i="123"/>
  <c r="Z124" i="123"/>
  <c r="X181" i="123"/>
  <c r="Y181" i="123" s="1"/>
  <c r="Z181" i="123" s="1"/>
  <c r="AH186" i="123"/>
  <c r="X187" i="123"/>
  <c r="Y187" i="123" s="1"/>
  <c r="Z187" i="123" s="1"/>
  <c r="AE192" i="123"/>
  <c r="AE212" i="123"/>
  <c r="AH212" i="123"/>
  <c r="AI212" i="123" s="1"/>
  <c r="AJ212" i="123" s="1"/>
  <c r="AE231" i="123"/>
  <c r="AH231" i="123"/>
  <c r="AH85" i="123"/>
  <c r="AI85" i="123" s="1"/>
  <c r="AJ85" i="123" s="1"/>
  <c r="X122" i="123"/>
  <c r="Y122" i="123" s="1"/>
  <c r="Z122" i="123" s="1"/>
  <c r="Y151" i="123"/>
  <c r="Z151" i="123" s="1"/>
  <c r="AE189" i="123"/>
  <c r="AE186" i="123"/>
  <c r="AH187" i="123"/>
  <c r="X196" i="123"/>
  <c r="Y196" i="123" s="1"/>
  <c r="Z196" i="123" s="1"/>
  <c r="AH216" i="123"/>
  <c r="AI216" i="123" s="1"/>
  <c r="AJ216" i="123" s="1"/>
  <c r="Z77" i="123"/>
  <c r="AH77" i="123"/>
  <c r="AI77" i="123" s="1"/>
  <c r="AJ77" i="123" s="1"/>
  <c r="AH82" i="123"/>
  <c r="AI82" i="123" s="1"/>
  <c r="AJ82" i="123" s="1"/>
  <c r="X3" i="123"/>
  <c r="Y3" i="123" s="1"/>
  <c r="Z3" i="123" s="1"/>
  <c r="X19" i="123"/>
  <c r="Y19" i="123" s="1"/>
  <c r="Z19" i="123" s="1"/>
  <c r="Z20" i="123"/>
  <c r="AH23" i="123"/>
  <c r="AI23" i="123" s="1"/>
  <c r="AJ23" i="123" s="1"/>
  <c r="X49" i="123"/>
  <c r="Y49" i="123" s="1"/>
  <c r="Z49" i="123" s="1"/>
  <c r="X61" i="123"/>
  <c r="Y61" i="123" s="1"/>
  <c r="Z61" i="123" s="1"/>
  <c r="X63" i="123"/>
  <c r="Y63" i="123" s="1"/>
  <c r="Z63" i="123" s="1"/>
  <c r="AH64" i="123"/>
  <c r="AI64" i="123" s="1"/>
  <c r="AJ64" i="123" s="1"/>
  <c r="X71" i="123"/>
  <c r="Y71" i="123" s="1"/>
  <c r="AH41" i="123"/>
  <c r="X56" i="123"/>
  <c r="Y56" i="123" s="1"/>
  <c r="Z56" i="123" s="1"/>
  <c r="X67" i="123"/>
  <c r="Y67" i="123" s="1"/>
  <c r="Z67" i="123" s="1"/>
  <c r="AH73" i="123"/>
  <c r="AI95" i="123"/>
  <c r="AJ95" i="123" s="1"/>
  <c r="AI101" i="123"/>
  <c r="AJ101" i="123" s="1"/>
  <c r="AE106" i="123"/>
  <c r="Y6" i="123"/>
  <c r="Y14" i="123"/>
  <c r="Z14" i="123" s="1"/>
  <c r="AH28" i="123"/>
  <c r="AI28" i="123" s="1"/>
  <c r="AJ28" i="123" s="1"/>
  <c r="Z30" i="123"/>
  <c r="X37" i="123"/>
  <c r="Y37" i="123" s="1"/>
  <c r="Z37" i="123" s="1"/>
  <c r="X44" i="123"/>
  <c r="Y44" i="123" s="1"/>
  <c r="Z44" i="123" s="1"/>
  <c r="AH51" i="123"/>
  <c r="Y79" i="123"/>
  <c r="Z79" i="123" s="1"/>
  <c r="AK79" i="123" s="1"/>
  <c r="AE116" i="123"/>
  <c r="AI154" i="123"/>
  <c r="AJ154" i="123" s="1"/>
  <c r="Y173" i="123"/>
  <c r="Z173" i="123" s="1"/>
  <c r="AH7" i="123"/>
  <c r="Y33" i="123"/>
  <c r="X35" i="123"/>
  <c r="Y35" i="123" s="1"/>
  <c r="AH46" i="123"/>
  <c r="Y69" i="123"/>
  <c r="Z69" i="123" s="1"/>
  <c r="AE74" i="123"/>
  <c r="X88" i="123"/>
  <c r="Y88" i="123" s="1"/>
  <c r="Z88" i="123" s="1"/>
  <c r="AH91" i="123"/>
  <c r="AI91" i="123" s="1"/>
  <c r="AJ91" i="123" s="1"/>
  <c r="Y96" i="123"/>
  <c r="Z96" i="123" s="1"/>
  <c r="AE100" i="123"/>
  <c r="AH106" i="123"/>
  <c r="AE125" i="123"/>
  <c r="Z154" i="123"/>
  <c r="Y159" i="123"/>
  <c r="Z159" i="123" s="1"/>
  <c r="AE162" i="123"/>
  <c r="X4" i="123"/>
  <c r="Y4" i="123" s="1"/>
  <c r="Z4" i="123" s="1"/>
  <c r="AE22" i="123"/>
  <c r="X25" i="123"/>
  <c r="Y25" i="123" s="1"/>
  <c r="Z25" i="123" s="1"/>
  <c r="X27" i="123"/>
  <c r="Y27" i="123" s="1"/>
  <c r="Z27" i="123" s="1"/>
  <c r="AH31" i="123"/>
  <c r="AI31" i="123" s="1"/>
  <c r="AJ31" i="123" s="1"/>
  <c r="X38" i="123"/>
  <c r="Y38" i="123" s="1"/>
  <c r="Z38" i="123" s="1"/>
  <c r="AH42" i="123"/>
  <c r="AI42" i="123" s="1"/>
  <c r="AJ42" i="123" s="1"/>
  <c r="AH53" i="123"/>
  <c r="AI53" i="123" s="1"/>
  <c r="AJ53" i="123" s="1"/>
  <c r="X57" i="123"/>
  <c r="Y57" i="123" s="1"/>
  <c r="Z57" i="123" s="1"/>
  <c r="Y58" i="123"/>
  <c r="Z58" i="123" s="1"/>
  <c r="X105" i="123"/>
  <c r="Y105" i="123" s="1"/>
  <c r="Z105" i="123" s="1"/>
  <c r="X110" i="123"/>
  <c r="Y110" i="123" s="1"/>
  <c r="Z110" i="123" s="1"/>
  <c r="X138" i="123"/>
  <c r="Y138" i="123" s="1"/>
  <c r="Z138" i="123" s="1"/>
  <c r="X141" i="123"/>
  <c r="Y141" i="123" s="1"/>
  <c r="Z141" i="123" s="1"/>
  <c r="X142" i="123"/>
  <c r="Y142" i="123" s="1"/>
  <c r="Z142" i="123" s="1"/>
  <c r="AH145" i="123"/>
  <c r="Z148" i="123"/>
  <c r="AH150" i="123"/>
  <c r="AH155" i="123"/>
  <c r="AI155" i="123" s="1"/>
  <c r="AJ155" i="123" s="1"/>
  <c r="X156" i="123"/>
  <c r="Y156" i="123" s="1"/>
  <c r="AH158" i="123"/>
  <c r="AI158" i="123" s="1"/>
  <c r="AJ158" i="123" s="1"/>
  <c r="Z169" i="123"/>
  <c r="AE177" i="123"/>
  <c r="Y182" i="123"/>
  <c r="Z182" i="123" s="1"/>
  <c r="Z183" i="123"/>
  <c r="AE183" i="123"/>
  <c r="X194" i="123"/>
  <c r="Y194" i="123" s="1"/>
  <c r="Z194" i="123" s="1"/>
  <c r="X198" i="123"/>
  <c r="Y198" i="123" s="1"/>
  <c r="AI280" i="123"/>
  <c r="AJ280" i="123" s="1"/>
  <c r="AI185" i="123"/>
  <c r="AJ185" i="123" s="1"/>
  <c r="AH194" i="123"/>
  <c r="AH196" i="123"/>
  <c r="Z200" i="123"/>
  <c r="AH247" i="123"/>
  <c r="AH252" i="123"/>
  <c r="Z255" i="123"/>
  <c r="X256" i="123"/>
  <c r="X258" i="123"/>
  <c r="Y258" i="123" s="1"/>
  <c r="Z258" i="123" s="1"/>
  <c r="AH268" i="123"/>
  <c r="AI268" i="123" s="1"/>
  <c r="AJ268" i="123" s="1"/>
  <c r="X284" i="123"/>
  <c r="AH291" i="123"/>
  <c r="AI291" i="123" s="1"/>
  <c r="AJ291" i="123" s="1"/>
  <c r="Z298" i="123"/>
  <c r="X302" i="123"/>
  <c r="Y302" i="123" s="1"/>
  <c r="Z302" i="123" s="1"/>
  <c r="X310" i="123"/>
  <c r="Y310" i="123" s="1"/>
  <c r="Z310" i="123" s="1"/>
  <c r="AH314" i="123"/>
  <c r="AI314" i="123" s="1"/>
  <c r="AJ314" i="123" s="1"/>
  <c r="AK314" i="123" s="1"/>
  <c r="Z319" i="123"/>
  <c r="AE319" i="123"/>
  <c r="X321" i="123"/>
  <c r="Y321" i="123" s="1"/>
  <c r="Z321" i="123" s="1"/>
  <c r="AH325" i="123"/>
  <c r="AI325" i="123" s="1"/>
  <c r="AJ325" i="123" s="1"/>
  <c r="AH327" i="123"/>
  <c r="AI327" i="123" s="1"/>
  <c r="AJ327" i="123" s="1"/>
  <c r="AH334" i="123"/>
  <c r="AI334" i="123" s="1"/>
  <c r="AJ334" i="123" s="1"/>
  <c r="X337" i="123"/>
  <c r="Y337" i="123" s="1"/>
  <c r="Z337" i="123" s="1"/>
  <c r="Y338" i="123"/>
  <c r="Z338" i="123" s="1"/>
  <c r="AH345" i="123"/>
  <c r="Y351" i="123"/>
  <c r="Z351" i="123" s="1"/>
  <c r="AK351" i="123" s="1"/>
  <c r="Z352" i="123"/>
  <c r="AK352" i="123" s="1"/>
  <c r="X356" i="123"/>
  <c r="Y356" i="123" s="1"/>
  <c r="Z356" i="123" s="1"/>
  <c r="AH200" i="123"/>
  <c r="AI200" i="123" s="1"/>
  <c r="AJ200" i="123" s="1"/>
  <c r="X210" i="123"/>
  <c r="Y210" i="123" s="1"/>
  <c r="Z210" i="123" s="1"/>
  <c r="AE214" i="123"/>
  <c r="AH223" i="123"/>
  <c r="AI223" i="123" s="1"/>
  <c r="AJ223" i="123" s="1"/>
  <c r="Z227" i="123"/>
  <c r="AE235" i="123"/>
  <c r="Y250" i="123"/>
  <c r="Z250" i="123" s="1"/>
  <c r="AK250" i="123" s="1"/>
  <c r="AE276" i="123"/>
  <c r="Y277" i="123"/>
  <c r="Z277" i="123" s="1"/>
  <c r="Y303" i="123"/>
  <c r="AI308" i="123"/>
  <c r="AJ308" i="123" s="1"/>
  <c r="Y311" i="123"/>
  <c r="Y313" i="123"/>
  <c r="Z313" i="123" s="1"/>
  <c r="Y315" i="123"/>
  <c r="Y328" i="123"/>
  <c r="Z328" i="123" s="1"/>
  <c r="Y343" i="123"/>
  <c r="Z343" i="123" s="1"/>
  <c r="AK343" i="123" s="1"/>
  <c r="AI349" i="123"/>
  <c r="AJ349" i="123" s="1"/>
  <c r="AK349" i="123" s="1"/>
  <c r="Y358" i="123"/>
  <c r="Z358" i="123" s="1"/>
  <c r="X202" i="123"/>
  <c r="Y202" i="123" s="1"/>
  <c r="Z213" i="123"/>
  <c r="Y216" i="123"/>
  <c r="Z216" i="123" s="1"/>
  <c r="Z220" i="123"/>
  <c r="AH224" i="123"/>
  <c r="X251" i="123"/>
  <c r="Y251" i="123" s="1"/>
  <c r="Z251" i="123" s="1"/>
  <c r="AH258" i="123"/>
  <c r="AE265" i="123"/>
  <c r="AH273" i="123"/>
  <c r="AH279" i="123"/>
  <c r="AI279" i="123" s="1"/>
  <c r="AJ279" i="123" s="1"/>
  <c r="AH284" i="123"/>
  <c r="X290" i="123"/>
  <c r="AH293" i="123"/>
  <c r="AI293" i="123" s="1"/>
  <c r="AJ293" i="123" s="1"/>
  <c r="X294" i="123"/>
  <c r="Y294" i="123" s="1"/>
  <c r="Z294" i="123" s="1"/>
  <c r="Y297" i="123"/>
  <c r="Z297" i="123" s="1"/>
  <c r="AH299" i="123"/>
  <c r="AH302" i="123"/>
  <c r="X304" i="123"/>
  <c r="Y304" i="123" s="1"/>
  <c r="Z304" i="123" s="1"/>
  <c r="X307" i="123"/>
  <c r="Y307" i="123" s="1"/>
  <c r="Z307" i="123" s="1"/>
  <c r="Z308" i="123"/>
  <c r="AH310" i="123"/>
  <c r="AH312" i="123"/>
  <c r="AI312" i="123" s="1"/>
  <c r="AJ312" i="123" s="1"/>
  <c r="X317" i="123"/>
  <c r="Y317" i="123" s="1"/>
  <c r="Z317" i="123" s="1"/>
  <c r="X326" i="123"/>
  <c r="Y326" i="123" s="1"/>
  <c r="AE331" i="123"/>
  <c r="X339" i="123"/>
  <c r="Y339" i="123" s="1"/>
  <c r="Z339" i="123" s="1"/>
  <c r="Z344" i="123"/>
  <c r="AH347" i="123"/>
  <c r="AI347" i="123" s="1"/>
  <c r="AJ347" i="123" s="1"/>
  <c r="Z348" i="123"/>
  <c r="AK348" i="123" s="1"/>
  <c r="AE348" i="123"/>
  <c r="AH358" i="123"/>
  <c r="AI358" i="123" s="1"/>
  <c r="AJ358" i="123" s="1"/>
  <c r="Z367" i="123"/>
  <c r="AI367" i="123"/>
  <c r="AJ367" i="123" s="1"/>
  <c r="AI241" i="123"/>
  <c r="AJ241" i="123" s="1"/>
  <c r="Y243" i="123"/>
  <c r="Z243" i="123" s="1"/>
  <c r="X247" i="123"/>
  <c r="Y247" i="123" s="1"/>
  <c r="Z247" i="123" s="1"/>
  <c r="X266" i="123"/>
  <c r="Y266" i="123" s="1"/>
  <c r="Z266" i="123" s="1"/>
  <c r="X274" i="123"/>
  <c r="Y274" i="123" s="1"/>
  <c r="Z274" i="123" s="1"/>
  <c r="X288" i="123"/>
  <c r="Y288" i="123" s="1"/>
  <c r="Z288" i="123" s="1"/>
  <c r="Y292" i="123"/>
  <c r="Z292" i="123" s="1"/>
  <c r="X305" i="123"/>
  <c r="Y305" i="123" s="1"/>
  <c r="AH311" i="123"/>
  <c r="AE313" i="123"/>
  <c r="X323" i="123"/>
  <c r="Y323" i="123" s="1"/>
  <c r="Z323" i="123" s="1"/>
  <c r="X355" i="123"/>
  <c r="Y355" i="123" s="1"/>
  <c r="Z355" i="123" s="1"/>
  <c r="AI390" i="123"/>
  <c r="AJ390" i="123" s="1"/>
  <c r="AI229" i="123"/>
  <c r="AJ229" i="123" s="1"/>
  <c r="AE236" i="123"/>
  <c r="AI344" i="123"/>
  <c r="AJ344" i="123" s="1"/>
  <c r="Z363" i="123"/>
  <c r="AI363" i="123"/>
  <c r="AJ363" i="123" s="1"/>
  <c r="Z372" i="123"/>
  <c r="Z385" i="123"/>
  <c r="AI385" i="123"/>
  <c r="AJ385" i="123" s="1"/>
  <c r="AE44" i="123"/>
  <c r="X54" i="123"/>
  <c r="Y54" i="123" s="1"/>
  <c r="Z54" i="123" s="1"/>
  <c r="AH63" i="123"/>
  <c r="AH66" i="123"/>
  <c r="AI66" i="123" s="1"/>
  <c r="AJ66" i="123" s="1"/>
  <c r="AK66" i="123" s="1"/>
  <c r="AE65" i="123"/>
  <c r="AH71" i="123"/>
  <c r="AI71" i="123" s="1"/>
  <c r="AJ71" i="123" s="1"/>
  <c r="AE78" i="123"/>
  <c r="AH89" i="123"/>
  <c r="AI89" i="123" s="1"/>
  <c r="AJ89" i="123" s="1"/>
  <c r="Z92" i="123"/>
  <c r="X106" i="123"/>
  <c r="Y106" i="123" s="1"/>
  <c r="Z131" i="123"/>
  <c r="AH131" i="123"/>
  <c r="AI131" i="123" s="1"/>
  <c r="AJ131" i="123" s="1"/>
  <c r="AH153" i="123"/>
  <c r="AI153" i="123" s="1"/>
  <c r="AJ153" i="123" s="1"/>
  <c r="X161" i="123"/>
  <c r="Y161" i="123" s="1"/>
  <c r="Z161" i="123" s="1"/>
  <c r="AH178" i="123"/>
  <c r="AH179" i="123"/>
  <c r="Z185" i="123"/>
  <c r="X188" i="123"/>
  <c r="Y188" i="123" s="1"/>
  <c r="Z188" i="123" s="1"/>
  <c r="AH189" i="123"/>
  <c r="AI189" i="123" s="1"/>
  <c r="AJ189" i="123" s="1"/>
  <c r="X193" i="123"/>
  <c r="Y193" i="123" s="1"/>
  <c r="Z193" i="123" s="1"/>
  <c r="AH199" i="123"/>
  <c r="AI199" i="123" s="1"/>
  <c r="AJ199" i="123" s="1"/>
  <c r="X203" i="123"/>
  <c r="Y203" i="123" s="1"/>
  <c r="Z203" i="123" s="1"/>
  <c r="Y207" i="123"/>
  <c r="Z207" i="123" s="1"/>
  <c r="AH209" i="123"/>
  <c r="AE216" i="123"/>
  <c r="X217" i="123"/>
  <c r="Y217" i="123" s="1"/>
  <c r="Z217" i="123" s="1"/>
  <c r="X224" i="123"/>
  <c r="Y224" i="123" s="1"/>
  <c r="Z224" i="123" s="1"/>
  <c r="AH242" i="123"/>
  <c r="X244" i="123"/>
  <c r="Y244" i="123" s="1"/>
  <c r="Z244" i="123" s="1"/>
  <c r="AH249" i="123"/>
  <c r="X253" i="123"/>
  <c r="Y253" i="123" s="1"/>
  <c r="Z253" i="123" s="1"/>
  <c r="X257" i="123"/>
  <c r="Y257" i="123" s="1"/>
  <c r="AH260" i="123"/>
  <c r="Y272" i="123"/>
  <c r="Z272" i="123" s="1"/>
  <c r="AK272" i="123" s="1"/>
  <c r="AH274" i="123"/>
  <c r="X276" i="123"/>
  <c r="Y276" i="123" s="1"/>
  <c r="Z276" i="123" s="1"/>
  <c r="AH281" i="123"/>
  <c r="AI281" i="123" s="1"/>
  <c r="AJ281" i="123" s="1"/>
  <c r="AH282" i="123"/>
  <c r="AI282" i="123" s="1"/>
  <c r="AJ282" i="123" s="1"/>
  <c r="X306" i="123"/>
  <c r="Y306" i="123" s="1"/>
  <c r="Z306" i="123" s="1"/>
  <c r="AH313" i="123"/>
  <c r="AI313" i="123" s="1"/>
  <c r="AJ313" i="123" s="1"/>
  <c r="AH315" i="123"/>
  <c r="AI315" i="123" s="1"/>
  <c r="AJ315" i="123" s="1"/>
  <c r="AH317" i="123"/>
  <c r="Y320" i="123"/>
  <c r="Z320" i="123" s="1"/>
  <c r="X332" i="123"/>
  <c r="Y332" i="123" s="1"/>
  <c r="Z332" i="123" s="1"/>
  <c r="Z346" i="123"/>
  <c r="X322" i="123"/>
  <c r="Y322" i="123" s="1"/>
  <c r="Z322" i="123" s="1"/>
  <c r="Y334" i="123"/>
  <c r="Z334" i="123" s="1"/>
  <c r="X342" i="123"/>
  <c r="Y342" i="123" s="1"/>
  <c r="Z361" i="123"/>
  <c r="AI361" i="123"/>
  <c r="AJ361" i="123" s="1"/>
  <c r="Z377" i="123"/>
  <c r="AH203" i="123"/>
  <c r="X214" i="123"/>
  <c r="Y214" i="123" s="1"/>
  <c r="Z214" i="123" s="1"/>
  <c r="AH217" i="123"/>
  <c r="X245" i="123"/>
  <c r="Y245" i="123" s="1"/>
  <c r="Z245" i="123" s="1"/>
  <c r="X261" i="123"/>
  <c r="Y261" i="123" s="1"/>
  <c r="Z261" i="123" s="1"/>
  <c r="Y280" i="123"/>
  <c r="AE288" i="123"/>
  <c r="AH298" i="123"/>
  <c r="AI298" i="123" s="1"/>
  <c r="AJ298" i="123" s="1"/>
  <c r="Y325" i="123"/>
  <c r="Z325" i="123" s="1"/>
  <c r="Y329" i="123"/>
  <c r="Z329" i="123" s="1"/>
  <c r="AE336" i="123"/>
  <c r="AE349" i="123"/>
  <c r="Z373" i="123"/>
  <c r="Z40" i="123"/>
  <c r="Z71" i="123"/>
  <c r="AI17" i="123"/>
  <c r="AJ17" i="123" s="1"/>
  <c r="AI46" i="123"/>
  <c r="AJ46" i="123" s="1"/>
  <c r="AK46" i="123" s="1"/>
  <c r="Y75" i="123"/>
  <c r="Z75" i="123" s="1"/>
  <c r="AE21" i="123"/>
  <c r="AH21" i="123"/>
  <c r="AE36" i="123"/>
  <c r="AH36" i="123"/>
  <c r="AH14" i="123"/>
  <c r="AI14" i="123" s="1"/>
  <c r="AJ14" i="123" s="1"/>
  <c r="AE14" i="123"/>
  <c r="Z89" i="123"/>
  <c r="Y104" i="123"/>
  <c r="Z104" i="123" s="1"/>
  <c r="AI104" i="123"/>
  <c r="AJ104" i="123" s="1"/>
  <c r="AH22" i="123"/>
  <c r="AE29" i="123"/>
  <c r="AH29" i="123"/>
  <c r="AI29" i="123" s="1"/>
  <c r="AJ29" i="123" s="1"/>
  <c r="AH47" i="123"/>
  <c r="AI47" i="123" s="1"/>
  <c r="AJ47" i="123" s="1"/>
  <c r="AE47" i="123"/>
  <c r="AH49" i="123"/>
  <c r="AE49" i="123"/>
  <c r="AH78" i="123"/>
  <c r="Z82" i="123"/>
  <c r="AI130" i="123"/>
  <c r="AJ130" i="123" s="1"/>
  <c r="AH115" i="123"/>
  <c r="AI115" i="123" s="1"/>
  <c r="AJ115" i="123" s="1"/>
  <c r="AE113" i="123"/>
  <c r="Z15" i="123"/>
  <c r="X22" i="123"/>
  <c r="Y22" i="123" s="1"/>
  <c r="Z22" i="123" s="1"/>
  <c r="AE27" i="123"/>
  <c r="AH27" i="123"/>
  <c r="AI27" i="123" s="1"/>
  <c r="AJ27" i="123" s="1"/>
  <c r="AH67" i="123"/>
  <c r="AH76" i="123"/>
  <c r="AI76" i="123" s="1"/>
  <c r="AJ76" i="123" s="1"/>
  <c r="AE76" i="123"/>
  <c r="X78" i="123"/>
  <c r="Y78" i="123" s="1"/>
  <c r="Z78" i="123" s="1"/>
  <c r="AE80" i="123"/>
  <c r="Z90" i="123"/>
  <c r="AE90" i="123"/>
  <c r="AH92" i="123"/>
  <c r="AI92" i="123" s="1"/>
  <c r="AJ92" i="123" s="1"/>
  <c r="AE220" i="123"/>
  <c r="AH220" i="123"/>
  <c r="AI220" i="123" s="1"/>
  <c r="AJ220" i="123" s="1"/>
  <c r="AH219" i="123"/>
  <c r="AI219" i="123" s="1"/>
  <c r="AJ219" i="123" s="1"/>
  <c r="AE218" i="123"/>
  <c r="Z17" i="123"/>
  <c r="X10" i="123"/>
  <c r="Y10" i="123" s="1"/>
  <c r="Z10" i="123" s="1"/>
  <c r="AI15" i="123"/>
  <c r="AJ15" i="123" s="1"/>
  <c r="AE51" i="123"/>
  <c r="AH55" i="123"/>
  <c r="AI55" i="123" s="1"/>
  <c r="AJ55" i="123" s="1"/>
  <c r="AE55" i="123"/>
  <c r="Z59" i="123"/>
  <c r="X65" i="123"/>
  <c r="AE70" i="123"/>
  <c r="X73" i="123"/>
  <c r="Y73" i="123" s="1"/>
  <c r="Z73" i="123" s="1"/>
  <c r="AE109" i="123"/>
  <c r="AI125" i="123"/>
  <c r="AJ125" i="123" s="1"/>
  <c r="Y125" i="123"/>
  <c r="Z125" i="123" s="1"/>
  <c r="AH133" i="123"/>
  <c r="AE133" i="123"/>
  <c r="AH206" i="123"/>
  <c r="AI206" i="123" s="1"/>
  <c r="AJ206" i="123" s="1"/>
  <c r="AE206" i="123"/>
  <c r="Y231" i="123"/>
  <c r="Z231" i="123" s="1"/>
  <c r="AH86" i="123"/>
  <c r="AE86" i="123"/>
  <c r="Z33" i="123"/>
  <c r="AH8" i="123"/>
  <c r="AE4" i="123"/>
  <c r="AH72" i="123"/>
  <c r="AI72" i="123" s="1"/>
  <c r="AJ72" i="123" s="1"/>
  <c r="Z76" i="123"/>
  <c r="Z85" i="123"/>
  <c r="AK85" i="123" s="1"/>
  <c r="Z6" i="123"/>
  <c r="AK6" i="123" s="1"/>
  <c r="Z13" i="123"/>
  <c r="AE13" i="123"/>
  <c r="AH13" i="123"/>
  <c r="AI13" i="123" s="1"/>
  <c r="AJ13" i="123" s="1"/>
  <c r="AH30" i="123"/>
  <c r="AI30" i="123" s="1"/>
  <c r="AJ30" i="123" s="1"/>
  <c r="AE30" i="123"/>
  <c r="Z35" i="123"/>
  <c r="AI45" i="123"/>
  <c r="AJ45" i="123" s="1"/>
  <c r="AH59" i="123"/>
  <c r="AE82" i="123"/>
  <c r="AH83" i="123"/>
  <c r="AI83" i="123" s="1"/>
  <c r="AJ83" i="123" s="1"/>
  <c r="AE98" i="123"/>
  <c r="AE102" i="123"/>
  <c r="AH102" i="123"/>
  <c r="AE129" i="123"/>
  <c r="AH129" i="123"/>
  <c r="AI129" i="123" s="1"/>
  <c r="AJ129" i="123" s="1"/>
  <c r="AI74" i="123"/>
  <c r="AJ74" i="123" s="1"/>
  <c r="AH24" i="123"/>
  <c r="AE20" i="123"/>
  <c r="Z31" i="123"/>
  <c r="Z42" i="123"/>
  <c r="AE5" i="123"/>
  <c r="Z83" i="123"/>
  <c r="Y94" i="123"/>
  <c r="Z94" i="123" s="1"/>
  <c r="AK94" i="123" s="1"/>
  <c r="AH120" i="123"/>
  <c r="AI120" i="123" s="1"/>
  <c r="AJ120" i="123" s="1"/>
  <c r="AE120" i="123"/>
  <c r="AH134" i="123"/>
  <c r="AI134" i="123" s="1"/>
  <c r="AJ134" i="123" s="1"/>
  <c r="AE132" i="123"/>
  <c r="Y150" i="123"/>
  <c r="Z150" i="123" s="1"/>
  <c r="AH43" i="123"/>
  <c r="AI43" i="123" s="1"/>
  <c r="AJ43" i="123" s="1"/>
  <c r="AH84" i="123"/>
  <c r="AI84" i="123" s="1"/>
  <c r="AJ84" i="123" s="1"/>
  <c r="AH3" i="123"/>
  <c r="AI3" i="123" s="1"/>
  <c r="AJ3" i="123" s="1"/>
  <c r="AK3" i="123" s="1"/>
  <c r="X5" i="123"/>
  <c r="Y5" i="123" s="1"/>
  <c r="Z5" i="123" s="1"/>
  <c r="AH19" i="123"/>
  <c r="AI19" i="123" s="1"/>
  <c r="AJ19" i="123" s="1"/>
  <c r="X21" i="123"/>
  <c r="Y21" i="123" s="1"/>
  <c r="Z21" i="123" s="1"/>
  <c r="Z23" i="123"/>
  <c r="AH35" i="123"/>
  <c r="AI35" i="123" s="1"/>
  <c r="AJ35" i="123" s="1"/>
  <c r="AE43" i="123"/>
  <c r="AE84" i="123"/>
  <c r="X97" i="123"/>
  <c r="Z106" i="123"/>
  <c r="X108" i="123"/>
  <c r="Y108" i="123" s="1"/>
  <c r="Z108" i="123" s="1"/>
  <c r="X109" i="123"/>
  <c r="Y109" i="123" s="1"/>
  <c r="Z109" i="123" s="1"/>
  <c r="AH112" i="123"/>
  <c r="AI112" i="123" s="1"/>
  <c r="AJ112" i="123" s="1"/>
  <c r="AE112" i="123"/>
  <c r="AH114" i="123"/>
  <c r="AI114" i="123" s="1"/>
  <c r="AJ114" i="123" s="1"/>
  <c r="AK114" i="123" s="1"/>
  <c r="AH141" i="123"/>
  <c r="AE141" i="123"/>
  <c r="AI149" i="123"/>
  <c r="AJ149" i="123" s="1"/>
  <c r="AE152" i="123"/>
  <c r="Z156" i="123"/>
  <c r="X167" i="123"/>
  <c r="Y167" i="123" s="1"/>
  <c r="Z167" i="123" s="1"/>
  <c r="Y275" i="123"/>
  <c r="Z275" i="123" s="1"/>
  <c r="Z135" i="123"/>
  <c r="AI135" i="123"/>
  <c r="AJ135" i="123" s="1"/>
  <c r="AI184" i="123"/>
  <c r="AJ184" i="123" s="1"/>
  <c r="X18" i="123"/>
  <c r="Y18" i="123" s="1"/>
  <c r="Z18" i="123" s="1"/>
  <c r="X34" i="123"/>
  <c r="Y34" i="123" s="1"/>
  <c r="Z34" i="123" s="1"/>
  <c r="AH81" i="123"/>
  <c r="AI81" i="123" s="1"/>
  <c r="AJ81" i="123" s="1"/>
  <c r="AK81" i="123" s="1"/>
  <c r="Z91" i="123"/>
  <c r="AK91" i="123" s="1"/>
  <c r="X113" i="123"/>
  <c r="Y113" i="123" s="1"/>
  <c r="Z113" i="123" s="1"/>
  <c r="AH117" i="123"/>
  <c r="AI117" i="123" s="1"/>
  <c r="AJ117" i="123" s="1"/>
  <c r="AE117" i="123"/>
  <c r="Z146" i="123"/>
  <c r="AI148" i="123"/>
  <c r="AJ148" i="123" s="1"/>
  <c r="Y162" i="123"/>
  <c r="Z162" i="123" s="1"/>
  <c r="AK162" i="123" s="1"/>
  <c r="AI169" i="123"/>
  <c r="AJ169" i="123" s="1"/>
  <c r="AK169" i="123" s="1"/>
  <c r="X186" i="123"/>
  <c r="Z128" i="123"/>
  <c r="AH128" i="123"/>
  <c r="AI128" i="123" s="1"/>
  <c r="AJ128" i="123" s="1"/>
  <c r="AE128" i="123"/>
  <c r="AE144" i="123"/>
  <c r="AH144" i="123"/>
  <c r="AI144" i="123" s="1"/>
  <c r="AJ144" i="123" s="1"/>
  <c r="AH171" i="123"/>
  <c r="AI171" i="123" s="1"/>
  <c r="AJ171" i="123" s="1"/>
  <c r="AE171" i="123"/>
  <c r="X8" i="123"/>
  <c r="Y8" i="123" s="1"/>
  <c r="Z8" i="123" s="1"/>
  <c r="X24" i="123"/>
  <c r="Y24" i="123" s="1"/>
  <c r="Z24" i="123" s="1"/>
  <c r="X39" i="123"/>
  <c r="Y39" i="123" s="1"/>
  <c r="Z39" i="123" s="1"/>
  <c r="X80" i="123"/>
  <c r="Y80" i="123" s="1"/>
  <c r="Z80" i="123" s="1"/>
  <c r="AE88" i="123"/>
  <c r="AI96" i="123"/>
  <c r="AJ96" i="123" s="1"/>
  <c r="AH98" i="123"/>
  <c r="AI98" i="123" s="1"/>
  <c r="AJ98" i="123" s="1"/>
  <c r="X118" i="123"/>
  <c r="Y118" i="123" s="1"/>
  <c r="Z118" i="123" s="1"/>
  <c r="X123" i="123"/>
  <c r="Y123" i="123" s="1"/>
  <c r="Z123" i="123" s="1"/>
  <c r="AE136" i="123"/>
  <c r="AH138" i="123"/>
  <c r="AI138" i="123" s="1"/>
  <c r="AJ138" i="123" s="1"/>
  <c r="Z144" i="123"/>
  <c r="Z153" i="123"/>
  <c r="AE153" i="123"/>
  <c r="Z164" i="123"/>
  <c r="AH164" i="123"/>
  <c r="AI164" i="123" s="1"/>
  <c r="AJ164" i="123" s="1"/>
  <c r="Z171" i="123"/>
  <c r="AH193" i="123"/>
  <c r="Y195" i="123"/>
  <c r="Z195" i="123" s="1"/>
  <c r="Y229" i="123"/>
  <c r="Z229" i="123" s="1"/>
  <c r="X172" i="123"/>
  <c r="Y172" i="123" s="1"/>
  <c r="Z172" i="123" s="1"/>
  <c r="X179" i="123"/>
  <c r="AI183" i="123"/>
  <c r="AJ183" i="123" s="1"/>
  <c r="Z189" i="123"/>
  <c r="AE202" i="123"/>
  <c r="AI213" i="123"/>
  <c r="AJ213" i="123" s="1"/>
  <c r="AH214" i="123"/>
  <c r="Y95" i="123"/>
  <c r="Z95" i="123" s="1"/>
  <c r="AH121" i="123"/>
  <c r="AE121" i="123"/>
  <c r="AI132" i="123"/>
  <c r="AJ132" i="123" s="1"/>
  <c r="AI151" i="123"/>
  <c r="AJ151" i="123" s="1"/>
  <c r="AH195" i="123"/>
  <c r="AI195" i="123" s="1"/>
  <c r="AJ195" i="123" s="1"/>
  <c r="AE195" i="123"/>
  <c r="Y199" i="123"/>
  <c r="Z199" i="123" s="1"/>
  <c r="AE208" i="123"/>
  <c r="AH208" i="123"/>
  <c r="AH93" i="123"/>
  <c r="AE94" i="123"/>
  <c r="X102" i="123"/>
  <c r="Y102" i="123" s="1"/>
  <c r="Z102" i="123" s="1"/>
  <c r="X126" i="123"/>
  <c r="X177" i="123"/>
  <c r="Y177" i="123" s="1"/>
  <c r="Z177" i="123" s="1"/>
  <c r="AH181" i="123"/>
  <c r="X190" i="123"/>
  <c r="Y190" i="123" s="1"/>
  <c r="Z190" i="123" s="1"/>
  <c r="X197" i="123"/>
  <c r="AH204" i="123"/>
  <c r="AI204" i="123" s="1"/>
  <c r="AJ204" i="123" s="1"/>
  <c r="X211" i="123"/>
  <c r="Y211" i="123" s="1"/>
  <c r="Z211" i="123" s="1"/>
  <c r="AI222" i="123"/>
  <c r="AJ222" i="123" s="1"/>
  <c r="X249" i="123"/>
  <c r="Y249" i="123" s="1"/>
  <c r="Z249" i="123" s="1"/>
  <c r="AH123" i="123"/>
  <c r="AE124" i="123"/>
  <c r="AH142" i="123"/>
  <c r="AH211" i="123"/>
  <c r="AE210" i="123"/>
  <c r="AH233" i="123"/>
  <c r="AE233" i="123"/>
  <c r="X235" i="123"/>
  <c r="Y235" i="123" s="1"/>
  <c r="Z235" i="123" s="1"/>
  <c r="AI239" i="123"/>
  <c r="AJ239" i="123" s="1"/>
  <c r="Y241" i="123"/>
  <c r="Z241" i="123" s="1"/>
  <c r="AH243" i="123"/>
  <c r="AI243" i="123" s="1"/>
  <c r="AJ243" i="123" s="1"/>
  <c r="Y222" i="123"/>
  <c r="Z222" i="123" s="1"/>
  <c r="Y226" i="123"/>
  <c r="Z226" i="123" s="1"/>
  <c r="AK226" i="123" s="1"/>
  <c r="AI246" i="123"/>
  <c r="AJ246" i="123" s="1"/>
  <c r="Z252" i="123"/>
  <c r="Y268" i="123"/>
  <c r="Z268" i="123" s="1"/>
  <c r="AH124" i="123"/>
  <c r="AI124" i="123" s="1"/>
  <c r="AJ124" i="123" s="1"/>
  <c r="Z140" i="123"/>
  <c r="X180" i="123"/>
  <c r="Y180" i="123" s="1"/>
  <c r="Z180" i="123" s="1"/>
  <c r="Z198" i="123"/>
  <c r="AE198" i="123"/>
  <c r="AH198" i="123"/>
  <c r="AI198" i="123" s="1"/>
  <c r="AJ198" i="123" s="1"/>
  <c r="Z204" i="123"/>
  <c r="Y236" i="123"/>
  <c r="Z236" i="123" s="1"/>
  <c r="AI236" i="123"/>
  <c r="AJ236" i="123" s="1"/>
  <c r="AI244" i="123"/>
  <c r="AJ244" i="123" s="1"/>
  <c r="AK244" i="123" s="1"/>
  <c r="Z246" i="123"/>
  <c r="X121" i="123"/>
  <c r="Y121" i="123" s="1"/>
  <c r="Z121" i="123" s="1"/>
  <c r="AH166" i="123"/>
  <c r="AH175" i="123"/>
  <c r="Y206" i="123"/>
  <c r="Z206" i="123" s="1"/>
  <c r="Y218" i="123"/>
  <c r="Z218" i="123" s="1"/>
  <c r="AI237" i="123"/>
  <c r="AJ237" i="123" s="1"/>
  <c r="Z240" i="123"/>
  <c r="X242" i="123"/>
  <c r="Y242" i="123" s="1"/>
  <c r="Z242" i="123" s="1"/>
  <c r="AH251" i="123"/>
  <c r="AI277" i="123"/>
  <c r="AJ277" i="123" s="1"/>
  <c r="AI227" i="123"/>
  <c r="AJ227" i="123" s="1"/>
  <c r="AK227" i="123" s="1"/>
  <c r="AH188" i="123"/>
  <c r="Z202" i="123"/>
  <c r="X208" i="123"/>
  <c r="Y208" i="123" s="1"/>
  <c r="Z208" i="123" s="1"/>
  <c r="AH210" i="123"/>
  <c r="AH225" i="123"/>
  <c r="AI225" i="123" s="1"/>
  <c r="AJ225" i="123" s="1"/>
  <c r="AH228" i="123"/>
  <c r="AH232" i="123"/>
  <c r="AI232" i="123" s="1"/>
  <c r="AJ232" i="123" s="1"/>
  <c r="AH245" i="123"/>
  <c r="AI245" i="123" s="1"/>
  <c r="AJ245" i="123" s="1"/>
  <c r="Z257" i="123"/>
  <c r="AI259" i="123"/>
  <c r="AJ259" i="123" s="1"/>
  <c r="AH267" i="123"/>
  <c r="Y271" i="123"/>
  <c r="Z271" i="123" s="1"/>
  <c r="AH207" i="123"/>
  <c r="AI207" i="123" s="1"/>
  <c r="AJ207" i="123" s="1"/>
  <c r="Z215" i="123"/>
  <c r="AH255" i="123"/>
  <c r="AI255" i="123" s="1"/>
  <c r="AJ255" i="123" s="1"/>
  <c r="Y290" i="123"/>
  <c r="Z290" i="123" s="1"/>
  <c r="AI290" i="123"/>
  <c r="AJ290" i="123" s="1"/>
  <c r="AH230" i="123"/>
  <c r="AI230" i="123" s="1"/>
  <c r="AJ230" i="123" s="1"/>
  <c r="AI231" i="123"/>
  <c r="AJ231" i="123" s="1"/>
  <c r="Z254" i="123"/>
  <c r="AK254" i="123" s="1"/>
  <c r="AI260" i="123"/>
  <c r="AJ260" i="123" s="1"/>
  <c r="AI283" i="123"/>
  <c r="AJ283" i="123" s="1"/>
  <c r="AH285" i="123"/>
  <c r="AE283" i="123"/>
  <c r="Z260" i="123"/>
  <c r="AI263" i="123"/>
  <c r="AJ263" i="123" s="1"/>
  <c r="Z283" i="123"/>
  <c r="AH163" i="123"/>
  <c r="X174" i="123"/>
  <c r="Y174" i="123" s="1"/>
  <c r="Z174" i="123" s="1"/>
  <c r="X175" i="123"/>
  <c r="Y175" i="123" s="1"/>
  <c r="Z175" i="123" s="1"/>
  <c r="AE253" i="123"/>
  <c r="Z263" i="123"/>
  <c r="X269" i="123"/>
  <c r="Y269" i="123" s="1"/>
  <c r="Z269" i="123" s="1"/>
  <c r="AH271" i="123"/>
  <c r="AI271" i="123" s="1"/>
  <c r="AJ271" i="123" s="1"/>
  <c r="X273" i="123"/>
  <c r="Y273" i="123" s="1"/>
  <c r="Z273" i="123" s="1"/>
  <c r="AI240" i="123"/>
  <c r="AJ240" i="123" s="1"/>
  <c r="AH257" i="123"/>
  <c r="X264" i="123"/>
  <c r="Y264" i="123" s="1"/>
  <c r="Z264" i="123" s="1"/>
  <c r="X267" i="123"/>
  <c r="Y267" i="123" s="1"/>
  <c r="Z267" i="123" s="1"/>
  <c r="Y270" i="123"/>
  <c r="Z270" i="123" s="1"/>
  <c r="Z281" i="123"/>
  <c r="Z259" i="123"/>
  <c r="AH266" i="123"/>
  <c r="AE264" i="123"/>
  <c r="AH143" i="123"/>
  <c r="Z149" i="123"/>
  <c r="AK149" i="123" s="1"/>
  <c r="AH168" i="123"/>
  <c r="AI168" i="123" s="1"/>
  <c r="AJ168" i="123" s="1"/>
  <c r="X178" i="123"/>
  <c r="Y178" i="123" s="1"/>
  <c r="Z178" i="123" s="1"/>
  <c r="X228" i="123"/>
  <c r="Y228" i="123" s="1"/>
  <c r="Z228" i="123" s="1"/>
  <c r="X234" i="123"/>
  <c r="Y234" i="123" s="1"/>
  <c r="Z234" i="123" s="1"/>
  <c r="AE241" i="123"/>
  <c r="X278" i="123"/>
  <c r="AE282" i="123"/>
  <c r="X286" i="123"/>
  <c r="Z305" i="123"/>
  <c r="AH306" i="123"/>
  <c r="AI306" i="123" s="1"/>
  <c r="AJ306" i="123" s="1"/>
  <c r="AE306" i="123"/>
  <c r="AE277" i="123"/>
  <c r="Z279" i="123"/>
  <c r="Z280" i="123"/>
  <c r="AK280" i="123" s="1"/>
  <c r="Y284" i="123"/>
  <c r="Z284" i="123" s="1"/>
  <c r="Z293" i="123"/>
  <c r="AH276" i="123"/>
  <c r="Y282" i="123"/>
  <c r="Z282" i="123" s="1"/>
  <c r="AH287" i="123"/>
  <c r="AI287" i="123" s="1"/>
  <c r="AJ287" i="123" s="1"/>
  <c r="AL294" i="123"/>
  <c r="X299" i="123"/>
  <c r="Y299" i="123" s="1"/>
  <c r="Z299" i="123" s="1"/>
  <c r="AE300" i="123"/>
  <c r="Z303" i="123"/>
  <c r="AH304" i="123"/>
  <c r="AH269" i="123"/>
  <c r="AE289" i="123"/>
  <c r="AH289" i="123"/>
  <c r="AI289" i="123" s="1"/>
  <c r="AJ289" i="123" s="1"/>
  <c r="AH296" i="123"/>
  <c r="AI296" i="123" s="1"/>
  <c r="AJ296" i="123" s="1"/>
  <c r="AK296" i="123" s="1"/>
  <c r="AI297" i="123"/>
  <c r="AJ297" i="123" s="1"/>
  <c r="Z301" i="123"/>
  <c r="Z312" i="123"/>
  <c r="AK312" i="123" s="1"/>
  <c r="AE294" i="123"/>
  <c r="AH294" i="123"/>
  <c r="Z295" i="123"/>
  <c r="AE307" i="123"/>
  <c r="Z309" i="123"/>
  <c r="AK309" i="123" s="1"/>
  <c r="Z314" i="123"/>
  <c r="Z316" i="123"/>
  <c r="Z327" i="123"/>
  <c r="AI331" i="123"/>
  <c r="AJ331" i="123" s="1"/>
  <c r="Y331" i="123"/>
  <c r="Z331" i="123" s="1"/>
  <c r="Y333" i="123"/>
  <c r="Z333" i="123" s="1"/>
  <c r="AI333" i="123"/>
  <c r="AJ333" i="123" s="1"/>
  <c r="AI311" i="123"/>
  <c r="AJ311" i="123" s="1"/>
  <c r="Z311" i="123"/>
  <c r="Z318" i="123"/>
  <c r="AK318" i="123" s="1"/>
  <c r="Z315" i="123"/>
  <c r="AK340" i="123"/>
  <c r="Z341" i="123"/>
  <c r="Z342" i="123"/>
  <c r="Z375" i="123"/>
  <c r="AE312" i="123"/>
  <c r="AI335" i="123"/>
  <c r="AJ335" i="123" s="1"/>
  <c r="Z336" i="123"/>
  <c r="AK336" i="123" s="1"/>
  <c r="AI341" i="123"/>
  <c r="AJ341" i="123" s="1"/>
  <c r="Z360" i="123"/>
  <c r="AI360" i="123"/>
  <c r="AJ360" i="123" s="1"/>
  <c r="AI398" i="123"/>
  <c r="AJ398" i="123" s="1"/>
  <c r="Y330" i="123"/>
  <c r="Z330" i="123" s="1"/>
  <c r="AI329" i="123"/>
  <c r="AJ329" i="123" s="1"/>
  <c r="AH332" i="123"/>
  <c r="Z387" i="123"/>
  <c r="AI387" i="123"/>
  <c r="AJ387" i="123" s="1"/>
  <c r="AI394" i="123"/>
  <c r="AJ394" i="123" s="1"/>
  <c r="Z398" i="123"/>
  <c r="AI399" i="123"/>
  <c r="AJ399" i="123" s="1"/>
  <c r="Y399" i="123"/>
  <c r="Z399" i="123" s="1"/>
  <c r="AH316" i="123"/>
  <c r="AI316" i="123" s="1"/>
  <c r="AJ316" i="123" s="1"/>
  <c r="AE324" i="123"/>
  <c r="AE325" i="123"/>
  <c r="AI364" i="123"/>
  <c r="AJ364" i="123" s="1"/>
  <c r="AI372" i="123"/>
  <c r="AJ372" i="123" s="1"/>
  <c r="Z376" i="123"/>
  <c r="AI376" i="123"/>
  <c r="AJ376" i="123" s="1"/>
  <c r="Z382" i="123"/>
  <c r="AI382" i="123"/>
  <c r="AJ382" i="123" s="1"/>
  <c r="Z396" i="123"/>
  <c r="AI396" i="123"/>
  <c r="AJ396" i="123" s="1"/>
  <c r="AI401" i="123"/>
  <c r="AJ401" i="123" s="1"/>
  <c r="Z326" i="123"/>
  <c r="AH330" i="123"/>
  <c r="AI330" i="123" s="1"/>
  <c r="AJ330" i="123" s="1"/>
  <c r="AE330" i="123"/>
  <c r="Z357" i="123"/>
  <c r="AK357" i="123" s="1"/>
  <c r="AI366" i="123"/>
  <c r="AJ366" i="123" s="1"/>
  <c r="Z374" i="123"/>
  <c r="Z394" i="123"/>
  <c r="Z335" i="123"/>
  <c r="AI346" i="123"/>
  <c r="AJ346" i="123" s="1"/>
  <c r="Z350" i="123"/>
  <c r="Z354" i="123"/>
  <c r="AH354" i="123"/>
  <c r="AI354" i="123" s="1"/>
  <c r="AJ354" i="123" s="1"/>
  <c r="AE354" i="123"/>
  <c r="Z364" i="123"/>
  <c r="Z366" i="123"/>
  <c r="Z368" i="123"/>
  <c r="AI368" i="123"/>
  <c r="AJ368" i="123" s="1"/>
  <c r="AI379" i="123"/>
  <c r="AJ379" i="123" s="1"/>
  <c r="AI386" i="123"/>
  <c r="AJ386" i="123" s="1"/>
  <c r="AK386" i="123" s="1"/>
  <c r="Z392" i="123"/>
  <c r="AI392" i="123"/>
  <c r="AJ392" i="123" s="1"/>
  <c r="Z401" i="123"/>
  <c r="AI350" i="123"/>
  <c r="AJ350" i="123" s="1"/>
  <c r="Z370" i="123"/>
  <c r="AI370" i="123"/>
  <c r="AJ370" i="123" s="1"/>
  <c r="AI377" i="123"/>
  <c r="AJ377" i="123" s="1"/>
  <c r="Z379" i="123"/>
  <c r="AI383" i="123"/>
  <c r="AJ383" i="123" s="1"/>
  <c r="Z388" i="123"/>
  <c r="AI388" i="123"/>
  <c r="AJ388" i="123" s="1"/>
  <c r="Z12" i="61" l="1"/>
  <c r="BF12" i="61"/>
  <c r="AK291" i="123"/>
  <c r="AK289" i="123"/>
  <c r="AK96" i="123"/>
  <c r="AK298" i="123"/>
  <c r="AK117" i="123"/>
  <c r="AK100" i="123"/>
  <c r="AK124" i="123"/>
  <c r="AK130" i="123"/>
  <c r="AK232" i="123"/>
  <c r="AK120" i="123"/>
  <c r="AK92" i="123"/>
  <c r="AK9" i="123"/>
  <c r="AK230" i="123"/>
  <c r="AK28" i="123"/>
  <c r="AK53" i="123"/>
  <c r="AK55" i="123"/>
  <c r="AK287" i="123"/>
  <c r="AK223" i="123"/>
  <c r="AK43" i="123"/>
  <c r="AK262" i="123"/>
  <c r="AK285" i="123"/>
  <c r="AK157" i="123"/>
  <c r="AI369" i="123"/>
  <c r="AJ369" i="123" s="1"/>
  <c r="AK89" i="123"/>
  <c r="AI285" i="123"/>
  <c r="AJ285" i="123" s="1"/>
  <c r="AI248" i="123"/>
  <c r="AJ248" i="123" s="1"/>
  <c r="AI256" i="123"/>
  <c r="AJ256" i="123" s="1"/>
  <c r="AI70" i="123"/>
  <c r="AJ70" i="123" s="1"/>
  <c r="AK70" i="123" s="1"/>
  <c r="AI68" i="123"/>
  <c r="AJ68" i="123" s="1"/>
  <c r="AK116" i="123"/>
  <c r="AI265" i="123"/>
  <c r="AJ265" i="123" s="1"/>
  <c r="AK265" i="123" s="1"/>
  <c r="AK270" i="123"/>
  <c r="AI353" i="123"/>
  <c r="AJ353" i="123" s="1"/>
  <c r="AK346" i="123"/>
  <c r="AI181" i="123"/>
  <c r="AJ181" i="123" s="1"/>
  <c r="AK181" i="123" s="1"/>
  <c r="AI214" i="123"/>
  <c r="AJ214" i="123" s="1"/>
  <c r="AK146" i="123"/>
  <c r="AI88" i="123"/>
  <c r="AJ88" i="123" s="1"/>
  <c r="AK88" i="123" s="1"/>
  <c r="AK30" i="123"/>
  <c r="AI274" i="123"/>
  <c r="AJ274" i="123" s="1"/>
  <c r="Y137" i="123"/>
  <c r="Z137" i="123" s="1"/>
  <c r="AK137" i="123" s="1"/>
  <c r="AI160" i="123"/>
  <c r="AJ160" i="123" s="1"/>
  <c r="AI87" i="123"/>
  <c r="AJ87" i="123" s="1"/>
  <c r="AI62" i="123"/>
  <c r="AJ62" i="123" s="1"/>
  <c r="AK129" i="123"/>
  <c r="AI119" i="123"/>
  <c r="AJ119" i="123" s="1"/>
  <c r="AK119" i="123" s="1"/>
  <c r="AI345" i="123"/>
  <c r="AJ345" i="123" s="1"/>
  <c r="AI133" i="123"/>
  <c r="AJ133" i="123" s="1"/>
  <c r="AI51" i="123"/>
  <c r="AJ51" i="123" s="1"/>
  <c r="AK51" i="123" s="1"/>
  <c r="AK328" i="123"/>
  <c r="AI106" i="123"/>
  <c r="AJ106" i="123" s="1"/>
  <c r="AI41" i="123"/>
  <c r="AJ41" i="123" s="1"/>
  <c r="AI147" i="123"/>
  <c r="AJ147" i="123" s="1"/>
  <c r="AK42" i="123"/>
  <c r="AK282" i="123"/>
  <c r="AI251" i="123"/>
  <c r="AJ251" i="123" s="1"/>
  <c r="AK74" i="123"/>
  <c r="AI150" i="123"/>
  <c r="AJ150" i="123" s="1"/>
  <c r="AI103" i="123"/>
  <c r="AJ103" i="123" s="1"/>
  <c r="AK103" i="123" s="1"/>
  <c r="AK107" i="123"/>
  <c r="AI319" i="123"/>
  <c r="AJ319" i="123" s="1"/>
  <c r="AI173" i="123"/>
  <c r="AJ173" i="123" s="1"/>
  <c r="AI161" i="123"/>
  <c r="AJ161" i="123" s="1"/>
  <c r="AI275" i="123"/>
  <c r="AJ275" i="123" s="1"/>
  <c r="AI166" i="123"/>
  <c r="AJ166" i="123" s="1"/>
  <c r="AI233" i="123"/>
  <c r="AJ233" i="123" s="1"/>
  <c r="AK233" i="123" s="1"/>
  <c r="AK185" i="123"/>
  <c r="AI273" i="123"/>
  <c r="AJ273" i="123" s="1"/>
  <c r="AK200" i="123"/>
  <c r="AI140" i="123"/>
  <c r="AJ140" i="123" s="1"/>
  <c r="AK140" i="123" s="1"/>
  <c r="AI294" i="123"/>
  <c r="AJ294" i="123" s="1"/>
  <c r="AK294" i="123" s="1"/>
  <c r="AI141" i="123"/>
  <c r="AJ141" i="123" s="1"/>
  <c r="AK84" i="123"/>
  <c r="AI324" i="123"/>
  <c r="AJ324" i="123" s="1"/>
  <c r="AK324" i="123" s="1"/>
  <c r="AK334" i="123"/>
  <c r="AI209" i="123"/>
  <c r="AJ209" i="123" s="1"/>
  <c r="AI196" i="123"/>
  <c r="AJ196" i="123" s="1"/>
  <c r="AI145" i="123"/>
  <c r="AJ145" i="123" s="1"/>
  <c r="AK145" i="123" s="1"/>
  <c r="AK251" i="123"/>
  <c r="AI122" i="123"/>
  <c r="AJ122" i="123" s="1"/>
  <c r="AK320" i="123"/>
  <c r="AK131" i="123"/>
  <c r="AK182" i="123"/>
  <c r="AK45" i="123"/>
  <c r="AI86" i="123"/>
  <c r="AJ86" i="123" s="1"/>
  <c r="AI49" i="123"/>
  <c r="AJ49" i="123" s="1"/>
  <c r="AK213" i="123"/>
  <c r="AI50" i="123"/>
  <c r="AJ50" i="123" s="1"/>
  <c r="AI59" i="123"/>
  <c r="AJ59" i="123" s="1"/>
  <c r="AK40" i="123"/>
  <c r="AK308" i="123"/>
  <c r="AK134" i="123"/>
  <c r="AK158" i="123"/>
  <c r="AK388" i="123"/>
  <c r="AI276" i="123"/>
  <c r="AJ276" i="123" s="1"/>
  <c r="AK237" i="123"/>
  <c r="AI67" i="123"/>
  <c r="AJ67" i="123" s="1"/>
  <c r="AK67" i="123" s="1"/>
  <c r="AK214" i="123"/>
  <c r="AI284" i="123"/>
  <c r="AJ284" i="123" s="1"/>
  <c r="AK138" i="123"/>
  <c r="AI52" i="123"/>
  <c r="AJ52" i="123" s="1"/>
  <c r="AK52" i="123" s="1"/>
  <c r="AI108" i="123"/>
  <c r="AJ108" i="123" s="1"/>
  <c r="AI342" i="123"/>
  <c r="AJ342" i="123" s="1"/>
  <c r="AI266" i="123"/>
  <c r="AJ266" i="123" s="1"/>
  <c r="AK266" i="123" s="1"/>
  <c r="AK41" i="123"/>
  <c r="AK306" i="123"/>
  <c r="AK101" i="123"/>
  <c r="AK64" i="123"/>
  <c r="AI355" i="123"/>
  <c r="AJ355" i="123" s="1"/>
  <c r="AK355" i="123" s="1"/>
  <c r="AK159" i="123"/>
  <c r="AK83" i="123"/>
  <c r="AK303" i="123"/>
  <c r="AK215" i="123"/>
  <c r="AI142" i="123"/>
  <c r="AJ142" i="123" s="1"/>
  <c r="AI252" i="123"/>
  <c r="AJ252" i="123" s="1"/>
  <c r="AI295" i="123"/>
  <c r="AJ295" i="123" s="1"/>
  <c r="AK295" i="123" s="1"/>
  <c r="AI317" i="123"/>
  <c r="AJ317" i="123" s="1"/>
  <c r="AK293" i="123"/>
  <c r="AI332" i="123"/>
  <c r="AJ332" i="123" s="1"/>
  <c r="AK301" i="123"/>
  <c r="AK259" i="123"/>
  <c r="AI93" i="123"/>
  <c r="AJ93" i="123" s="1"/>
  <c r="AK93" i="123" s="1"/>
  <c r="AK90" i="123"/>
  <c r="AI7" i="123"/>
  <c r="AJ7" i="123" s="1"/>
  <c r="Y87" i="123"/>
  <c r="Z87" i="123" s="1"/>
  <c r="AK87" i="123" s="1"/>
  <c r="AI247" i="123"/>
  <c r="AJ247" i="123" s="1"/>
  <c r="AK247" i="123" s="1"/>
  <c r="AI111" i="123"/>
  <c r="AJ111" i="123" s="1"/>
  <c r="Y62" i="123"/>
  <c r="Z62" i="123" s="1"/>
  <c r="AK62" i="123" s="1"/>
  <c r="AK147" i="123"/>
  <c r="AI32" i="123"/>
  <c r="AJ32" i="123" s="1"/>
  <c r="AK32" i="123" s="1"/>
  <c r="AK29" i="123"/>
  <c r="AI202" i="123"/>
  <c r="AJ202" i="123" s="1"/>
  <c r="AK243" i="123"/>
  <c r="AK111" i="123"/>
  <c r="AK20" i="123"/>
  <c r="AK225" i="123"/>
  <c r="AK98" i="123"/>
  <c r="AK220" i="123"/>
  <c r="AK68" i="123"/>
  <c r="AK191" i="123"/>
  <c r="AI60" i="123"/>
  <c r="AJ60" i="123" s="1"/>
  <c r="AK60" i="123" s="1"/>
  <c r="AK206" i="123"/>
  <c r="AK246" i="123"/>
  <c r="AK209" i="123"/>
  <c r="AK229" i="123"/>
  <c r="AK148" i="123"/>
  <c r="AI118" i="123"/>
  <c r="AJ118" i="123" s="1"/>
  <c r="AK118" i="123" s="1"/>
  <c r="AI288" i="123"/>
  <c r="AJ288" i="123" s="1"/>
  <c r="AK288" i="123" s="1"/>
  <c r="AK255" i="123"/>
  <c r="AI127" i="123"/>
  <c r="AJ127" i="123" s="1"/>
  <c r="AK127" i="123" s="1"/>
  <c r="AI170" i="123"/>
  <c r="AJ170" i="123" s="1"/>
  <c r="AK170" i="123" s="1"/>
  <c r="AK151" i="123"/>
  <c r="AI337" i="123"/>
  <c r="AJ337" i="123" s="1"/>
  <c r="AK337" i="123" s="1"/>
  <c r="AI322" i="123"/>
  <c r="AJ322" i="123" s="1"/>
  <c r="AK173" i="123"/>
  <c r="AK222" i="123"/>
  <c r="AK275" i="123"/>
  <c r="AK82" i="123"/>
  <c r="AK212" i="123"/>
  <c r="Y256" i="123"/>
  <c r="Z256" i="123" s="1"/>
  <c r="AK256" i="123" s="1"/>
  <c r="AI258" i="123"/>
  <c r="AJ258" i="123" s="1"/>
  <c r="AK258" i="123" s="1"/>
  <c r="AK49" i="123"/>
  <c r="AI11" i="123"/>
  <c r="AJ11" i="123" s="1"/>
  <c r="AK11" i="123" s="1"/>
  <c r="AI201" i="123"/>
  <c r="AJ201" i="123" s="1"/>
  <c r="AK201" i="123" s="1"/>
  <c r="AK99" i="123"/>
  <c r="AK168" i="123"/>
  <c r="AK199" i="123"/>
  <c r="AK133" i="123"/>
  <c r="AI238" i="123"/>
  <c r="AJ238" i="123" s="1"/>
  <c r="AK238" i="123" s="1"/>
  <c r="AK141" i="123"/>
  <c r="AK160" i="123"/>
  <c r="AK279" i="123"/>
  <c r="AI299" i="123"/>
  <c r="AJ299" i="123" s="1"/>
  <c r="AK390" i="123"/>
  <c r="AK353" i="123"/>
  <c r="AI210" i="123"/>
  <c r="AJ210" i="123" s="1"/>
  <c r="AK210" i="123" s="1"/>
  <c r="AI191" i="123"/>
  <c r="AJ191" i="123" s="1"/>
  <c r="AI193" i="123"/>
  <c r="AJ193" i="123" s="1"/>
  <c r="AK193" i="123" s="1"/>
  <c r="AK76" i="123"/>
  <c r="AI63" i="123"/>
  <c r="AJ63" i="123" s="1"/>
  <c r="AK14" i="123"/>
  <c r="AI187" i="123"/>
  <c r="AJ187" i="123" s="1"/>
  <c r="AK187" i="123" s="1"/>
  <c r="Y16" i="123"/>
  <c r="Z16" i="123" s="1"/>
  <c r="AK16" i="123" s="1"/>
  <c r="AK47" i="123"/>
  <c r="AK399" i="123"/>
  <c r="AI143" i="123"/>
  <c r="AJ143" i="123" s="1"/>
  <c r="AK143" i="123" s="1"/>
  <c r="AI163" i="123"/>
  <c r="AJ163" i="123" s="1"/>
  <c r="AK163" i="123" s="1"/>
  <c r="AK95" i="123"/>
  <c r="AK106" i="123"/>
  <c r="AI102" i="123"/>
  <c r="AJ102" i="123" s="1"/>
  <c r="AK102" i="123" s="1"/>
  <c r="AK17" i="123"/>
  <c r="AI224" i="123"/>
  <c r="AJ224" i="123" s="1"/>
  <c r="AK154" i="123"/>
  <c r="AK112" i="123"/>
  <c r="AI57" i="123"/>
  <c r="AJ57" i="123" s="1"/>
  <c r="AK57" i="123" s="1"/>
  <c r="AK218" i="123"/>
  <c r="AI310" i="123"/>
  <c r="AJ310" i="123" s="1"/>
  <c r="AK310" i="123" s="1"/>
  <c r="AI304" i="123"/>
  <c r="AJ304" i="123" s="1"/>
  <c r="AK304" i="123" s="1"/>
  <c r="AK202" i="123"/>
  <c r="AK183" i="123"/>
  <c r="AI136" i="123"/>
  <c r="AJ136" i="123" s="1"/>
  <c r="AK136" i="123" s="1"/>
  <c r="AK19" i="123"/>
  <c r="AK292" i="123"/>
  <c r="AK344" i="123"/>
  <c r="AK319" i="123"/>
  <c r="AK155" i="123"/>
  <c r="AK69" i="123"/>
  <c r="AI321" i="123"/>
  <c r="AJ321" i="123" s="1"/>
  <c r="AK321" i="123" s="1"/>
  <c r="AI221" i="123"/>
  <c r="AJ221" i="123" s="1"/>
  <c r="AK221" i="123" s="1"/>
  <c r="AK75" i="123"/>
  <c r="AK338" i="123"/>
  <c r="AI194" i="123"/>
  <c r="AJ194" i="123" s="1"/>
  <c r="AK194" i="123" s="1"/>
  <c r="AK196" i="123"/>
  <c r="AI25" i="123"/>
  <c r="AJ25" i="123" s="1"/>
  <c r="AK25" i="123" s="1"/>
  <c r="AI56" i="123"/>
  <c r="AJ56" i="123" s="1"/>
  <c r="AK56" i="123" s="1"/>
  <c r="AI172" i="123"/>
  <c r="AJ172" i="123" s="1"/>
  <c r="AK172" i="123" s="1"/>
  <c r="AI18" i="123"/>
  <c r="AJ18" i="123" s="1"/>
  <c r="AK363" i="123"/>
  <c r="AI302" i="123"/>
  <c r="AJ302" i="123" s="1"/>
  <c r="AK302" i="123" s="1"/>
  <c r="AI36" i="123"/>
  <c r="AJ36" i="123" s="1"/>
  <c r="AK36" i="123" s="1"/>
  <c r="AK322" i="123"/>
  <c r="AI257" i="123"/>
  <c r="AJ257" i="123" s="1"/>
  <c r="AK257" i="123" s="1"/>
  <c r="AK231" i="123"/>
  <c r="AK59" i="123"/>
  <c r="AI339" i="123"/>
  <c r="AJ339" i="123" s="1"/>
  <c r="AK339" i="123" s="1"/>
  <c r="AI110" i="123"/>
  <c r="AJ110" i="123" s="1"/>
  <c r="AK110" i="123" s="1"/>
  <c r="AI4" i="123"/>
  <c r="AJ4" i="123" s="1"/>
  <c r="AK4" i="123" s="1"/>
  <c r="AI44" i="123"/>
  <c r="AJ44" i="123" s="1"/>
  <c r="AK44" i="123" s="1"/>
  <c r="AK245" i="123"/>
  <c r="AK387" i="123"/>
  <c r="AK342" i="123"/>
  <c r="AK216" i="123"/>
  <c r="AK260" i="123"/>
  <c r="AK236" i="123"/>
  <c r="AK268" i="123"/>
  <c r="AK274" i="123"/>
  <c r="AK189" i="123"/>
  <c r="AK195" i="123"/>
  <c r="AK144" i="123"/>
  <c r="AK161" i="123"/>
  <c r="AI113" i="123"/>
  <c r="AJ113" i="123" s="1"/>
  <c r="AK113" i="123" s="1"/>
  <c r="AK15" i="123"/>
  <c r="AK115" i="123"/>
  <c r="AK104" i="123"/>
  <c r="AI217" i="123"/>
  <c r="AJ217" i="123" s="1"/>
  <c r="AK217" i="123" s="1"/>
  <c r="AI323" i="123"/>
  <c r="AJ323" i="123" s="1"/>
  <c r="AK323" i="123" s="1"/>
  <c r="AI54" i="123"/>
  <c r="AJ54" i="123" s="1"/>
  <c r="AK54" i="123" s="1"/>
  <c r="AI38" i="123"/>
  <c r="AJ38" i="123" s="1"/>
  <c r="AK38" i="123" s="1"/>
  <c r="AI188" i="123"/>
  <c r="AJ188" i="123" s="1"/>
  <c r="AK188" i="123" s="1"/>
  <c r="AK271" i="123"/>
  <c r="AI177" i="123"/>
  <c r="AJ177" i="123" s="1"/>
  <c r="AK177" i="123" s="1"/>
  <c r="AK31" i="123"/>
  <c r="AI5" i="123"/>
  <c r="AJ5" i="123" s="1"/>
  <c r="AK5" i="123" s="1"/>
  <c r="AI326" i="123"/>
  <c r="AJ326" i="123" s="1"/>
  <c r="AI356" i="123"/>
  <c r="AJ356" i="123" s="1"/>
  <c r="AK356" i="123" s="1"/>
  <c r="AK7" i="123"/>
  <c r="AK326" i="123"/>
  <c r="AK331" i="123"/>
  <c r="AK333" i="123"/>
  <c r="AK290" i="123"/>
  <c r="AI267" i="123"/>
  <c r="AJ267" i="123" s="1"/>
  <c r="AK267" i="123" s="1"/>
  <c r="AK241" i="123"/>
  <c r="AK58" i="123"/>
  <c r="AI152" i="123"/>
  <c r="AJ152" i="123" s="1"/>
  <c r="AK108" i="123"/>
  <c r="AK23" i="123"/>
  <c r="AI8" i="123"/>
  <c r="AJ8" i="123" s="1"/>
  <c r="AK8" i="123" s="1"/>
  <c r="AI34" i="123"/>
  <c r="AJ34" i="123" s="1"/>
  <c r="AK34" i="123" s="1"/>
  <c r="AI203" i="123"/>
  <c r="AJ203" i="123" s="1"/>
  <c r="AK203" i="123" s="1"/>
  <c r="AK248" i="123"/>
  <c r="AI261" i="123"/>
  <c r="AJ261" i="123" s="1"/>
  <c r="AK261" i="123" s="1"/>
  <c r="AI37" i="123"/>
  <c r="AJ37" i="123" s="1"/>
  <c r="AK37" i="123" s="1"/>
  <c r="AK77" i="123"/>
  <c r="AI307" i="123"/>
  <c r="AJ307" i="123" s="1"/>
  <c r="AK307" i="123" s="1"/>
  <c r="AK176" i="123"/>
  <c r="AK132" i="123"/>
  <c r="AK86" i="123"/>
  <c r="AK332" i="123"/>
  <c r="AK341" i="123"/>
  <c r="AK394" i="123"/>
  <c r="AK317" i="123"/>
  <c r="AK329" i="123"/>
  <c r="AK284" i="123"/>
  <c r="AK252" i="123"/>
  <c r="AI174" i="123"/>
  <c r="AJ174" i="123" s="1"/>
  <c r="AK174" i="123" s="1"/>
  <c r="AI178" i="123"/>
  <c r="AJ178" i="123" s="1"/>
  <c r="AK178" i="123" s="1"/>
  <c r="AI105" i="123"/>
  <c r="AJ105" i="123" s="1"/>
  <c r="AK105" i="123" s="1"/>
  <c r="AK72" i="123"/>
  <c r="AK26" i="123"/>
  <c r="AI10" i="123"/>
  <c r="AJ10" i="123" s="1"/>
  <c r="AK10" i="123" s="1"/>
  <c r="AI253" i="123"/>
  <c r="AJ253" i="123" s="1"/>
  <c r="AK253" i="123" s="1"/>
  <c r="AI156" i="123"/>
  <c r="AJ156" i="123" s="1"/>
  <c r="AK156" i="123" s="1"/>
  <c r="AI61" i="123"/>
  <c r="AJ61" i="123" s="1"/>
  <c r="AK61" i="123" s="1"/>
  <c r="AK315" i="123"/>
  <c r="AK330" i="123"/>
  <c r="AK276" i="123"/>
  <c r="AK401" i="123"/>
  <c r="AK335" i="123"/>
  <c r="AK345" i="123"/>
  <c r="AK325" i="123"/>
  <c r="AK327" i="123"/>
  <c r="AI269" i="123"/>
  <c r="AJ269" i="123" s="1"/>
  <c r="AK269" i="123" s="1"/>
  <c r="AK305" i="123"/>
  <c r="AK263" i="123"/>
  <c r="AK283" i="123"/>
  <c r="AI249" i="123"/>
  <c r="AJ249" i="123" s="1"/>
  <c r="AK249" i="123" s="1"/>
  <c r="AK219" i="123"/>
  <c r="AK166" i="123"/>
  <c r="AK204" i="123"/>
  <c r="AI211" i="123"/>
  <c r="AJ211" i="123" s="1"/>
  <c r="AK211" i="123" s="1"/>
  <c r="AI208" i="123"/>
  <c r="AJ208" i="123" s="1"/>
  <c r="AK208" i="123" s="1"/>
  <c r="AK164" i="123"/>
  <c r="AK128" i="123"/>
  <c r="AK135" i="123"/>
  <c r="AK35" i="123"/>
  <c r="AK27" i="123"/>
  <c r="AI80" i="123"/>
  <c r="AJ80" i="123" s="1"/>
  <c r="AK80" i="123" s="1"/>
  <c r="AI126" i="123"/>
  <c r="AJ126" i="123" s="1"/>
  <c r="Y126" i="123"/>
  <c r="Z126" i="123" s="1"/>
  <c r="AK122" i="123"/>
  <c r="AK392" i="123"/>
  <c r="AK354" i="123"/>
  <c r="Y278" i="123"/>
  <c r="Z278" i="123" s="1"/>
  <c r="AI278" i="123"/>
  <c r="AJ278" i="123" s="1"/>
  <c r="AK281" i="123"/>
  <c r="AI228" i="123"/>
  <c r="AJ228" i="123" s="1"/>
  <c r="AK228" i="123" s="1"/>
  <c r="AI235" i="123"/>
  <c r="AJ235" i="123" s="1"/>
  <c r="AK235" i="123" s="1"/>
  <c r="AK180" i="123"/>
  <c r="AK125" i="123"/>
  <c r="Y197" i="123"/>
  <c r="Z197" i="123" s="1"/>
  <c r="AI197" i="123"/>
  <c r="AJ197" i="123" s="1"/>
  <c r="AI180" i="123"/>
  <c r="AJ180" i="123" s="1"/>
  <c r="Y186" i="123"/>
  <c r="Z186" i="123" s="1"/>
  <c r="AI186" i="123"/>
  <c r="AJ186" i="123" s="1"/>
  <c r="AI109" i="123"/>
  <c r="AJ109" i="123" s="1"/>
  <c r="AK109" i="123" s="1"/>
  <c r="AK33" i="123"/>
  <c r="AI21" i="123"/>
  <c r="AJ21" i="123" s="1"/>
  <c r="AK21" i="123" s="1"/>
  <c r="AK71" i="123"/>
  <c r="Y179" i="123"/>
  <c r="Z179" i="123" s="1"/>
  <c r="AI179" i="123"/>
  <c r="AJ179" i="123" s="1"/>
  <c r="Y97" i="123"/>
  <c r="Z97" i="123" s="1"/>
  <c r="AI97" i="123"/>
  <c r="AJ97" i="123" s="1"/>
  <c r="AK313" i="123"/>
  <c r="AK239" i="123"/>
  <c r="AK142" i="123"/>
  <c r="AK153" i="123"/>
  <c r="AK311" i="123"/>
  <c r="AK299" i="123"/>
  <c r="AK297" i="123"/>
  <c r="AK273" i="123"/>
  <c r="AI234" i="123"/>
  <c r="AJ234" i="123" s="1"/>
  <c r="AK234" i="123" s="1"/>
  <c r="AK240" i="123"/>
  <c r="AI121" i="123"/>
  <c r="AJ121" i="123" s="1"/>
  <c r="AK207" i="123"/>
  <c r="AK171" i="123"/>
  <c r="AK184" i="123"/>
  <c r="AK18" i="123"/>
  <c r="AK165" i="123"/>
  <c r="AK150" i="123"/>
  <c r="AI24" i="123"/>
  <c r="AJ24" i="123" s="1"/>
  <c r="AK24" i="123" s="1"/>
  <c r="AK50" i="123"/>
  <c r="AI73" i="123"/>
  <c r="AJ73" i="123" s="1"/>
  <c r="AK73" i="123" s="1"/>
  <c r="AI78" i="123"/>
  <c r="AJ78" i="123" s="1"/>
  <c r="AK78" i="123" s="1"/>
  <c r="AK316" i="123"/>
  <c r="Y286" i="123"/>
  <c r="Z286" i="123" s="1"/>
  <c r="AI286" i="123"/>
  <c r="AJ286" i="123" s="1"/>
  <c r="AK277" i="123"/>
  <c r="AK121" i="123"/>
  <c r="AK198" i="123"/>
  <c r="AK396" i="123"/>
  <c r="AK398" i="123"/>
  <c r="AK350" i="123"/>
  <c r="AK224" i="123"/>
  <c r="AI175" i="123"/>
  <c r="AJ175" i="123" s="1"/>
  <c r="AK175" i="123" s="1"/>
  <c r="AI123" i="123"/>
  <c r="AJ123" i="123" s="1"/>
  <c r="AK123" i="123" s="1"/>
  <c r="AI264" i="123"/>
  <c r="AJ264" i="123" s="1"/>
  <c r="AK264" i="123" s="1"/>
  <c r="AI242" i="123"/>
  <c r="AJ242" i="123" s="1"/>
  <c r="AK242" i="123" s="1"/>
  <c r="AI167" i="123"/>
  <c r="AJ167" i="123" s="1"/>
  <c r="AK167" i="123" s="1"/>
  <c r="AI190" i="123"/>
  <c r="AJ190" i="123" s="1"/>
  <c r="AK190" i="123" s="1"/>
  <c r="AK152" i="123"/>
  <c r="AK13" i="123"/>
  <c r="AI39" i="123"/>
  <c r="AJ39" i="123" s="1"/>
  <c r="AK39" i="123" s="1"/>
  <c r="AI22" i="123"/>
  <c r="AJ22" i="123" s="1"/>
  <c r="AK22" i="123" s="1"/>
  <c r="AK63" i="123"/>
  <c r="Y65" i="123"/>
  <c r="Z65" i="123" s="1"/>
  <c r="AI65" i="123"/>
  <c r="AJ65" i="123" s="1"/>
  <c r="AK186" i="123" l="1"/>
  <c r="AK65" i="123"/>
  <c r="AK179" i="123"/>
  <c r="AK126" i="123"/>
  <c r="AK197" i="123"/>
  <c r="AK278" i="123"/>
  <c r="AK97" i="123"/>
  <c r="AK286" i="123"/>
  <c r="BO26" i="61" l="1"/>
  <c r="BU26" i="61" s="1"/>
  <c r="BM26" i="61"/>
  <c r="BJ26" i="61"/>
  <c r="AZ26" i="61"/>
  <c r="AV26" i="61"/>
  <c r="AS26" i="61"/>
  <c r="AI26" i="61"/>
  <c r="AO26" i="61" s="1"/>
  <c r="AG26" i="61"/>
  <c r="AD26" i="61"/>
  <c r="T26" i="61"/>
  <c r="Q26" i="61"/>
  <c r="P26" i="61"/>
  <c r="M26" i="61"/>
  <c r="BO28" i="61"/>
  <c r="BM28" i="61"/>
  <c r="BJ28" i="61"/>
  <c r="AZ28" i="61"/>
  <c r="AV28" i="61"/>
  <c r="AS28" i="61"/>
  <c r="AI28" i="61"/>
  <c r="AO28" i="61" s="1"/>
  <c r="AG28" i="61"/>
  <c r="AD28" i="61"/>
  <c r="T28" i="61"/>
  <c r="Q28" i="61"/>
  <c r="P28" i="61"/>
  <c r="M28" i="61"/>
  <c r="BJ27" i="61"/>
  <c r="AS27" i="61"/>
  <c r="BG27" i="61" s="1"/>
  <c r="AD27" i="61"/>
  <c r="M27" i="61"/>
  <c r="Z26" i="61" l="1"/>
  <c r="AA26" i="61" s="1"/>
  <c r="BF26" i="61"/>
  <c r="BG26" i="61" s="1"/>
  <c r="BV26" i="61"/>
  <c r="AP26" i="61"/>
  <c r="AP28" i="61"/>
  <c r="BU28" i="61"/>
  <c r="BV28" i="61" s="1"/>
  <c r="Z28" i="61"/>
  <c r="AA28" i="61" s="1"/>
  <c r="BF28" i="61"/>
  <c r="BG28" i="61" s="1"/>
  <c r="AA27" i="61"/>
  <c r="BV27" i="61"/>
  <c r="AP27" i="61"/>
  <c r="AV9" i="61" l="1"/>
  <c r="BF9" i="61" s="1"/>
  <c r="AS9" i="61"/>
  <c r="P9" i="61"/>
  <c r="Z9" i="61" s="1"/>
  <c r="M9" i="61"/>
  <c r="AS10" i="61" l="1"/>
  <c r="BG10" i="61" s="1"/>
  <c r="M10" i="61"/>
  <c r="AA10" i="61" s="1"/>
  <c r="BG9" i="61"/>
  <c r="AA9" i="61"/>
  <c r="AI14" i="27" l="1"/>
  <c r="AI13" i="27"/>
  <c r="AI12" i="27"/>
  <c r="AI11" i="27"/>
  <c r="AI10" i="27"/>
  <c r="AI9" i="27"/>
  <c r="AI8" i="27"/>
  <c r="P21" i="55" l="1"/>
  <c r="BM21" i="61"/>
  <c r="BU21" i="61" s="1"/>
  <c r="AG21" i="61"/>
  <c r="AB30" i="61"/>
  <c r="K30" i="61"/>
  <c r="BH29" i="61"/>
  <c r="BM29" i="61" s="1"/>
  <c r="AQ29" i="61"/>
  <c r="AV29" i="61" s="1"/>
  <c r="BF29" i="61" s="1"/>
  <c r="AB29" i="61"/>
  <c r="AG29" i="61" s="1"/>
  <c r="K29" i="61"/>
  <c r="P29" i="61" s="1"/>
  <c r="Q21" i="61"/>
  <c r="P21" i="61"/>
  <c r="Z21" i="61" s="1"/>
  <c r="BM35" i="61"/>
  <c r="AD35" i="61"/>
  <c r="AP35" i="61" s="1"/>
  <c r="P35" i="61"/>
  <c r="Z35" i="61" s="1"/>
  <c r="AO29" i="61" l="1"/>
  <c r="AR8" i="27"/>
  <c r="AR9" i="27"/>
  <c r="AR10" i="27"/>
  <c r="AR11" i="27"/>
  <c r="AR12" i="27"/>
  <c r="AR13" i="27"/>
  <c r="AR7" i="27"/>
  <c r="AI7" i="27"/>
  <c r="Z8" i="27"/>
  <c r="Z9" i="27"/>
  <c r="Z10" i="27"/>
  <c r="Z11" i="27"/>
  <c r="Z12" i="27"/>
  <c r="Z13" i="27"/>
  <c r="Z14" i="27"/>
  <c r="Z7" i="27"/>
  <c r="Q8" i="27"/>
  <c r="Q9" i="27"/>
  <c r="Q10" i="27"/>
  <c r="Q11" i="27"/>
  <c r="Q12" i="27"/>
  <c r="Q13" i="27"/>
  <c r="Q14" i="27"/>
  <c r="AD13" i="27" l="1"/>
  <c r="AJ13" i="27" s="1"/>
  <c r="M21" i="55" l="1"/>
  <c r="J21" i="55"/>
  <c r="I21" i="55" s="1"/>
  <c r="Y21" i="55" s="1"/>
  <c r="AD17" i="62"/>
  <c r="U17" i="62"/>
  <c r="AD16" i="62"/>
  <c r="U16" i="62"/>
  <c r="Q17" i="62"/>
  <c r="I17" i="62"/>
  <c r="I16" i="62"/>
  <c r="R22" i="55"/>
  <c r="Q22" i="55"/>
  <c r="T17" i="55"/>
  <c r="S17" i="55"/>
  <c r="L14" i="62"/>
  <c r="M13" i="55"/>
  <c r="J13" i="55"/>
  <c r="I13" i="55" s="1"/>
  <c r="Y13" i="55" s="1"/>
  <c r="M11" i="55"/>
  <c r="J11" i="55"/>
  <c r="I11" i="55" s="1"/>
  <c r="Y11" i="55" s="1"/>
  <c r="Z11" i="55" s="1"/>
  <c r="M10" i="55"/>
  <c r="J10" i="55"/>
  <c r="I10" i="55" s="1"/>
  <c r="Y10" i="55" s="1"/>
  <c r="J7" i="55"/>
  <c r="I7" i="55" s="1"/>
  <c r="Y7" i="55" s="1"/>
  <c r="M7" i="55"/>
  <c r="J6" i="55"/>
  <c r="I6" i="55" s="1"/>
  <c r="Y6" i="55" s="1"/>
  <c r="M6" i="55"/>
  <c r="M35" i="63"/>
  <c r="M33" i="63"/>
  <c r="Z10" i="55" l="1"/>
  <c r="Z13" i="55"/>
  <c r="Z7" i="55"/>
  <c r="Z6" i="55"/>
  <c r="AE16" i="62"/>
  <c r="Q16" i="62"/>
  <c r="R16" i="62" s="1"/>
  <c r="R17" i="62"/>
  <c r="AE17" i="62"/>
  <c r="Z21" i="55"/>
  <c r="BJ25" i="61" l="1"/>
  <c r="BV25" i="61" s="1"/>
  <c r="AS25" i="61"/>
  <c r="BG25" i="61" s="1"/>
  <c r="AD25" i="61"/>
  <c r="AP25" i="61" s="1"/>
  <c r="M25" i="61"/>
  <c r="AA25" i="61" s="1"/>
  <c r="Q29" i="61"/>
  <c r="BM34" i="61"/>
  <c r="AG34" i="61"/>
  <c r="AV14" i="61"/>
  <c r="BF14" i="61" s="1"/>
  <c r="Q15" i="61"/>
  <c r="P15" i="61"/>
  <c r="AW15" i="61"/>
  <c r="AV15" i="61"/>
  <c r="Z34" i="61"/>
  <c r="Q33" i="61"/>
  <c r="BF15" i="61" l="1"/>
  <c r="Z15" i="61"/>
  <c r="U14" i="62" l="1"/>
  <c r="X14" i="62"/>
  <c r="Z14" i="62"/>
  <c r="M14" i="62"/>
  <c r="I14" i="62"/>
  <c r="Q14" i="62" l="1"/>
  <c r="R14" i="62" s="1"/>
  <c r="AD14" i="62"/>
  <c r="AE14" i="62" s="1"/>
  <c r="P14" i="61" l="1"/>
  <c r="Z14" i="61" s="1"/>
  <c r="U7" i="62" l="1"/>
  <c r="P27" i="55"/>
  <c r="P26" i="55"/>
  <c r="J26" i="55" l="1"/>
  <c r="I26" i="55" s="1"/>
  <c r="Y26" i="55" s="1"/>
  <c r="M26" i="55"/>
  <c r="J27" i="55"/>
  <c r="I27" i="55" s="1"/>
  <c r="Y27" i="55" s="1"/>
  <c r="M27" i="55"/>
  <c r="M22" i="55" l="1"/>
  <c r="J22" i="55"/>
  <c r="I22" i="55" s="1"/>
  <c r="Y22" i="55" s="1"/>
  <c r="R32" i="63"/>
  <c r="W32" i="63" s="1"/>
  <c r="R31" i="63"/>
  <c r="W31" i="63" s="1"/>
  <c r="R30" i="63"/>
  <c r="W30" i="63" s="1"/>
  <c r="R29" i="63"/>
  <c r="W29" i="63" s="1"/>
  <c r="R28" i="63"/>
  <c r="W28" i="63" s="1"/>
  <c r="R27" i="63"/>
  <c r="W27" i="63" s="1"/>
  <c r="R26" i="63"/>
  <c r="W26" i="63" s="1"/>
  <c r="R25" i="63"/>
  <c r="W25" i="63" s="1"/>
  <c r="O14" i="63"/>
  <c r="X14" i="63" s="1"/>
  <c r="O13" i="63"/>
  <c r="X13" i="63" s="1"/>
  <c r="X13" i="62"/>
  <c r="AD13" i="62" s="1"/>
  <c r="X12" i="62"/>
  <c r="AD12" i="62" s="1"/>
  <c r="L13" i="62"/>
  <c r="Q13" i="62" s="1"/>
  <c r="L12" i="62"/>
  <c r="Q12" i="62" s="1"/>
  <c r="X11" i="62"/>
  <c r="AD11" i="62" s="1"/>
  <c r="X10" i="62"/>
  <c r="AD10" i="62" s="1"/>
  <c r="L11" i="62"/>
  <c r="Q11" i="62" s="1"/>
  <c r="L10" i="62"/>
  <c r="Z9" i="62"/>
  <c r="Z8" i="62"/>
  <c r="M9" i="62"/>
  <c r="X7" i="62"/>
  <c r="AD7" i="62" s="1"/>
  <c r="M8" i="62" l="1"/>
  <c r="Q10" i="62"/>
  <c r="Z22" i="55"/>
  <c r="X9" i="62"/>
  <c r="AD9" i="62" s="1"/>
  <c r="L9" i="62"/>
  <c r="Q9" i="62" s="1"/>
  <c r="X8" i="62"/>
  <c r="AD8" i="62" s="1"/>
  <c r="Q8" i="62" l="1"/>
  <c r="AV30" i="61"/>
  <c r="BF30" i="61" s="1"/>
  <c r="AG30" i="61"/>
  <c r="AO30" i="61" s="1"/>
  <c r="P30" i="61"/>
  <c r="Z30" i="61" s="1"/>
  <c r="BM30" i="61"/>
  <c r="BU30" i="61" s="1"/>
  <c r="AD22" i="61"/>
  <c r="AP22" i="61" s="1"/>
  <c r="AD21" i="61"/>
  <c r="AP21" i="61" s="1"/>
  <c r="BJ22" i="61"/>
  <c r="BV22" i="61" s="1"/>
  <c r="BJ21" i="61"/>
  <c r="BV21" i="61" s="1"/>
  <c r="AS22" i="61"/>
  <c r="BG22" i="61" s="1"/>
  <c r="AS21" i="61"/>
  <c r="BG21" i="61" s="1"/>
  <c r="M22" i="61"/>
  <c r="AA22" i="61" s="1"/>
  <c r="M21" i="61"/>
  <c r="AA21" i="61" s="1"/>
  <c r="BJ30" i="61" l="1"/>
  <c r="BV30" i="61" s="1"/>
  <c r="AS30" i="61"/>
  <c r="BG30" i="61" s="1"/>
  <c r="AD30" i="61"/>
  <c r="AP30" i="61" s="1"/>
  <c r="M30" i="61"/>
  <c r="AA30" i="61" s="1"/>
  <c r="M10" i="63" l="1"/>
  <c r="M9" i="63"/>
  <c r="R9" i="63" l="1"/>
  <c r="U9" i="63"/>
  <c r="R10" i="63"/>
  <c r="U10" i="63"/>
  <c r="W10" i="63" l="1"/>
  <c r="W9" i="63"/>
  <c r="P25" i="55"/>
  <c r="M25" i="55"/>
  <c r="J25" i="55"/>
  <c r="I25" i="55" s="1"/>
  <c r="O32" i="63"/>
  <c r="X32" i="63" s="1"/>
  <c r="O31" i="63"/>
  <c r="X31" i="63" s="1"/>
  <c r="O30" i="63"/>
  <c r="X30" i="63" s="1"/>
  <c r="O29" i="63"/>
  <c r="X29" i="63" s="1"/>
  <c r="O28" i="63"/>
  <c r="X28" i="63" s="1"/>
  <c r="O27" i="63"/>
  <c r="X27" i="63" s="1"/>
  <c r="O26" i="63"/>
  <c r="O25" i="63"/>
  <c r="O20" i="63"/>
  <c r="X20" i="63" s="1"/>
  <c r="O19" i="63"/>
  <c r="X19" i="63" s="1"/>
  <c r="O18" i="63"/>
  <c r="X18" i="63" s="1"/>
  <c r="O17" i="63"/>
  <c r="X17" i="63" s="1"/>
  <c r="O16" i="63"/>
  <c r="X16" i="63" s="1"/>
  <c r="O15" i="63"/>
  <c r="X15" i="63" s="1"/>
  <c r="O12" i="63"/>
  <c r="X12" i="63" s="1"/>
  <c r="O10" i="63"/>
  <c r="X10" i="63" s="1"/>
  <c r="Y25" i="55" l="1"/>
  <c r="Z25" i="55" s="1"/>
  <c r="X25" i="63"/>
  <c r="X26" i="63"/>
  <c r="O11" i="63"/>
  <c r="X11" i="63" s="1"/>
  <c r="O9" i="63"/>
  <c r="X9" i="63" s="1"/>
  <c r="J17" i="55" l="1"/>
  <c r="BJ36" i="61" l="1"/>
  <c r="AS36" i="61"/>
  <c r="BG36" i="61" s="1"/>
  <c r="AD36" i="61"/>
  <c r="AP36" i="61" s="1"/>
  <c r="M36" i="61"/>
  <c r="AA36" i="61" s="1"/>
  <c r="BJ34" i="61"/>
  <c r="BV34" i="61" s="1"/>
  <c r="AD34" i="61"/>
  <c r="AP34" i="61" s="1"/>
  <c r="J14" i="55" l="1"/>
  <c r="J20" i="55" l="1"/>
  <c r="M14" i="55" l="1"/>
  <c r="O36" i="63" l="1"/>
  <c r="O35" i="63"/>
  <c r="O34" i="63"/>
  <c r="O33" i="63"/>
  <c r="M8" i="63"/>
  <c r="M7" i="63"/>
  <c r="M6" i="63"/>
  <c r="M5" i="63"/>
  <c r="U13" i="62"/>
  <c r="AE13" i="62" s="1"/>
  <c r="I13" i="62"/>
  <c r="R13" i="62" s="1"/>
  <c r="U12" i="62"/>
  <c r="AE12" i="62" s="1"/>
  <c r="I12" i="62"/>
  <c r="R12" i="62" s="1"/>
  <c r="U11" i="62"/>
  <c r="AE11" i="62" s="1"/>
  <c r="I11" i="62"/>
  <c r="R11" i="62" s="1"/>
  <c r="U10" i="62"/>
  <c r="AE10" i="62" s="1"/>
  <c r="I10" i="62"/>
  <c r="R10" i="62" s="1"/>
  <c r="U9" i="62"/>
  <c r="AE9" i="62" s="1"/>
  <c r="I9" i="62"/>
  <c r="R9" i="62" s="1"/>
  <c r="U8" i="62"/>
  <c r="AE8" i="62" s="1"/>
  <c r="I8" i="62"/>
  <c r="R8" i="62" s="1"/>
  <c r="L7" i="62"/>
  <c r="I7" i="62"/>
  <c r="L6" i="62"/>
  <c r="I6" i="62"/>
  <c r="AS33" i="61"/>
  <c r="BJ35" i="61"/>
  <c r="BV35" i="61" s="1"/>
  <c r="AS35" i="61"/>
  <c r="BG35" i="61" s="1"/>
  <c r="M35" i="61"/>
  <c r="AA35" i="61" s="1"/>
  <c r="BO33" i="61"/>
  <c r="BM33" i="61"/>
  <c r="BJ33" i="61"/>
  <c r="AZ33" i="61"/>
  <c r="AV33" i="61"/>
  <c r="AI33" i="61"/>
  <c r="AG33" i="61"/>
  <c r="AD33" i="61"/>
  <c r="T33" i="61"/>
  <c r="P33" i="61"/>
  <c r="M33" i="61"/>
  <c r="BJ24" i="61"/>
  <c r="BV24" i="61" s="1"/>
  <c r="AS24" i="61"/>
  <c r="BG24" i="61" s="1"/>
  <c r="AD24" i="61"/>
  <c r="AP24" i="61" s="1"/>
  <c r="M24" i="61"/>
  <c r="AA24" i="61" s="1"/>
  <c r="BJ23" i="61"/>
  <c r="BV23" i="61" s="1"/>
  <c r="AS23" i="61"/>
  <c r="BG23" i="61" s="1"/>
  <c r="AD23" i="61"/>
  <c r="AP23" i="61" s="1"/>
  <c r="M23" i="61"/>
  <c r="AA23" i="61" s="1"/>
  <c r="AS20" i="61"/>
  <c r="BG20" i="61" s="1"/>
  <c r="M20" i="61"/>
  <c r="AA20" i="61" s="1"/>
  <c r="AS15" i="61"/>
  <c r="BG15" i="61" s="1"/>
  <c r="M15" i="61"/>
  <c r="AA15" i="61" s="1"/>
  <c r="AS14" i="61"/>
  <c r="BG14" i="61" s="1"/>
  <c r="M14" i="61"/>
  <c r="AA14" i="61" s="1"/>
  <c r="AS13" i="61"/>
  <c r="BG13" i="61" s="1"/>
  <c r="AS12" i="61"/>
  <c r="M12" i="61"/>
  <c r="AA12" i="61" s="1"/>
  <c r="AS6" i="61"/>
  <c r="M6" i="61"/>
  <c r="AA6" i="61" s="1"/>
  <c r="M17" i="55"/>
  <c r="I17" i="55"/>
  <c r="Y17" i="55" s="1"/>
  <c r="BG12" i="61" l="1"/>
  <c r="BG6" i="61"/>
  <c r="R5" i="63"/>
  <c r="U5" i="63"/>
  <c r="R6" i="63"/>
  <c r="U6" i="63"/>
  <c r="R7" i="63"/>
  <c r="U7" i="63"/>
  <c r="U8" i="63"/>
  <c r="R8" i="63"/>
  <c r="Z17" i="55"/>
  <c r="BU29" i="61"/>
  <c r="Z29" i="61"/>
  <c r="O5" i="63"/>
  <c r="O6" i="63"/>
  <c r="X6" i="62"/>
  <c r="Y6" i="62"/>
  <c r="AS7" i="61"/>
  <c r="I14" i="55"/>
  <c r="O7" i="63"/>
  <c r="O8" i="63"/>
  <c r="U6" i="62"/>
  <c r="AE7" i="62"/>
  <c r="Z33" i="61"/>
  <c r="AA33" i="61" s="1"/>
  <c r="AS11" i="61"/>
  <c r="AD29" i="61"/>
  <c r="AP29" i="61" s="1"/>
  <c r="BJ29" i="61"/>
  <c r="BU33" i="61"/>
  <c r="BV33" i="61" s="1"/>
  <c r="BF33" i="61"/>
  <c r="BG33" i="61" s="1"/>
  <c r="M7" i="61"/>
  <c r="AA7" i="61" s="1"/>
  <c r="M11" i="61"/>
  <c r="AA11" i="61" s="1"/>
  <c r="AS29" i="61"/>
  <c r="M29" i="61"/>
  <c r="AO33" i="61"/>
  <c r="AP33" i="61" s="1"/>
  <c r="BG7" i="61" l="1"/>
  <c r="BG11" i="61"/>
  <c r="Y14" i="55"/>
  <c r="Z14" i="55" s="1"/>
  <c r="W7" i="63"/>
  <c r="W8" i="63"/>
  <c r="X8" i="63"/>
  <c r="W6" i="63"/>
  <c r="X6" i="63" s="1"/>
  <c r="X7" i="63"/>
  <c r="W5" i="63"/>
  <c r="X5" i="63" s="1"/>
  <c r="AA29" i="61"/>
  <c r="BV29" i="61"/>
  <c r="AD6" i="62"/>
  <c r="AE6" i="62" s="1"/>
  <c r="BG29" i="61"/>
  <c r="P24" i="55" l="1"/>
  <c r="P23" i="55"/>
  <c r="J24" i="55" l="1"/>
  <c r="I24" i="55" s="1"/>
  <c r="Y24" i="55" s="1"/>
  <c r="J23" i="55"/>
  <c r="I23" i="55" s="1"/>
  <c r="Y23" i="55" s="1"/>
  <c r="M24" i="55" l="1"/>
  <c r="Z24" i="55" s="1"/>
  <c r="M23" i="55"/>
  <c r="Z23" i="55" l="1"/>
  <c r="Z27" i="55" l="1"/>
  <c r="Z26" i="55"/>
  <c r="M20" i="55"/>
  <c r="I20" i="55"/>
  <c r="Y20" i="55" s="1"/>
  <c r="Z20" i="55" s="1"/>
  <c r="M5" i="55"/>
  <c r="I5" i="55"/>
  <c r="Y5" i="55" s="1"/>
  <c r="Z5" i="55" s="1"/>
  <c r="H7" i="27" l="1"/>
  <c r="L14" i="27" l="1"/>
  <c r="R14" i="27" s="1"/>
  <c r="AM14" i="27" l="1"/>
  <c r="AD14" i="27"/>
  <c r="AJ14" i="27" s="1"/>
  <c r="U14" i="27"/>
  <c r="AA14" i="27" s="1"/>
  <c r="H14" i="27"/>
  <c r="F14" i="27"/>
  <c r="AM13" i="27" l="1"/>
  <c r="AS13" i="27" s="1"/>
  <c r="U13" i="27"/>
  <c r="AA13" i="27" s="1"/>
  <c r="L13" i="27"/>
  <c r="R13" i="27" s="1"/>
  <c r="H13" i="27"/>
  <c r="F13" i="27"/>
  <c r="AM12" i="27"/>
  <c r="AS12" i="27" s="1"/>
  <c r="AD12" i="27"/>
  <c r="AJ12" i="27" s="1"/>
  <c r="U12" i="27"/>
  <c r="AA12" i="27" s="1"/>
  <c r="L12" i="27"/>
  <c r="R12" i="27" s="1"/>
  <c r="H12" i="27"/>
  <c r="F12" i="27"/>
  <c r="AM11" i="27"/>
  <c r="AS11" i="27" s="1"/>
  <c r="AD11" i="27"/>
  <c r="AJ11" i="27" s="1"/>
  <c r="U11" i="27"/>
  <c r="AA11" i="27" s="1"/>
  <c r="L11" i="27"/>
  <c r="R11" i="27" s="1"/>
  <c r="H11" i="27"/>
  <c r="F11" i="27"/>
  <c r="AM10" i="27"/>
  <c r="AS10" i="27" s="1"/>
  <c r="AD10" i="27"/>
  <c r="AJ10" i="27" s="1"/>
  <c r="U10" i="27"/>
  <c r="AA10" i="27" s="1"/>
  <c r="L10" i="27"/>
  <c r="R10" i="27" s="1"/>
  <c r="H10" i="27"/>
  <c r="F10" i="27"/>
  <c r="AM9" i="27"/>
  <c r="AS9" i="27" s="1"/>
  <c r="AD9" i="27"/>
  <c r="AJ9" i="27" s="1"/>
  <c r="U9" i="27"/>
  <c r="AA9" i="27" s="1"/>
  <c r="L9" i="27"/>
  <c r="R9" i="27" s="1"/>
  <c r="H9" i="27"/>
  <c r="F9" i="27"/>
  <c r="AM8" i="27"/>
  <c r="AS8" i="27" s="1"/>
  <c r="AD8" i="27"/>
  <c r="AJ8" i="27" s="1"/>
  <c r="U8" i="27"/>
  <c r="AA8" i="27" s="1"/>
  <c r="L8" i="27"/>
  <c r="R8" i="27" s="1"/>
  <c r="H8" i="27"/>
  <c r="F8" i="27"/>
  <c r="AM7" i="27"/>
  <c r="AS7" i="27" s="1"/>
  <c r="AD7" i="27"/>
  <c r="AJ7" i="27" s="1"/>
  <c r="U7" i="27"/>
  <c r="AA7" i="27" s="1"/>
  <c r="L7" i="27"/>
  <c r="R7" i="27" s="1"/>
  <c r="F7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sirinart.kung</author>
  </authors>
  <commentList>
    <comment ref="C1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Start 24 Feb
1 Jun 2026 revise svc fee to 280 THB</t>
        </r>
      </text>
    </comment>
    <comment ref="J14" authorId="0" shapeId="0" xr:uid="{424C8AFE-B225-4423-90B1-850BEA44075D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1 Jun Price increase from 1049 to 1099</t>
        </r>
      </text>
    </comment>
    <comment ref="AB14" authorId="0" shapeId="0" xr:uid="{462642F9-B766-4452-B72B-C6E7A6318AFE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1 Jun Price increase from 849 to 899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sirinart.kung</author>
  </authors>
  <commentList>
    <comment ref="K6" authorId="0" shapeId="0" xr:uid="{8D9A7003-50BA-42DD-9317-9323D74AC3C1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1 Jun Price increase from 1199 to 1249</t>
        </r>
      </text>
    </comment>
    <comment ref="AQ6" authorId="0" shapeId="0" xr:uid="{02A677D9-ABD0-4AEC-9217-1B483B07BC78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1 Jun Price increase from 999 to 1049</t>
        </r>
      </text>
    </comment>
    <comment ref="K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increase frpm 949 to 999
01.10.2025
1 Jun increase from 999 to 1049
</t>
        </r>
      </text>
    </comment>
    <comment ref="AQ7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increase from 799 tp 849
01.10.2025
1 Jun increase from 849 to 899</t>
        </r>
      </text>
    </comment>
    <comment ref="E9" authorId="0" shapeId="0" xr:uid="{535060D5-5605-472F-8E06-C41ADA5B4E36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Sales Start Apr 2026
 1 Jun 2026 revise svc fee to 250</t>
        </r>
      </text>
    </comment>
    <comment ref="K9" authorId="0" shapeId="0" xr:uid="{5F01CC89-B675-49A7-98BD-6CC8AC780F46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1 Jun Price increase from 1249 to 1349</t>
        </r>
      </text>
    </comment>
    <comment ref="AQ9" authorId="0" shapeId="0" xr:uid="{8868CAB1-6265-4CF9-9B0F-34F1517D57B5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1 Jun Price increase from 1149 to 1249</t>
        </r>
      </text>
    </comment>
    <comment ref="K10" authorId="0" shapeId="0" xr:uid="{E666D175-1674-4C7D-AA6C-A41DFA4B4E55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1 Jun Price increase from 949 to 999</t>
        </r>
      </text>
    </comment>
    <comment ref="AQ10" authorId="0" shapeId="0" xr:uid="{C172AD83-CC8C-48C9-8A61-8300B972B07B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1 Jun Price ncrease from 899 to 949</t>
        </r>
      </text>
    </comment>
    <comment ref="K1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increase price from 849 to 899
01.10.2025
1 Jun increase from 899 to 949</t>
        </r>
      </text>
    </comment>
    <comment ref="AQ1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increse from 699 to 749
01.10.2025
1 Jun increase from 749 to 799</t>
        </r>
      </text>
    </comment>
    <comment ref="E12" authorId="0" shapeId="0" xr:uid="{8F283499-1DC0-4A89-917B-C7CCCD6B89C7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Sales start 12 Aug 2025
Last lot Oct</t>
        </r>
      </text>
    </comment>
    <comment ref="K12" authorId="0" shapeId="0" xr:uid="{3A2D3BB1-FF76-4C74-BFD7-DC4CA52802B0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1 Jun Price increase from 1299 to 1349</t>
        </r>
      </text>
    </comment>
    <comment ref="AQ12" authorId="0" shapeId="0" xr:uid="{2F5CB797-4506-4A6F-BE52-0C91BC25098F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1 Jun Price increase from 1099 to 1149</t>
        </r>
      </text>
    </comment>
    <comment ref="E13" authorId="0" shapeId="0" xr:uid="{C71694EC-7F9F-4FD7-BC4B-F2C6F65DDB25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1 Jun 2026 revise svc fee to 250</t>
        </r>
      </text>
    </comment>
    <comment ref="K13" authorId="0" shapeId="0" xr:uid="{B2FE0F84-B9BB-4416-80A1-1009937DE14B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1 Jun Price increase from 1349 to 1449</t>
        </r>
      </text>
    </comment>
    <comment ref="AQ13" authorId="0" shapeId="0" xr:uid="{9A408EDF-EE70-4A21-AEC8-877457CA4E4E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1 Jun Price increase from 1149 to 1249</t>
        </r>
      </text>
    </comment>
    <comment ref="E14" authorId="0" shapeId="0" xr:uid="{E4922F2B-F754-42D4-8D10-E89276A1EC05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1 Jun 2026 revise svc fee to 200 THB</t>
        </r>
      </text>
    </comment>
    <comment ref="K14" authorId="0" shapeId="0" xr:uid="{450DECC0-5358-441A-98AC-B1738589081E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1 Jun Price increase from 1149 to 1249</t>
        </r>
      </text>
    </comment>
    <comment ref="AQ14" authorId="0" shapeId="0" xr:uid="{8B086615-AD65-476A-84C1-248A64C8251E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1 Jun Price increase from 949</t>
        </r>
      </text>
    </comment>
    <comment ref="K15" authorId="0" shapeId="0" xr:uid="{EB318D85-EF75-43BB-B82E-BBC59331D8A4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1 Jun increase from 549 to 599</t>
        </r>
      </text>
    </comment>
    <comment ref="AQ15" authorId="0" shapeId="0" xr:uid="{3B7AF617-3870-43FE-AE53-1EEC4A3E3839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1 Jun price increase from 449 to 499
</t>
        </r>
      </text>
    </comment>
    <comment ref="E16" authorId="0" shapeId="0" xr:uid="{2F13C6C6-9431-4370-A40F-26F2A4CE6B26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Start 15 Mar</t>
        </r>
      </text>
    </comment>
    <comment ref="K17" authorId="0" shapeId="0" xr:uid="{F20ACFEF-6734-4DDD-AD05-CD2CA5C4E127}">
      <text>
        <r>
          <rPr>
            <b/>
            <sz val="9"/>
            <color indexed="81"/>
            <rFont val="Tahoma"/>
            <family val="2"/>
          </rPr>
          <t>sirinart.kung</t>
        </r>
        <r>
          <rPr>
            <sz val="9"/>
            <color indexed="81"/>
            <rFont val="Tahoma"/>
            <family val="2"/>
          </rPr>
          <t xml:space="preserve">
increase frpm 749 to 849
01.10.2025
1 Jun Price decrease from 849 to 749</t>
        </r>
      </text>
    </comment>
    <comment ref="AQ17" authorId="0" shapeId="0" xr:uid="{8A1F423E-955A-492E-B1F0-DF030FD73912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increase from 649 to 749
01.10.2025
1 Jun Price decrease from 749 to 649</t>
        </r>
      </text>
    </comment>
    <comment ref="K18" authorId="0" shapeId="0" xr:uid="{A4E93EB0-871C-4632-9CDC-A8CC344746B3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1 Jun Price decrease from 599 to 549</t>
        </r>
      </text>
    </comment>
    <comment ref="AQ18" authorId="0" shapeId="0" xr:uid="{1E4FC833-BBB9-442C-B030-ECEF5DB265ED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1 Jun Price decrease from 499 to 449</t>
        </r>
      </text>
    </comment>
    <comment ref="K19" authorId="0" shapeId="0" xr:uid="{A9C0EBE3-1419-40FF-BAD6-AAA4AC3DB951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1 Jun Price decrease from 849 to 699</t>
        </r>
      </text>
    </comment>
    <comment ref="AQ19" authorId="0" shapeId="0" xr:uid="{427CF716-5413-4053-A87D-043BC85735EA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1 Jun Price decrease from 699 to 599</t>
        </r>
      </text>
    </comment>
    <comment ref="K20" authorId="0" shapeId="0" xr:uid="{E9904032-59F9-4E81-B9A7-F25D90697212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1 Jun Price decrease from 499 to 399</t>
        </r>
      </text>
    </comment>
    <comment ref="AQ20" authorId="0" shapeId="0" xr:uid="{6F6F9E37-928A-4C73-B11E-5CF77A3D39E6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1 Jun Price decrease from 399 to 349</t>
        </r>
      </text>
    </comment>
    <comment ref="E21" authorId="0" shapeId="0" xr:uid="{76FBC000-0377-4665-94AC-EFABC42BF22F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Start Mar 2026</t>
        </r>
      </text>
    </comment>
    <comment ref="E22" authorId="0" shapeId="0" xr:uid="{C92C1815-A797-4F82-8015-FF140BE6737F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Start Mar 2026</t>
        </r>
      </text>
    </comment>
    <comment ref="E29" authorId="0" shapeId="0" xr:uid="{B75A0FDC-11D0-4B7A-BA8B-C3D937486E19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Start 27 Jun</t>
        </r>
      </text>
    </comment>
    <comment ref="K29" authorId="0" shapeId="0" xr:uid="{00000000-0006-0000-0100-000013000000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increase from 549 to 599
01.10.2025
increase from 599 to 649
01.05.2026</t>
        </r>
      </text>
    </comment>
    <comment ref="AB29" authorId="0" shapeId="0" xr:uid="{00000000-0006-0000-0100-000014000000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increase from 499 to 549
01.10.2025
ncrease from 549 to 599
01.05.2026</t>
        </r>
      </text>
    </comment>
    <comment ref="AQ29" authorId="0" shapeId="0" xr:uid="{00000000-0006-0000-0100-000015000000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increase from 499 to 549
01.10.2025
increase from 549 to 599
01.05.2026</t>
        </r>
      </text>
    </comment>
    <comment ref="BH29" authorId="0" shapeId="0" xr:uid="{00000000-0006-0000-0100-000016000000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increse from 449 to 499
01.10.2025
increse from 499 to 549
01.05.2026</t>
        </r>
      </text>
    </comment>
    <comment ref="K30" authorId="0" shapeId="0" xr:uid="{DDD9A39B-BF77-4AFE-AF07-A9A1218C3364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increase from 499 to 549
01.05.2026</t>
        </r>
      </text>
    </comment>
    <comment ref="AB30" authorId="0" shapeId="0" xr:uid="{6C9468BB-4438-485E-9D4C-40ACC0DB93E3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increase from 399 to 449
01.05.2026</t>
        </r>
      </text>
    </comment>
    <comment ref="AQ30" authorId="0" shapeId="0" xr:uid="{F33BF769-6237-4988-886C-1301D046EFF4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increase from 399 to 449
01.05.2026
1 Jun Price increase from 449 to 499</t>
        </r>
      </text>
    </comment>
    <comment ref="BH30" authorId="0" shapeId="0" xr:uid="{6F0497C5-B554-4784-BF9B-698F0CC54D4D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increase from 299 to 349
01.05.2026
1 Jun Price increase from 349 to 399</t>
        </r>
      </text>
    </comment>
    <comment ref="K31" authorId="0" shapeId="0" xr:uid="{CA787B79-6332-43B3-B481-C101BBF1C892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1 Jun Price decrease from 499 to 399</t>
        </r>
      </text>
    </comment>
    <comment ref="AB31" authorId="0" shapeId="0" xr:uid="{1863C660-52BA-420C-AA83-8E0FCE8B55C0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1 Jun Price decrease from 449 to 349</t>
        </r>
      </text>
    </comment>
    <comment ref="AQ31" authorId="0" shapeId="0" xr:uid="{F42F4FF5-5446-4454-A34D-E1DC1DE3FE4C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1 Jun Price decrease from 449 to 349</t>
        </r>
      </text>
    </comment>
    <comment ref="BH31" authorId="0" shapeId="0" xr:uid="{601F662E-E9C2-41BE-8859-48FA26DC6330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1 Jun Price decrease from 399 to 299</t>
        </r>
      </text>
    </comment>
    <comment ref="K32" authorId="0" shapeId="0" xr:uid="{B9352F80-7894-41DA-B5D5-3C1C72575A14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increase from 649 to 699
01.10.2025
increase from 699 to 749
01.05.2026
01.06.2026 decrease from 749 to 649</t>
        </r>
      </text>
    </comment>
    <comment ref="AB32" authorId="0" shapeId="0" xr:uid="{959ABC40-0038-4982-8D66-0F861EBEE397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increase from 599 to 649
01.10.2025
ncrease from 649 to 699
01.05.2026
01.06.2026 decrease from 699 to 599
</t>
        </r>
      </text>
    </comment>
    <comment ref="AQ32" authorId="0" shapeId="0" xr:uid="{5A1D1124-39C2-45A5-91FC-99679D334D2E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incarese from 599 to 649
01.10.2025
ncarese from 649 to 699
01.05.2026
01.06.2025 decrease from 699 to 599</t>
        </r>
      </text>
    </comment>
    <comment ref="BH32" authorId="0" shapeId="0" xr:uid="{B746E1A3-C7C9-4DC5-99C7-548A21E14B38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increase from 549 to 599
01.10.2025
increase from 599 to 649
01.05.2026
01.06.2026 decrease from 649 to 549</t>
        </r>
      </text>
    </comment>
    <comment ref="E34" authorId="0" shapeId="0" xr:uid="{8DB87EC0-123E-4D10-8879-983C032C2293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S3MFC.ALBPETH →S3MFC.BLMPETH</t>
        </r>
      </text>
    </comment>
    <comment ref="E35" authorId="0" shapeId="0" xr:uid="{58CA1753-2F16-4797-AF51-1DCE7D264D24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Start 24 Feb</t>
        </r>
      </text>
    </comment>
    <comment ref="E36" authorId="0" shapeId="0" xr:uid="{F32EFB03-488D-4865-B9CD-B386431694D5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New model 1 Dec 2025
EOL after inventory depletion</t>
        </r>
      </text>
    </comment>
    <comment ref="K37" authorId="0" shapeId="0" xr:uid="{1999B5B2-352D-4C96-90E2-BC6ACB3E12EF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Increase from 59 to 69
01.10.2025
Increase from 69 to 89
01.04.2026
1 Jun price increase from 89 to 99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tc={D98FB6C3-33AC-45EA-9021-43D531F03FD9}</author>
    <author>sirinart.kung</author>
  </authors>
  <commentList>
    <comment ref="P5" authorId="0" shapeId="0" xr:uid="{D98FB6C3-33AC-45EA-9021-43D531F03FD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21.01.2026</t>
      </text>
    </comment>
    <comment ref="S6" authorId="1" shapeId="0" xr:uid="{00000000-0006-0000-0300-000001000000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increase from 649 to 699
01.10.2025
1 Jun Price increase from 699 to 749</t>
        </r>
      </text>
    </comment>
    <comment ref="E7" authorId="1" shapeId="0" xr:uid="{FB1CF323-DFEB-4D4C-B1FD-F97761725AE1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EOL after stock depletion</t>
        </r>
      </text>
    </comment>
    <comment ref="S7" authorId="1" shapeId="0" xr:uid="{A8A9501D-785E-4BDB-B53D-A335F14005B7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1 Jun Price increse from 499 to 549</t>
        </r>
      </text>
    </comment>
    <comment ref="E10" authorId="1" shapeId="0" xr:uid="{00000000-0006-0000-0300-000003000000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Start 24 Feb</t>
        </r>
      </text>
    </comment>
    <comment ref="E12" authorId="1" shapeId="0" xr:uid="{00000000-0006-0000-0300-000004000000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Start 24 Feb</t>
        </r>
      </text>
    </comment>
    <comment ref="E14" authorId="1" shapeId="0" xr:uid="{7743FFAE-B186-4D50-B49A-E5524959C072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sales start Feb 2026</t>
        </r>
      </text>
    </comment>
    <comment ref="G15" authorId="1" shapeId="0" xr:uid="{9ADEA009-F36E-4460-B773-F4B7BEED80E2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1 Jun Price decrease from 299 to 249</t>
        </r>
      </text>
    </comment>
    <comment ref="S15" authorId="1" shapeId="0" xr:uid="{5AA0C0B6-6406-4404-A69B-7A37AAE3E3A3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1 Jun Price decrease from 249 to 199</t>
        </r>
      </text>
    </comment>
    <comment ref="G17" authorId="1" shapeId="0" xr:uid="{96D2EA5D-4FF8-4D58-97E9-63969D01BA37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1 Jun Price drease from 549 to 449
</t>
        </r>
      </text>
    </comment>
    <comment ref="S17" authorId="1" shapeId="0" xr:uid="{A3F36FBA-5B04-41AC-A7F9-33529765DA8C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1 Jun Price decrease from 499 to 399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sirinart.kung</author>
  </authors>
  <commentList>
    <comment ref="E9" authorId="0" shapeId="0" xr:uid="{727535C6-A83B-4F75-B0B6-1006DF355F2A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Start Mar 2026</t>
        </r>
      </text>
    </comment>
    <comment ref="M25" authorId="0" shapeId="0" xr:uid="{7E3A5500-8632-46E9-AD70-DE0720A584D2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1 June Price decrease 100 THB</t>
        </r>
      </text>
    </comment>
    <comment ref="M26" authorId="0" shapeId="0" xr:uid="{0212F939-B7FB-4E2B-BDB3-9F7ADDE27A09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1 June Price decrease 100 THB</t>
        </r>
      </text>
    </comment>
    <comment ref="M27" authorId="0" shapeId="0" xr:uid="{2D7D3830-3938-488B-B61D-6D2A1620F79E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1 June Price decrease 100 THB</t>
        </r>
      </text>
    </comment>
    <comment ref="M28" authorId="0" shapeId="0" xr:uid="{A62D3F20-100F-4466-B5DE-C37A3B4AA3C5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1 June Price decrease 100 THB</t>
        </r>
      </text>
    </comment>
    <comment ref="M29" authorId="0" shapeId="0" xr:uid="{AC117108-3FF2-48CC-9534-20C26AD18232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1 June Price decrease 150 THB</t>
        </r>
      </text>
    </comment>
    <comment ref="M30" authorId="0" shapeId="0" xr:uid="{D538060C-789A-4B20-A89A-C65710B2DAB7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1 June Price decrease 150 THB</t>
        </r>
      </text>
    </comment>
    <comment ref="M31" authorId="0" shapeId="0" xr:uid="{EC2E6A98-FD81-4C07-923A-7CA2DEFBC2CF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1 June Price decrease 150 THB</t>
        </r>
      </text>
    </comment>
    <comment ref="M32" authorId="0" shapeId="0" xr:uid="{A8FF8D40-E9FF-4A9E-BB22-6DA5E9C9DD86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1 June Price decrease 150 THB</t>
        </r>
      </text>
    </comment>
    <comment ref="K33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ThinQ Wifi</t>
        </r>
      </text>
    </comment>
    <comment ref="M33" authorId="0" shapeId="0" xr:uid="{00000000-0006-0000-0500-00000F000000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increase from 1399
01.10.2025, 
increase from 1499
01.04.2026, </t>
        </r>
      </text>
    </comment>
    <comment ref="I34" authorId="0" shapeId="0" xr:uid="{00000000-0006-0000-0500-000014000000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Panel</t>
        </r>
      </text>
    </comment>
    <comment ref="J34" authorId="0" shapeId="0" xr:uid="{00000000-0006-0000-0500-000015000000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Airpurifier</t>
        </r>
      </text>
    </comment>
    <comment ref="K34" authorId="0" shapeId="0" xr:uid="{00000000-0006-0000-0500-000016000000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ThinQ Wifi</t>
        </r>
      </text>
    </comment>
    <comment ref="M34" authorId="0" shapeId="0" xr:uid="{00000000-0006-0000-0500-000017000000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increase from 1649 to 1749
01.10.2025
increase from 1749 to 1849
01.04.2026
1 Jun price increase from 1849 to 1949</t>
        </r>
      </text>
    </comment>
    <comment ref="M35" authorId="0" shapeId="0" xr:uid="{00000000-0006-0000-0500-00001B000000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increase from 1299 to 1399
01.10.2025
increase from 1399 to 1499
01.04.2026</t>
        </r>
      </text>
    </comment>
    <comment ref="M36" authorId="0" shapeId="0" xr:uid="{00000000-0006-0000-0500-00001F000000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increase from 2499 to 2599
01.10.2025
increase from 2599 to 2699
01.04.2026
1 Jun increase from 2699 to 2799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sirinart.kung</author>
  </authors>
  <commentList>
    <comment ref="H13" authorId="0" shapeId="0" xr:uid="{CE937CF9-BE0F-4D66-BEE1-68FB42EADEA3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1 Jun increase 50 from 499 to 549</t>
        </r>
      </text>
    </comment>
    <comment ref="E14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Sales start 01 Oct 2025</t>
        </r>
      </text>
    </comment>
    <comment ref="H14" authorId="0" shapeId="0" xr:uid="{D0898840-0FED-4B5F-9A6D-CB16DF0469E1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1 Jun increase from 649 to 799</t>
        </r>
      </text>
    </comment>
    <comment ref="H15" authorId="0" shapeId="0" xr:uid="{EF221648-FA43-4186-ADAC-8769E3277013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1 Jun decrease from 799 to 699</t>
        </r>
      </text>
    </comment>
    <comment ref="H16" authorId="0" shapeId="0" xr:uid="{C868486D-4C0A-4671-B22B-F0DDCE5C5E51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1 Jun decrease from 999 to 849</t>
        </r>
      </text>
    </comment>
    <comment ref="E17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Start 01 Oct 2025</t>
        </r>
      </text>
    </comment>
    <comment ref="H17" authorId="0" shapeId="0" xr:uid="{B3A002F3-B3B3-47AD-A8A4-7668D523DF36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1 Jun increase from 1399 to 1499</t>
        </r>
      </text>
    </comment>
    <comment ref="E20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Start 27 Jun)</t>
        </r>
      </text>
    </comment>
    <comment ref="H20" authorId="0" shapeId="0" xr:uid="{055D362F-056C-4A17-8FE0-C91C0D9110BC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1 Jun Increase from 599 to 699</t>
        </r>
      </text>
    </comment>
    <comment ref="E21" authorId="0" shapeId="0" xr:uid="{70295342-D01F-441E-BD9D-3A041BD8A16F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Sales start 1 Apr 2026</t>
        </r>
      </text>
    </comment>
    <comment ref="E22" authorId="0" shapeId="0" xr:uid="{DBCD40C5-E711-4204-91FC-9CAB1833E65A}">
      <text>
        <r>
          <rPr>
            <b/>
            <sz val="9"/>
            <color indexed="81"/>
            <rFont val="Tahoma"/>
            <family val="2"/>
          </rPr>
          <t>sirinart.kung:New model stat 1 Mar 2026</t>
        </r>
      </text>
    </comment>
    <comment ref="H22" authorId="0" shapeId="0" xr:uid="{CE171F7B-FB7B-44A2-99E7-2443D6A3156A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decrease from 449 to 349</t>
        </r>
      </text>
    </comment>
    <comment ref="E23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Start 27 Jun</t>
        </r>
      </text>
    </comment>
    <comment ref="H23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increase from 79 tp 99
01.10.2025
1 Jun increase from 99 to 109</t>
        </r>
      </text>
    </comment>
    <comment ref="E24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Start 27 Jun</t>
        </r>
      </text>
    </comment>
    <comment ref="H24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inctrase from 109 to 129
01.10.2025
1 Jun increase from 129 to 139</t>
        </r>
      </text>
    </comment>
    <comment ref="H26" authorId="0" shapeId="0" xr:uid="{5F5AC4E4-56E8-4370-BF3F-BB4C70BA200C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change from optional to normal &amp; Price increase from329 start 1 Mar 2026
1 Jun increase from 399 to 449</t>
        </r>
      </text>
    </comment>
    <comment ref="H27" authorId="0" shapeId="0" xr:uid="{6446AAD3-A38C-44C0-ADA2-0254AE95750F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change from option to normal &amp; price increase from 159 Start 1 Mar 2026
1 Jun increase from 169 to 189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sirinart.kung</author>
  </authors>
  <commentList>
    <comment ref="G3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ThinQ Wifi</t>
        </r>
      </text>
    </comment>
    <comment ref="E6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Panel</t>
        </r>
      </text>
    </comment>
    <comment ref="F6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sirinart.kung:</t>
        </r>
        <r>
          <rPr>
            <sz val="9"/>
            <color indexed="81"/>
            <rFont val="Tahoma"/>
            <family val="2"/>
          </rPr>
          <t xml:space="preserve">
Airpurifier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<sst xmlns="http://schemas.openxmlformats.org/spreadsheetml/2006/main" count="5910" uniqueCount="947">
  <si>
    <t>Self</t>
    <phoneticPr fontId="20" type="noConversion"/>
  </si>
  <si>
    <t>WP</t>
  </si>
  <si>
    <t>WD516AN.ACNPLMT</t>
  </si>
  <si>
    <t>ATOM 4D+ Calming Navy</t>
  </si>
  <si>
    <t>WD516AN.AEWPLMT</t>
  </si>
  <si>
    <t>ATOM 4D+ Essense White</t>
  </si>
  <si>
    <t>WD516AN.ASLPLMT</t>
  </si>
  <si>
    <t>ATOM 4D+ Silver</t>
  </si>
  <si>
    <t>WD518AN.ABGPLMT</t>
  </si>
  <si>
    <t>ATOM V Calming Beige</t>
  </si>
  <si>
    <t>WD518AN.AWHPLMT</t>
  </si>
  <si>
    <t>ATOM V Calming Cream White</t>
  </si>
  <si>
    <t>WD518AN.ACGPLMT</t>
  </si>
  <si>
    <t>ATOM V Cream Gray</t>
  </si>
  <si>
    <t>REF</t>
  </si>
  <si>
    <t>GC-X257CMEW.ATEPLMT</t>
  </si>
  <si>
    <t>GC-J257SQZW.AEPPLMT</t>
  </si>
  <si>
    <t>GN-F452PQAK.AEPPLMT</t>
  </si>
  <si>
    <t>WM</t>
  </si>
  <si>
    <t>FV1413S4M.AMBPETH</t>
  </si>
  <si>
    <t>13kg Wash Only</t>
  </si>
  <si>
    <t>10kg</t>
  </si>
  <si>
    <t>VCC</t>
  </si>
  <si>
    <t>RAC</t>
  </si>
  <si>
    <t>AP</t>
  </si>
  <si>
    <t>Visit</t>
    <phoneticPr fontId="20" type="noConversion"/>
  </si>
  <si>
    <t>6M</t>
    <phoneticPr fontId="20" type="noConversion"/>
  </si>
  <si>
    <t>24M</t>
    <phoneticPr fontId="20" type="noConversion"/>
  </si>
  <si>
    <t>12M</t>
    <phoneticPr fontId="20" type="noConversion"/>
  </si>
  <si>
    <t>12M</t>
    <phoneticPr fontId="20" type="noConversion"/>
  </si>
  <si>
    <t>Service</t>
    <phoneticPr fontId="20" type="noConversion"/>
  </si>
  <si>
    <t>6M</t>
    <phoneticPr fontId="20" type="noConversion"/>
  </si>
  <si>
    <t>Outright + 2Y Service</t>
    <phoneticPr fontId="20" type="noConversion"/>
  </si>
  <si>
    <t>New</t>
  </si>
  <si>
    <t>MX  Calming Beige</t>
  </si>
  <si>
    <t>WT2116SHEG.ABGPETH</t>
  </si>
  <si>
    <t>Wash Tower 21 Kg</t>
  </si>
  <si>
    <t>TV</t>
  </si>
  <si>
    <t xml:space="preserve">Contract </t>
  </si>
  <si>
    <t>5 Y</t>
  </si>
  <si>
    <t>Model</t>
  </si>
  <si>
    <t>2 Doors</t>
  </si>
  <si>
    <t>Disc</t>
  </si>
  <si>
    <t>Normal
total price</t>
  </si>
  <si>
    <t>MNT</t>
  </si>
  <si>
    <t>No</t>
  </si>
  <si>
    <t>GC-L257KQKW.AEPPLMT</t>
  </si>
  <si>
    <t>GC-V22FFQMB.AEPPLMT</t>
  </si>
  <si>
    <t>Wash&amp;Dry (Wash13 Kg.Dry 8 Kg)</t>
  </si>
  <si>
    <t>T/L V+ 23kg</t>
  </si>
  <si>
    <t>24M</t>
  </si>
  <si>
    <t>12M</t>
  </si>
  <si>
    <t>RV10VHP4B.BMBPETH</t>
  </si>
  <si>
    <t>FV1413H4M.AMBPETH</t>
  </si>
  <si>
    <t>A9T-ULTRA.DCBPETH</t>
  </si>
  <si>
    <t>WT1410NHEG.ABGPPTH</t>
  </si>
  <si>
    <t>SAQ11A.S11</t>
  </si>
  <si>
    <t>SAQ13A.S11</t>
  </si>
  <si>
    <t>SEQ11A.S01</t>
  </si>
  <si>
    <t>SEQ13A.S01</t>
  </si>
  <si>
    <t>SEQ18A.S11</t>
  </si>
  <si>
    <t>SEQ24A.S11</t>
  </si>
  <si>
    <t>SCQ18A.S11</t>
  </si>
  <si>
    <t>SCQ24A.S11</t>
  </si>
  <si>
    <t>เบอร์ 5/Dual Cool /5 Star/WiFi</t>
  </si>
  <si>
    <t>เบอร์ 5/Dual Cool /3 Star/WiFi</t>
  </si>
  <si>
    <t xml:space="preserve">Monthly fee </t>
  </si>
  <si>
    <t>GN-F392PQAK.AEPPLM1</t>
  </si>
  <si>
    <t>Disc from Normal</t>
  </si>
  <si>
    <t>3M</t>
  </si>
  <si>
    <t xml:space="preserve">WS510SN.AWHPLMT
</t>
  </si>
  <si>
    <t>Stand Water Purifier White</t>
  </si>
  <si>
    <t>AS65GDBY0.ABAE</t>
  </si>
  <si>
    <t>AS10GDBY0.ABAE</t>
  </si>
  <si>
    <t>DFC335HM.ABMPETH</t>
  </si>
  <si>
    <t>Dish Washer</t>
  </si>
  <si>
    <t>Discount 10%</t>
  </si>
  <si>
    <t>1M-12M</t>
  </si>
  <si>
    <t>Advance Payment
50% 12M</t>
  </si>
  <si>
    <t>WD110MN.ABGPLMT</t>
  </si>
  <si>
    <t>GN-V389FQEF.AEPPLMT</t>
  </si>
  <si>
    <t>Subscription Fee</t>
  </si>
  <si>
    <r>
      <t xml:space="preserve">Disc.50% 
(12 </t>
    </r>
    <r>
      <rPr>
        <b/>
        <sz val="11"/>
        <color rgb="FFFF00FF"/>
        <rFont val="맑은 고딕"/>
        <family val="2"/>
      </rPr>
      <t>รอบบิล</t>
    </r>
    <r>
      <rPr>
        <b/>
        <sz val="11"/>
        <color rgb="FFFF00FF"/>
        <rFont val="Arial Narrow"/>
        <family val="2"/>
      </rPr>
      <t>)</t>
    </r>
  </si>
  <si>
    <t>Side-By-Side /Door in Door/22.4Q/ 635 ลิตร</t>
  </si>
  <si>
    <t>Side-By-Side/ 22.6 Q/ 641 ลิตร</t>
  </si>
  <si>
    <t>32LQ630BPSA.ATM</t>
  </si>
  <si>
    <t>5Y</t>
  </si>
  <si>
    <t>TX2725AT9G.AEGPETH</t>
  </si>
  <si>
    <t xml:space="preserve">T/L LG AI DD™ Inverter 25kg </t>
  </si>
  <si>
    <t xml:space="preserve">Disc.50% 
(12 รอบบิล)
</t>
  </si>
  <si>
    <t>OLED77C5PSA.ATM</t>
  </si>
  <si>
    <t>OLED48C5PSA.ATM</t>
  </si>
  <si>
    <t>75QNED86ASA.ATM</t>
  </si>
  <si>
    <t>55QNED80ASA.ATM</t>
  </si>
  <si>
    <t>75UA8450PSA.ATMQ</t>
  </si>
  <si>
    <t>65UA8450PSA.ATM</t>
  </si>
  <si>
    <t>MS4295DIS.BBKPETH</t>
  </si>
  <si>
    <t>AS60GHWG0.ABAE</t>
  </si>
  <si>
    <t>MS2535GIK.BSEPETH</t>
  </si>
  <si>
    <t>AS55GGWX0.ABAE</t>
  </si>
  <si>
    <t>GV-K25FFGEB.ABMPLMT</t>
  </si>
  <si>
    <t>GV-V25FFGRB.ABMPLMT</t>
  </si>
  <si>
    <t>ZV-Q18GM1E0.EWGHATH</t>
  </si>
  <si>
    <t>ZV-Q24GM1E0.EWGHATH</t>
  </si>
  <si>
    <t>ZV-Q36GM2E0.EWGHATH</t>
  </si>
  <si>
    <t>ZT-Q18GPLE0.EWGHATH</t>
  </si>
  <si>
    <t>ZT-Q24GPLA0.EWGHATH</t>
  </si>
  <si>
    <t>ZT-Q36GNLA0.EWGHATH</t>
  </si>
  <si>
    <t>ZT-Q48GMLA0.EWGHATH</t>
  </si>
  <si>
    <t>ZT-Q12GULA0.EWGHATH</t>
  </si>
  <si>
    <t>ZT-Q18GTLA0.EWGHATH</t>
  </si>
  <si>
    <t>ZT-Q24GTLA0.EWGHATH</t>
  </si>
  <si>
    <t>ZT-Q36GYLA0.EWGHATH</t>
  </si>
  <si>
    <t>ZT-Q48GYLA0.EWGHATH</t>
  </si>
  <si>
    <t>SAC</t>
  </si>
  <si>
    <t>4M</t>
  </si>
  <si>
    <t>ZVNQ24GM1E0.ENWTATH</t>
  </si>
  <si>
    <t>ZVNQ36GM2E0.ENWTATH</t>
  </si>
  <si>
    <t>ZTNQ18GPLE0.ENWHATH</t>
  </si>
  <si>
    <t>ZTNQ24GPLA0.ENWHATH</t>
  </si>
  <si>
    <t>ZTNQ36GNLA0.ENWHATH</t>
  </si>
  <si>
    <t>ZTNQ48GMLA0.ENWHATH</t>
  </si>
  <si>
    <t>ZTNQ12GULA0.ENWHATH</t>
  </si>
  <si>
    <t>ZTNQ18GTLA0.ENWHATH</t>
  </si>
  <si>
    <t>ZTNQ24GTLA0.ENWHATH</t>
  </si>
  <si>
    <t>ZTNQ36GYLA0.ENWBATH</t>
  </si>
  <si>
    <t>ZTNQ48GYLA0.ENWBATH</t>
  </si>
  <si>
    <t>Ceiling Type</t>
  </si>
  <si>
    <t>4 Ways</t>
  </si>
  <si>
    <t>1 way</t>
  </si>
  <si>
    <t>ZVNQ18GM1E0.ENWTATH</t>
  </si>
  <si>
    <t>ZVUQ18GM1E0.EWGHATH</t>
  </si>
  <si>
    <t>ZVUQ24GM1E0.EWGHATH</t>
  </si>
  <si>
    <t>ZVUQ36GM2E0.EWGHATH</t>
  </si>
  <si>
    <t>ZTUQ18GPLE0.EWGHATH</t>
  </si>
  <si>
    <t>ZTUQ24GPLA0.EWGHATH</t>
  </si>
  <si>
    <t>ZTUQ36GNLA0.EWGHATH</t>
  </si>
  <si>
    <t>ZTUQ48GMLA0.EWGHATH</t>
  </si>
  <si>
    <t>ZTUQ12GULA0.EWGHATH</t>
  </si>
  <si>
    <t>ZTUQ18GTLA0.EWGHATH</t>
  </si>
  <si>
    <t>ZTUQ24GTLA0.EWGHATH</t>
  </si>
  <si>
    <t>ZTUQ36GYLA0.EWGHATH</t>
  </si>
  <si>
    <t>ZTUQ48GYLA0.EWGHATH</t>
  </si>
  <si>
    <t>Indoor</t>
  </si>
  <si>
    <t>Outdoor</t>
  </si>
  <si>
    <t>Round</t>
  </si>
  <si>
    <t>Ceiling Type/ 17100 Btu</t>
  </si>
  <si>
    <t>4 Way</t>
  </si>
  <si>
    <t>Product Type</t>
  </si>
  <si>
    <t>Model (Set)</t>
  </si>
  <si>
    <t>Indoor/ Outdoor</t>
  </si>
  <si>
    <r>
      <t>Z</t>
    </r>
    <r>
      <rPr>
        <sz val="12"/>
        <color rgb="FFFF0000"/>
        <rFont val="Calibri"/>
        <family val="2"/>
        <scheme val="minor"/>
      </rPr>
      <t>V</t>
    </r>
    <r>
      <rPr>
        <sz val="12"/>
        <rFont val="Calibri"/>
        <family val="2"/>
        <scheme val="minor"/>
      </rPr>
      <t>-Q18GM1E0.EWGHATH</t>
    </r>
  </si>
  <si>
    <r>
      <t>Z</t>
    </r>
    <r>
      <rPr>
        <sz val="12"/>
        <color rgb="FFFF0000"/>
        <rFont val="Calibri"/>
        <family val="2"/>
        <scheme val="minor"/>
      </rPr>
      <t>V</t>
    </r>
    <r>
      <rPr>
        <sz val="12"/>
        <rFont val="Calibri"/>
        <family val="2"/>
        <scheme val="minor"/>
      </rPr>
      <t>-Q36GM2E0.EWGHATH</t>
    </r>
  </si>
  <si>
    <r>
      <t>ZT-Q18G</t>
    </r>
    <r>
      <rPr>
        <sz val="12"/>
        <color rgb="FFFF0000"/>
        <rFont val="Calibri"/>
        <family val="2"/>
        <scheme val="minor"/>
      </rPr>
      <t>P</t>
    </r>
    <r>
      <rPr>
        <sz val="12"/>
        <rFont val="Calibri"/>
        <family val="2"/>
        <scheme val="minor"/>
      </rPr>
      <t>LE0.EWGHATH</t>
    </r>
  </si>
  <si>
    <r>
      <t>ZT-Q24G</t>
    </r>
    <r>
      <rPr>
        <sz val="12"/>
        <color rgb="FFFF0000"/>
        <rFont val="Calibri"/>
        <family val="2"/>
        <scheme val="minor"/>
      </rPr>
      <t>P</t>
    </r>
    <r>
      <rPr>
        <sz val="12"/>
        <rFont val="Calibri"/>
        <family val="2"/>
        <scheme val="minor"/>
      </rPr>
      <t>LA0.EWGHATH</t>
    </r>
  </si>
  <si>
    <r>
      <t>ZT-Q36G</t>
    </r>
    <r>
      <rPr>
        <sz val="12"/>
        <color rgb="FFFF0000"/>
        <rFont val="Calibri"/>
        <family val="2"/>
        <scheme val="minor"/>
      </rPr>
      <t>N</t>
    </r>
    <r>
      <rPr>
        <sz val="12"/>
        <rFont val="Calibri"/>
        <family val="2"/>
        <scheme val="minor"/>
      </rPr>
      <t>LA0.EWGHATH</t>
    </r>
  </si>
  <si>
    <r>
      <t>ZT-Q48G</t>
    </r>
    <r>
      <rPr>
        <sz val="12"/>
        <color rgb="FFFF0000"/>
        <rFont val="Calibri"/>
        <family val="2"/>
        <scheme val="minor"/>
      </rPr>
      <t>M</t>
    </r>
    <r>
      <rPr>
        <sz val="12"/>
        <rFont val="Calibri"/>
        <family val="2"/>
        <scheme val="minor"/>
      </rPr>
      <t>LA0.EWGHATH</t>
    </r>
  </si>
  <si>
    <r>
      <t>ZT-Q12G</t>
    </r>
    <r>
      <rPr>
        <sz val="12"/>
        <color rgb="FFFF0000"/>
        <rFont val="Calibri"/>
        <family val="2"/>
        <scheme val="minor"/>
      </rPr>
      <t>U</t>
    </r>
    <r>
      <rPr>
        <sz val="12"/>
        <rFont val="Calibri"/>
        <family val="2"/>
        <scheme val="minor"/>
      </rPr>
      <t>LA0.EWGHATH</t>
    </r>
  </si>
  <si>
    <r>
      <t>ZT-Q18G</t>
    </r>
    <r>
      <rPr>
        <sz val="12"/>
        <color rgb="FFFF0000"/>
        <rFont val="Calibri"/>
        <family val="2"/>
        <scheme val="minor"/>
      </rPr>
      <t>T</t>
    </r>
    <r>
      <rPr>
        <sz val="12"/>
        <rFont val="Calibri"/>
        <family val="2"/>
        <scheme val="minor"/>
      </rPr>
      <t>LA0.EWGHATH</t>
    </r>
  </si>
  <si>
    <r>
      <t>ZT-Q24G</t>
    </r>
    <r>
      <rPr>
        <sz val="12"/>
        <color rgb="FFFF0000"/>
        <rFont val="Calibri"/>
        <family val="2"/>
        <scheme val="minor"/>
      </rPr>
      <t>T</t>
    </r>
    <r>
      <rPr>
        <sz val="12"/>
        <rFont val="Calibri"/>
        <family val="2"/>
        <scheme val="minor"/>
      </rPr>
      <t>LA0.EWGHATH</t>
    </r>
  </si>
  <si>
    <r>
      <t>ZT-Q36G</t>
    </r>
    <r>
      <rPr>
        <sz val="12"/>
        <color rgb="FFFF0000"/>
        <rFont val="Calibri"/>
        <family val="2"/>
        <scheme val="minor"/>
      </rPr>
      <t>Y</t>
    </r>
    <r>
      <rPr>
        <sz val="12"/>
        <rFont val="Calibri"/>
        <family val="2"/>
        <scheme val="minor"/>
      </rPr>
      <t>LA0.EWGHATH</t>
    </r>
  </si>
  <si>
    <r>
      <t>ZT-Q48G</t>
    </r>
    <r>
      <rPr>
        <sz val="12"/>
        <color rgb="FFFF0000"/>
        <rFont val="Calibri"/>
        <family val="2"/>
        <scheme val="minor"/>
      </rPr>
      <t>Y</t>
    </r>
    <r>
      <rPr>
        <sz val="12"/>
        <rFont val="Calibri"/>
        <family val="2"/>
        <scheme val="minor"/>
      </rPr>
      <t>LA0.EWGHATH</t>
    </r>
  </si>
  <si>
    <t xml:space="preserve">A9T-LITE.DCGPETH </t>
  </si>
  <si>
    <t xml:space="preserve">TX2723ST5J.APBPETH </t>
  </si>
  <si>
    <t>32U889SA-W.ATM</t>
  </si>
  <si>
    <t>GRAB.ATHALBK</t>
  </si>
  <si>
    <t>BOUNCE.ATHALBK</t>
  </si>
  <si>
    <t>PT-MPGW0.ENCXCOM</t>
  </si>
  <si>
    <t>PTAHMP0.ENCXCOM</t>
  </si>
  <si>
    <t>Panel</t>
  </si>
  <si>
    <t>Premium Airpurification</t>
  </si>
  <si>
    <t>Type</t>
  </si>
  <si>
    <t>NoService
6Y</t>
  </si>
  <si>
    <t>AS35GGW10.ATH</t>
  </si>
  <si>
    <t>6M</t>
  </si>
  <si>
    <t>Promotion
Net</t>
  </si>
  <si>
    <t xml:space="preserve">Promotion </t>
  </si>
  <si>
    <t>PTAHTP0.ENCXCOM</t>
  </si>
  <si>
    <t>PT-UPHG0.ENCXCOM</t>
  </si>
  <si>
    <t>PT-TPHG0.ENCXCOM</t>
  </si>
  <si>
    <t>Total Month</t>
  </si>
  <si>
    <t>Visit 5Y
Monthly price</t>
  </si>
  <si>
    <t>Self 5Y
Monthly price</t>
  </si>
  <si>
    <t>Visit 7Y
Monthly price</t>
  </si>
  <si>
    <t>Self 7Y
Monthly price</t>
  </si>
  <si>
    <t>Contract 5Y</t>
  </si>
  <si>
    <t>Contract 6Y</t>
  </si>
  <si>
    <t>Contract 7Y</t>
  </si>
  <si>
    <t>DW</t>
  </si>
  <si>
    <t>MWO</t>
  </si>
  <si>
    <t>Dehumidifier</t>
  </si>
  <si>
    <t>34GX90SA-W.ATM</t>
  </si>
  <si>
    <t>Service
Cycle</t>
  </si>
  <si>
    <t>Montly fee</t>
  </si>
  <si>
    <t xml:space="preserve">1 way </t>
  </si>
  <si>
    <t xml:space="preserve"> 4 Way</t>
  </si>
  <si>
    <t>GC-G24FFQKB.AEEPLM1</t>
  </si>
  <si>
    <t>PWFMDD200.ENCXLEU</t>
  </si>
  <si>
    <t>Indoor model</t>
  </si>
  <si>
    <t>Outdoor model</t>
  </si>
  <si>
    <t>Ceiling</t>
  </si>
  <si>
    <t>65QNED82ASA.ATM</t>
  </si>
  <si>
    <t>Wifi</t>
  </si>
  <si>
    <t>PTO (Set)</t>
  </si>
  <si>
    <t>Cost</t>
  </si>
  <si>
    <t>PTAHYP0.ENCXGLO</t>
  </si>
  <si>
    <t>GC-X24FFCRB.AEVPLM1</t>
  </si>
  <si>
    <t>REF3FILTER2.AETC</t>
  </si>
  <si>
    <t>GC-L24FFCBB.AEVPLM1</t>
  </si>
  <si>
    <t>6Y</t>
  </si>
  <si>
    <t>GC-L257SFZW.APYPLMT</t>
  </si>
  <si>
    <t>W/M</t>
  </si>
  <si>
    <t>F2520RNTB.AEBPETH</t>
  </si>
  <si>
    <t>FV1409H4W.ABWPETH</t>
  </si>
  <si>
    <t>27LX6TDGA.ATM</t>
  </si>
  <si>
    <t>Warranty Only</t>
  </si>
  <si>
    <t>45GX950A-B.ATM</t>
  </si>
  <si>
    <r>
      <t xml:space="preserve">Disc.50% 
(6 </t>
    </r>
    <r>
      <rPr>
        <b/>
        <sz val="11"/>
        <color rgb="FFFF00FF"/>
        <rFont val="맑은 고딕"/>
        <family val="2"/>
      </rPr>
      <t>รอบบิล</t>
    </r>
    <r>
      <rPr>
        <b/>
        <sz val="11"/>
        <color rgb="FFFF00FF"/>
        <rFont val="Arial Narrow"/>
        <family val="2"/>
      </rPr>
      <t>)</t>
    </r>
  </si>
  <si>
    <t>13M~24M (12 Months 50% Discount)</t>
  </si>
  <si>
    <t>13M-24M
(12)</t>
  </si>
  <si>
    <t>13M-18M
(6)</t>
  </si>
  <si>
    <t>19M-60M
(42)</t>
  </si>
  <si>
    <t>25M-60M
(36)</t>
  </si>
  <si>
    <t>13M-60M
(48)</t>
  </si>
  <si>
    <t>2 Doors Top Freezer</t>
  </si>
  <si>
    <t>2 Doors 12Q/  Bottom freezer Smart Inverter</t>
  </si>
  <si>
    <t>Dryer</t>
  </si>
  <si>
    <t>Air Purifier</t>
  </si>
  <si>
    <t>Visit 6Y
Monthly price</t>
  </si>
  <si>
    <t>Self 6Y
Monthly price</t>
  </si>
  <si>
    <t>Disc.50% 
(6 รอบบิล)</t>
  </si>
  <si>
    <t>Disc.50% 
(12 รอบบิล)</t>
  </si>
  <si>
    <t xml:space="preserve">Ceiling </t>
  </si>
  <si>
    <t xml:space="preserve"> Cassette 4 Way</t>
  </si>
  <si>
    <t xml:space="preserve">Cassette 1 way </t>
  </si>
  <si>
    <t>Cassette Round</t>
  </si>
  <si>
    <t>GV-B25FFGDB.ABMPLMT</t>
  </si>
  <si>
    <t>SELF</t>
  </si>
  <si>
    <t>VISIT</t>
  </si>
  <si>
    <t>GN-304SLBR.APYPLMT</t>
  </si>
  <si>
    <t xml:space="preserve">
GC-X24FFCRB.AEVPLM1
</t>
  </si>
  <si>
    <t xml:space="preserve">
GC-L24FFCBB.AEVPLM1
</t>
  </si>
  <si>
    <t>Free GN-304SLBR</t>
  </si>
  <si>
    <t>Wash Tower 14 Kg (Green/Beige)</t>
  </si>
  <si>
    <t>Wash Tower 14 Kg (Navy/Beige)</t>
  </si>
  <si>
    <t>Product (1)</t>
  </si>
  <si>
    <t>Product (2)</t>
  </si>
  <si>
    <t>PTO model
Promotion Free Gift</t>
  </si>
  <si>
    <t xml:space="preserve">PTOX24FFCR2.APTO
</t>
  </si>
  <si>
    <t xml:space="preserve">PTOL24FFCB2.APTO
</t>
  </si>
  <si>
    <t>DFC533FV.APYPETH</t>
  </si>
  <si>
    <t xml:space="preserve">Disc.50% 
(18 รอบบิล)
</t>
  </si>
  <si>
    <t>-</t>
  </si>
  <si>
    <t>S95TR.DTHALLK</t>
  </si>
  <si>
    <t>STYLER</t>
  </si>
  <si>
    <t>S3MFC.ALBPETH</t>
  </si>
  <si>
    <t>3 Coat hangers</t>
  </si>
  <si>
    <t>S70TY.ATHALLD</t>
  </si>
  <si>
    <t>AV</t>
  </si>
  <si>
    <t>Classification</t>
  </si>
  <si>
    <t/>
  </si>
  <si>
    <t>1. Combo Policy</t>
  </si>
  <si>
    <r>
      <t xml:space="preserve">Disc.50% 
(25 </t>
    </r>
    <r>
      <rPr>
        <b/>
        <sz val="11"/>
        <color rgb="FFFF00FF"/>
        <rFont val="맑은 고딕"/>
        <family val="2"/>
      </rPr>
      <t>รอบบิล</t>
    </r>
    <r>
      <rPr>
        <b/>
        <sz val="11"/>
        <color rgb="FFFF00FF"/>
        <rFont val="Arial Narrow"/>
        <family val="2"/>
      </rPr>
      <t>)</t>
    </r>
  </si>
  <si>
    <t>1. New + New Comobo Promotion</t>
  </si>
  <si>
    <t>Original</t>
  </si>
  <si>
    <t>Feb</t>
  </si>
  <si>
    <t>Details</t>
  </si>
  <si>
    <t>Same</t>
  </si>
  <si>
    <t>As Is</t>
  </si>
  <si>
    <t>To Be</t>
  </si>
  <si>
    <t>Division</t>
  </si>
  <si>
    <t>Optional</t>
  </si>
  <si>
    <t>PRM</t>
  </si>
  <si>
    <t>Care Type</t>
  </si>
  <si>
    <t>Service Cycle (M)</t>
  </si>
  <si>
    <t>50% Discount (Month)</t>
  </si>
  <si>
    <t>Total Promotion
(THB)</t>
  </si>
  <si>
    <t>Total Operation Price
(THB)</t>
  </si>
  <si>
    <t>COI
Promotion</t>
  </si>
  <si>
    <t>COI
Original</t>
  </si>
  <si>
    <t>Remark</t>
  </si>
  <si>
    <t>Increase
(To be - As)</t>
  </si>
  <si>
    <t>Increase %
(To be - As)</t>
  </si>
  <si>
    <t>Reflection</t>
  </si>
  <si>
    <t>As Is Norma
l - To be</t>
  </si>
  <si>
    <t>Air Care</t>
  </si>
  <si>
    <t>Visit</t>
  </si>
  <si>
    <t>MD19GQGA1. ATH</t>
  </si>
  <si>
    <t>Self</t>
  </si>
  <si>
    <t>S20A. CTHALLK</t>
  </si>
  <si>
    <t>Cooking</t>
  </si>
  <si>
    <t>Dishwasher</t>
  </si>
  <si>
    <t>LTV</t>
  </si>
  <si>
    <t>13M~18M (6 Months 50% Discount)</t>
  </si>
  <si>
    <t>SAQ11A. S11</t>
  </si>
  <si>
    <t>SAQ13A. S11</t>
  </si>
  <si>
    <t>SCQ18A. S11</t>
  </si>
  <si>
    <t>SCQ24A. S11</t>
  </si>
  <si>
    <t>SEQ11A. S01</t>
  </si>
  <si>
    <t>SEQ13A. S01</t>
  </si>
  <si>
    <t>SEQ18A. S11</t>
  </si>
  <si>
    <t>SEQ24A. S11</t>
  </si>
  <si>
    <t>ICE13M. JU1</t>
  </si>
  <si>
    <t>ICE18M. KU1</t>
  </si>
  <si>
    <t>ICE24M. KU1</t>
  </si>
  <si>
    <t>OBS Subscription Only</t>
  </si>
  <si>
    <t>ZT-Q24GPLA0. EWGHATH</t>
  </si>
  <si>
    <t>Water Care</t>
  </si>
  <si>
    <t>NPI</t>
  </si>
  <si>
    <t>DD23GMWE1</t>
  </si>
  <si>
    <t>SAQ18B. S21</t>
  </si>
  <si>
    <t>SAQ24B. S21</t>
  </si>
  <si>
    <t>SIQ11B. S01</t>
  </si>
  <si>
    <t>SIQ13B. S01</t>
  </si>
  <si>
    <t>SIQ18B. S11</t>
  </si>
  <si>
    <t>SIQ24B. S11</t>
  </si>
  <si>
    <t>IXY11A. JU1</t>
  </si>
  <si>
    <t>IXY13A. JU1</t>
  </si>
  <si>
    <t>IXY18A. KU1</t>
  </si>
  <si>
    <t>IXY24A. KU1</t>
  </si>
  <si>
    <t>Stage301</t>
  </si>
  <si>
    <r>
      <t xml:space="preserve">Disc.50% 
(3 </t>
    </r>
    <r>
      <rPr>
        <b/>
        <sz val="11"/>
        <color rgb="FFFF00FF"/>
        <rFont val="맑은 고딕"/>
        <family val="2"/>
      </rPr>
      <t>รอบบิล</t>
    </r>
    <r>
      <rPr>
        <b/>
        <sz val="11"/>
        <color rgb="FFFF00FF"/>
        <rFont val="Arial Narrow"/>
        <family val="2"/>
      </rPr>
      <t>)</t>
    </r>
  </si>
  <si>
    <t>DD23GMWE1.ATH</t>
  </si>
  <si>
    <t>EOL</t>
  </si>
  <si>
    <t>13M-42M
(30)</t>
  </si>
  <si>
    <t>43M-60M
(18)</t>
  </si>
  <si>
    <t>STAGE301.ATHALBK</t>
  </si>
  <si>
    <t>SIQ11B.S01</t>
  </si>
  <si>
    <t>SAQ18B.S21</t>
  </si>
  <si>
    <t>SAQ24B.S21</t>
  </si>
  <si>
    <t>SIQ13B.S01</t>
  </si>
  <si>
    <t>SIQ18B.S11</t>
  </si>
  <si>
    <t>SIQ24B.S11</t>
  </si>
  <si>
    <t>IXY11A.JU1</t>
  </si>
  <si>
    <t>IXY13A.JU1</t>
  </si>
  <si>
    <t>IXY18A.KU1</t>
  </si>
  <si>
    <t>IXY24A.KU1</t>
  </si>
  <si>
    <t>AS25GCBY0.ABAE</t>
  </si>
  <si>
    <t>SAQ18BN.S21</t>
  </si>
  <si>
    <t>SAQ18BU.S21</t>
  </si>
  <si>
    <t>SAQ11AN.S11</t>
  </si>
  <si>
    <t>SAQ11AU.S11</t>
  </si>
  <si>
    <t>SAQ13AN.S11</t>
  </si>
  <si>
    <t>SAQ13AU.S11</t>
  </si>
  <si>
    <t>SAQ24BN.S21</t>
  </si>
  <si>
    <t>SAQ24BU.S21</t>
  </si>
  <si>
    <t>SIQ11BN.S01</t>
  </si>
  <si>
    <t>SIQ11BU.S01</t>
  </si>
  <si>
    <t>SIQ13BN.S01</t>
  </si>
  <si>
    <t>SIQ13BU.S01</t>
  </si>
  <si>
    <t>SIQ18BN.S11</t>
  </si>
  <si>
    <t>SIQ18BU.S11</t>
  </si>
  <si>
    <t>SIQ24BN.S11</t>
  </si>
  <si>
    <t>SIQ24BU.S11</t>
  </si>
  <si>
    <t>IXY11AN.JU1</t>
  </si>
  <si>
    <t>IXY11AU.JU1</t>
  </si>
  <si>
    <t>IXY13AN.JU1</t>
  </si>
  <si>
    <t>IXY13AU.JU1</t>
  </si>
  <si>
    <t>IXY18AN.KU1</t>
  </si>
  <si>
    <t>IXY18AU.KU1</t>
  </si>
  <si>
    <t>IXY24AN.KU1</t>
  </si>
  <si>
    <t>IXY24AU.KU1</t>
  </si>
  <si>
    <t>เบอร์ 5/Dual Cool /4 Star/WiFi</t>
  </si>
  <si>
    <t>เบอร์ 5/Dual Cool /1 Star/WiFi</t>
  </si>
  <si>
    <t>เบอร์ 5/Dual Cool / 0 star/ Wifi</t>
  </si>
  <si>
    <t>27GX704A-B.ATM</t>
  </si>
  <si>
    <t>TX2315DT5G.DEGPETH</t>
  </si>
  <si>
    <t>T/L 15 Kg</t>
  </si>
  <si>
    <t>Original Price</t>
  </si>
  <si>
    <t>Original Tota Price</t>
  </si>
  <si>
    <t>Total Promotion Price
(THB)</t>
  </si>
  <si>
    <t>To Be
Price (THB)</t>
  </si>
  <si>
    <t>MD19GQGA1.ATH</t>
  </si>
  <si>
    <t>86QNED80ASA.ATM</t>
  </si>
  <si>
    <t>27GX790A-B.ATM</t>
  </si>
  <si>
    <t>32U731SA-W.ATM</t>
  </si>
  <si>
    <t>27U411A-B.ATMQ</t>
  </si>
  <si>
    <t>PTOK25FFGE3.APTO</t>
  </si>
  <si>
    <t>PTOV25FFGR3.APTO</t>
  </si>
  <si>
    <t>PTOX24FFCR2.APTO</t>
  </si>
  <si>
    <t>PTOL24FFCB2.APTO</t>
  </si>
  <si>
    <t>GC-V24FFCHB.AEVPLMT</t>
  </si>
  <si>
    <t>GC-B257SQYL.AMCPLMT</t>
  </si>
  <si>
    <t>A9T-CORE.DCGPETH</t>
  </si>
  <si>
    <t>A9T-LITE.DCGPETH</t>
  </si>
  <si>
    <t>WT1410NHEN.ABNPPTH</t>
  </si>
  <si>
    <t>TX2723ST5J.APBPETH</t>
  </si>
  <si>
    <t>S5GOC.ALGPETH</t>
  </si>
  <si>
    <t>WS510SN.AWHPLMT</t>
  </si>
  <si>
    <t> </t>
  </si>
  <si>
    <t>GC-X257CMHW.AEEPLMT</t>
  </si>
  <si>
    <t>WT2520NHEN.ABNPETH</t>
  </si>
  <si>
    <t>34G650A-B.ATM</t>
  </si>
  <si>
    <t>'26.1</t>
  </si>
  <si>
    <t>'26.Feb</t>
  </si>
  <si>
    <t>Remarks</t>
  </si>
  <si>
    <t>Set</t>
  </si>
  <si>
    <t>Star</t>
  </si>
  <si>
    <t>AI Air  5Star</t>
  </si>
  <si>
    <t>5star</t>
  </si>
  <si>
    <t>SAQ11AN. S11</t>
  </si>
  <si>
    <t>SAQ11AU. S11</t>
  </si>
  <si>
    <t>Same with Current</t>
  </si>
  <si>
    <t>SAQ13AN. S11</t>
  </si>
  <si>
    <t>SAQ13AU. S11</t>
  </si>
  <si>
    <t>3star</t>
  </si>
  <si>
    <t>'26.2</t>
  </si>
  <si>
    <t>4star</t>
  </si>
  <si>
    <t>SAQ18BN. S21</t>
  </si>
  <si>
    <t>SAQ18BU. S21</t>
  </si>
  <si>
    <t>2star</t>
  </si>
  <si>
    <t>SAQ24BN. S21</t>
  </si>
  <si>
    <t>SAQ24BU. S21</t>
  </si>
  <si>
    <t>Artcool</t>
  </si>
  <si>
    <t>ART13A. SR1</t>
  </si>
  <si>
    <t>ART13AN. SR1</t>
  </si>
  <si>
    <t>ART13AU. SR1</t>
  </si>
  <si>
    <t>March</t>
  </si>
  <si>
    <t>ART18A. SR1</t>
  </si>
  <si>
    <t>ART18AN. SR1</t>
  </si>
  <si>
    <t>ART18AU. SR1</t>
  </si>
  <si>
    <t>AI Air  1Star</t>
  </si>
  <si>
    <t>1star</t>
  </si>
  <si>
    <t>SIQ11BN. S01</t>
  </si>
  <si>
    <t>SIQ11BU. S01</t>
  </si>
  <si>
    <t>SIQ13BN. S01</t>
  </si>
  <si>
    <t>SIQ13BU. S01</t>
  </si>
  <si>
    <t>SIQ18BN. S11</t>
  </si>
  <si>
    <t>SIQ18BU. S11</t>
  </si>
  <si>
    <t>SIQ24BN. S11</t>
  </si>
  <si>
    <t>SIQ24BU. S1</t>
  </si>
  <si>
    <t>Winner</t>
  </si>
  <si>
    <t>ICE11M. JU1</t>
  </si>
  <si>
    <t>0star</t>
  </si>
  <si>
    <t>IXY11AN. JU1</t>
  </si>
  <si>
    <t>IXY11AU. JU1</t>
  </si>
  <si>
    <t>Feb Launch, OBS Subscription only</t>
  </si>
  <si>
    <t>IXY13AN. JU1</t>
  </si>
  <si>
    <t>IXY13AU. JU1</t>
  </si>
  <si>
    <t>IXY18AN. KU1</t>
  </si>
  <si>
    <t>IXY18AU. KU1</t>
  </si>
  <si>
    <t>IXY24AN. KU1</t>
  </si>
  <si>
    <t>IXY24AU. KU1</t>
  </si>
  <si>
    <t>WT2520NHEG.ABGPETH</t>
  </si>
  <si>
    <r>
      <t>WT2520NHE</t>
    </r>
    <r>
      <rPr>
        <sz val="11"/>
        <color rgb="FF3333FF"/>
        <rFont val="Calibri"/>
        <family val="2"/>
        <scheme val="minor"/>
      </rPr>
      <t>N</t>
    </r>
    <r>
      <rPr>
        <sz val="11"/>
        <rFont val="Calibri"/>
        <family val="2"/>
        <scheme val="minor"/>
      </rPr>
      <t>.ABNPETH</t>
    </r>
  </si>
  <si>
    <t>1pcs</t>
  </si>
  <si>
    <t>2 pcs</t>
  </si>
  <si>
    <t>3 pieces</t>
  </si>
  <si>
    <t>4 pcs</t>
  </si>
  <si>
    <t>5 pcs</t>
  </si>
  <si>
    <t>6 pcs</t>
  </si>
  <si>
    <t>2. Existing Customers + Add Comobo Promotion</t>
  </si>
  <si>
    <t>6 or more</t>
  </si>
  <si>
    <t>Wash Tower 25 Kg (Green/Beige)</t>
  </si>
  <si>
    <t>Wash Tower 25 Kg (Navy/Beige)</t>
  </si>
  <si>
    <t>Continue</t>
  </si>
  <si>
    <t xml:space="preserve">PTOX257CMHW.APTO
</t>
  </si>
  <si>
    <t>WT1410NHEG.ABGPQTH</t>
  </si>
  <si>
    <t>COI</t>
  </si>
  <si>
    <t>Sales/M
(Feb EA)</t>
  </si>
  <si>
    <t>ASP</t>
  </si>
  <si>
    <t>LTI
(March)</t>
  </si>
  <si>
    <t>Promotion %</t>
  </si>
  <si>
    <t>OLED77C6PSA.ATM</t>
  </si>
  <si>
    <t>OLED65C6PSA.ATM</t>
  </si>
  <si>
    <t>OLED55C6PSA.ATM</t>
  </si>
  <si>
    <t>65QNED80BSA.ATM</t>
  </si>
  <si>
    <t>55QNED80BSA.ATM</t>
  </si>
  <si>
    <t>75NU805BPSB.ATMQ</t>
  </si>
  <si>
    <t>65NU855BPSA.ATM</t>
  </si>
  <si>
    <t>43NU855BPSA.ATM</t>
  </si>
  <si>
    <t>EOL after stock depletion</t>
  </si>
  <si>
    <t>Styler</t>
  </si>
  <si>
    <t>WT1410NHEN.ABNPQTH</t>
  </si>
  <si>
    <t>ICE13M.JU1</t>
  </si>
  <si>
    <t>ICE18M.KU1</t>
  </si>
  <si>
    <t>ICE24M.KU1</t>
  </si>
  <si>
    <t>Side-By-Side /SIZE : 22.4 คิว/ 635 ลิตร</t>
  </si>
  <si>
    <r>
      <t xml:space="preserve">Side-By-Side /SIZE : 22.4 คิว/ 635 ลิตร/ </t>
    </r>
    <r>
      <rPr>
        <sz val="11"/>
        <color rgb="FFFF00FF"/>
        <rFont val="Calibri"/>
        <family val="2"/>
        <scheme val="minor"/>
      </rPr>
      <t>Plumbing</t>
    </r>
    <r>
      <rPr>
        <sz val="11"/>
        <color rgb="FF000000"/>
        <rFont val="Calibri"/>
        <family val="2"/>
        <scheme val="minor"/>
      </rPr>
      <t>/Smart Inverter Compressor</t>
    </r>
  </si>
  <si>
    <t>Disc.50% 
(3 รอบบิล)</t>
  </si>
  <si>
    <t>(W17 20-26/4)</t>
  </si>
  <si>
    <t>13M-15M
(3)</t>
  </si>
  <si>
    <t>16M-60M
(45)</t>
  </si>
  <si>
    <t>34U650A-B.ATM</t>
  </si>
  <si>
    <t>Microwave 42 ลิตร</t>
  </si>
  <si>
    <r>
      <t>WT1410NHEG.ABGP</t>
    </r>
    <r>
      <rPr>
        <sz val="11"/>
        <color rgb="FFFF0000"/>
        <rFont val="Calibri"/>
        <family val="2"/>
        <scheme val="minor"/>
      </rPr>
      <t>Q</t>
    </r>
    <r>
      <rPr>
        <sz val="11"/>
        <color theme="1"/>
        <rFont val="Calibri"/>
        <family val="2"/>
        <scheme val="minor"/>
      </rPr>
      <t>TH</t>
    </r>
  </si>
  <si>
    <r>
      <rPr>
        <sz val="11"/>
        <rFont val="Calibri"/>
        <family val="2"/>
        <scheme val="minor"/>
      </rPr>
      <t>WT1410NHE</t>
    </r>
    <r>
      <rPr>
        <sz val="11"/>
        <color rgb="FF3333FF"/>
        <rFont val="Calibri"/>
        <family val="2"/>
        <scheme val="minor"/>
      </rPr>
      <t>N</t>
    </r>
    <r>
      <rPr>
        <sz val="11"/>
        <rFont val="Calibri"/>
        <family val="2"/>
        <scheme val="minor"/>
      </rPr>
      <t>.ABNP</t>
    </r>
    <r>
      <rPr>
        <sz val="11"/>
        <color rgb="FFFF0000"/>
        <rFont val="Calibri"/>
        <family val="2"/>
        <scheme val="minor"/>
      </rPr>
      <t>Q</t>
    </r>
    <r>
      <rPr>
        <sz val="11"/>
        <rFont val="Calibri"/>
        <family val="2"/>
        <scheme val="minor"/>
      </rPr>
      <t>TH</t>
    </r>
  </si>
  <si>
    <t>OLED48C6PSA.ATM</t>
  </si>
  <si>
    <t>(W13</t>
  </si>
  <si>
    <t>13M~15M (3 Months 50% Discount)</t>
  </si>
  <si>
    <t>75QNED86BSA.ATM</t>
  </si>
  <si>
    <t>Overview</t>
  </si>
  <si>
    <t>1) Exclude existing discount promotions
2) Price increase
3) Promotional modularization
4) Enhance combo discounts</t>
  </si>
  <si>
    <t>Pricing</t>
  </si>
  <si>
    <t>1) Excluding the discount promotion for the entire subscription period, the subscription base price will be increased (50 baht ~ 100 baht)
2) Price increase of 50 baht (77 out of 31 increase, 40%)
→ 13% average price increase</t>
  </si>
  <si>
    <t>Credit card price and debit card/ automatic transfer (Non NCB Report) differential : 50 baht
→ Debit Card/ automatic transfer (Non NCB Report) Scheduled for Negotiation (October)</t>
  </si>
  <si>
    <t>Promotions</t>
  </si>
  <si>
    <t>1) Establish 6M, 9M, 12M 50% promotion plan (On/Off plan for seasonal focus products)
2) 1st Anniversary 50% Discount for 6 Months All Models
3) 22 models (about 25%) 12 Months 50% discount considering popular models and inventory
4) Strengthen combo discounts, 3%p from the existing discount rate↑
5) RAC + Dehumidifier Combined Promotion (50% off for 2 pieces for 9 Months, 50% off for 3 or more pieces for 12 Months)</t>
  </si>
  <si>
    <t>October
PRM</t>
  </si>
  <si>
    <t>Existing : 36 out of 92 models will be reduced sequentially by 41% (55 models will be operated) : Discontinued sequentially after running out of inventory depending on the model
[* New: 5 models (Plumbing Refrigerator 2, NT Large Capacity Combo 20kg, ICE24 Air Conditioner, Standby Me 2)</t>
  </si>
  <si>
    <r>
      <t xml:space="preserve">A total of 56 models are in operation
</t>
    </r>
    <r>
      <rPr>
        <sz val="11"/>
        <color theme="1"/>
        <rFont val="LG스마트체2.0 Regular"/>
        <family val="3"/>
        <charset val="129"/>
      </rPr>
      <t>→</t>
    </r>
    <r>
      <rPr>
        <sz val="11"/>
        <color theme="1"/>
        <rFont val="Arial Narrow"/>
        <family val="2"/>
      </rPr>
      <t xml:space="preserve"> Operating HS Family 7 Models for OBS Subscription Only (October)</t>
    </r>
  </si>
  <si>
    <t>Normal(Period 5/1~5/31)</t>
  </si>
  <si>
    <t>Combo Promotion Enhancement: 2 pieces 5%, 3 pieces 7%, 4 pieces 9%, 5 or more pieces 10%</t>
  </si>
  <si>
    <t>2. Maintain the promotion plan in April '26</t>
  </si>
  <si>
    <t>1) 3 Months 50% discount
- VCC: A9T Ultra (A9T-ULTRA)
- Plumbing REF: PTOX24FFCR2.APTO, PTOL24FFCB2.APTO
- REF: GN-F452PQAK.AEPPLMT</t>
  </si>
  <si>
    <t>3) 12 Months 50% discount
- W/M: 3 suit styler (S3MFC. ALBPETH) - Emphasize emerging product
- Dishwasher : XD5 (DFC533FV) - Fostering an entry-level dishwasher
- LTV: OLED55C6PSA.ATM, OLED65C6PSA.ATM OLED77C6PSA.ATM - PD Team emphasize models</t>
  </si>
  <si>
    <t>3. 'Beat the Heat' Summer Promotion</t>
  </si>
  <si>
    <t>All AI Air RAC models discount 12 months
SAQ11A.S11, SAQ13A.S11, SAQ18B.S21, SAQ24B.S21, SIQ11B.S01, SIQ13B.S01, SIQ18B.S11, SIQ24B.S11</t>
  </si>
  <si>
    <t>5. Price Repositioning</t>
  </si>
  <si>
    <t>24 Months 50% → 12 Months 50% discount
- Dishwasher: XD3 (DFC335HM)</t>
  </si>
  <si>
    <t>Air Care →EOL after stock depletion
- AS55GGWX0.ABAE</t>
  </si>
  <si>
    <t>VCC →EOL after stock depletion
- A9T-LITE.DCGPETH</t>
  </si>
  <si>
    <t>Dehumidifier: MD19GQGA1.ATH →EOL after stock depletion</t>
  </si>
  <si>
    <t>h</t>
  </si>
  <si>
    <t>Contract
(Year)</t>
  </si>
  <si>
    <t>Promotion
Price</t>
  </si>
  <si>
    <t>DD23GMWE2</t>
  </si>
  <si>
    <t>DD23GMWE3</t>
  </si>
  <si>
    <t>DD23GMWE4</t>
  </si>
  <si>
    <t>SAQ11</t>
  </si>
  <si>
    <t>SAQ13</t>
  </si>
  <si>
    <t>SAQ18</t>
  </si>
  <si>
    <t>SAQ24</t>
  </si>
  <si>
    <t>SIQ11</t>
  </si>
  <si>
    <t>SIQ13</t>
  </si>
  <si>
    <t>SIQ18</t>
  </si>
  <si>
    <t>SIQ24</t>
  </si>
  <si>
    <t>IXY11</t>
  </si>
  <si>
    <t>IXY13</t>
  </si>
  <si>
    <t>IXY18</t>
  </si>
  <si>
    <t>IXY24</t>
  </si>
  <si>
    <t>PTOX257CMHW.APTO</t>
  </si>
  <si>
    <t>ZT-Q24GPLA0. WGHATH</t>
  </si>
  <si>
    <t>Month</t>
  </si>
  <si>
    <t>PRM Type</t>
  </si>
  <si>
    <t>Product</t>
  </si>
  <si>
    <t>TOOL</t>
  </si>
  <si>
    <r>
      <rPr>
        <sz val="10"/>
        <color theme="1"/>
        <rFont val="Arial Narrow"/>
        <family val="2"/>
      </rPr>
      <t>Model Code</t>
    </r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</si>
  <si>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</si>
  <si>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</si>
  <si>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</si>
  <si>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</si>
  <si>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</si>
  <si>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</si>
  <si>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</si>
  <si>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</si>
  <si>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</si>
  <si>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r>
      <rPr>
        <sz val="10"/>
        <color theme="1"/>
        <rFont val="LG스마트체2.0 Regular"/>
        <family val="3"/>
        <charset val="129"/>
      </rPr>
      <t>Specific gravity</t>
    </r>
  </si>
  <si>
    <t>PRM
Optimization</t>
  </si>
  <si>
    <t>EOL Schedule</t>
  </si>
  <si>
    <t>Existing</t>
  </si>
  <si>
    <t>OBS Subscription Exclusive</t>
  </si>
  <si>
    <r>
      <rPr>
        <sz val="10"/>
        <color theme="1"/>
        <rFont val="LG스마트체2.0 Regular"/>
        <family val="3"/>
        <charset val="129"/>
      </rPr>
      <t>Refrigerator</t>
    </r>
  </si>
  <si>
    <t>SxS</t>
  </si>
  <si>
    <t>GC-B257SQYL. AMCPLMT</t>
  </si>
  <si>
    <t>OBS subscription only</t>
  </si>
  <si>
    <t>Common</t>
  </si>
  <si>
    <t>GC-J257SQZW. AEPPLMT</t>
  </si>
  <si>
    <t>GC-L257KQKW. AEPPLMT</t>
  </si>
  <si>
    <t>F/D</t>
  </si>
  <si>
    <t>GC-V22FFQMB. AEPPLMT</t>
  </si>
  <si>
    <t>GC-V24FFCHB. AEVPLMT</t>
  </si>
  <si>
    <r>
      <rPr>
        <sz val="10"/>
        <color theme="1"/>
        <rFont val="LG스마트체2.0 Regular"/>
        <family val="3"/>
        <charset val="129"/>
      </rPr>
      <t>Apply after inventory runs out</t>
    </r>
  </si>
  <si>
    <t>GC-X257CMEW. ATEPLMT</t>
  </si>
  <si>
    <t>Freezer</t>
  </si>
  <si>
    <t>GN-304SLBT. APZPLMT</t>
  </si>
  <si>
    <t>X</t>
  </si>
  <si>
    <t>T/F</t>
  </si>
  <si>
    <t>GN-F392PQAK. AEPPLM1</t>
  </si>
  <si>
    <t>GN-F452PQAK. AEPPLMT</t>
  </si>
  <si>
    <t>B/F</t>
  </si>
  <si>
    <t>GN-V389FQEF. AEPPLMT</t>
  </si>
  <si>
    <t>GV-K25FFGEB. ABMPLMT</t>
  </si>
  <si>
    <t>GV-V25FFGRB. ABMPLMT</t>
  </si>
  <si>
    <t>GC-G24FFQKB. AEEPLM1</t>
  </si>
  <si>
    <t>PTOL24FFCR2. APTO
- GC-L24FFCBB. AEVPLM1 
- REF3FILTER2. AETC</t>
  </si>
  <si>
    <t>GV-B25FFGDB. ABMPLMT</t>
  </si>
  <si>
    <t>GC-L257SFZW. APYPLMT</t>
  </si>
  <si>
    <r>
      <rPr>
        <sz val="10"/>
        <color theme="1"/>
        <rFont val="LG스마트체2.0 Regular"/>
        <family val="3"/>
        <charset val="129"/>
      </rPr>
      <t>Meals</t>
    </r>
  </si>
  <si>
    <t>DFC335HM. ABMPETH</t>
  </si>
  <si>
    <t>MS4295DIS. BBKPETH</t>
  </si>
  <si>
    <t>MS2535GIK. BSEPETH</t>
  </si>
  <si>
    <r>
      <rPr>
        <sz val="10"/>
        <color theme="1"/>
        <rFont val="LG스마트체2.0 Regular"/>
        <family val="3"/>
        <charset val="129"/>
      </rPr>
      <t>Water Purifier</t>
    </r>
  </si>
  <si>
    <t>MX</t>
  </si>
  <si>
    <t>WD110MN. ABGPLMT</t>
  </si>
  <si>
    <t>ATOM 4D+</t>
  </si>
  <si>
    <t>WD516AN. ACNPLMT</t>
  </si>
  <si>
    <t>WD516AN. AEWPLMT</t>
  </si>
  <si>
    <t>WD516AN. ASLPLMT</t>
  </si>
  <si>
    <t>ATOM V</t>
  </si>
  <si>
    <t>WD518AN. ABGPLMT</t>
  </si>
  <si>
    <t>WD518AN. ACGPLMT</t>
  </si>
  <si>
    <t>WD518AN. AWHPLMT</t>
  </si>
  <si>
    <t>S1</t>
  </si>
  <si>
    <t>WS510SN. AWHPLMT</t>
  </si>
  <si>
    <r>
      <rPr>
        <sz val="10"/>
        <color theme="1"/>
        <rFont val="LG스마트체2.0 Regular"/>
        <family val="3"/>
        <charset val="129"/>
      </rPr>
      <t>Washing machine</t>
    </r>
  </si>
  <si>
    <t>F/L</t>
  </si>
  <si>
    <t>FV1413H4M. AMBPETH</t>
  </si>
  <si>
    <t>FV1413S4M. AMBPETH</t>
  </si>
  <si>
    <t>T/L</t>
  </si>
  <si>
    <t>TX2725AT9G. AEGPETH</t>
  </si>
  <si>
    <t>WT</t>
  </si>
  <si>
    <t>WT1410NHEG. ABGPPTH</t>
  </si>
  <si>
    <t>WT2116SHEG. ABGPETH</t>
  </si>
  <si>
    <t>WT1410NHEN. ABNPPTH</t>
  </si>
  <si>
    <t>O</t>
  </si>
  <si>
    <t>TX2723ST5J. APBPETH</t>
  </si>
  <si>
    <t>F2520RNTB. AEBPETH</t>
  </si>
  <si>
    <t>FV1409H4W. ABWPETH</t>
  </si>
  <si>
    <r>
      <rPr>
        <sz val="10"/>
        <color theme="1"/>
        <rFont val="LG스마트체2.0 Regular"/>
        <family val="3"/>
        <charset val="129"/>
      </rPr>
      <t>Dryer</t>
    </r>
  </si>
  <si>
    <t>RV10VHP4B. BMBPETH</t>
  </si>
  <si>
    <r>
      <rPr>
        <sz val="10"/>
        <color theme="1"/>
        <rFont val="LG스마트체2.0 Regular"/>
        <family val="3"/>
        <charset val="129"/>
      </rPr>
      <t>Styler</t>
    </r>
  </si>
  <si>
    <t>Styer</t>
  </si>
  <si>
    <t>S5GOC. ALGPETH</t>
  </si>
  <si>
    <r>
      <rPr>
        <sz val="10"/>
        <color theme="1"/>
        <rFont val="LG스마트체2.0 Regular"/>
        <family val="3"/>
        <charset val="129"/>
      </rPr>
      <t>Cleaner</t>
    </r>
  </si>
  <si>
    <t>A9T</t>
  </si>
  <si>
    <t>A9T-CORE. DCGPETH</t>
  </si>
  <si>
    <t>A9T-ULTRA. DCBPETH</t>
  </si>
  <si>
    <t>A9T-LITE. DCGPETH</t>
  </si>
  <si>
    <t>DualCool AI</t>
  </si>
  <si>
    <t>360 Alpha Pet</t>
  </si>
  <si>
    <t>AS10GDBY0. ABAE</t>
  </si>
  <si>
    <t>360 HIT</t>
  </si>
  <si>
    <t>AS60GHWG0. ABAE</t>
  </si>
  <si>
    <t>AS65GDBY0. ABAE</t>
  </si>
  <si>
    <t>Aero</t>
  </si>
  <si>
    <t>AS55GGWX0. ABAE</t>
  </si>
  <si>
    <t>AS35GGW10. ATH</t>
  </si>
  <si>
    <t>EOL after season end</t>
  </si>
  <si>
    <r>
      <rPr>
        <sz val="10"/>
        <color theme="1"/>
        <rFont val="LG스마트체2.0 Regular"/>
        <family val="3"/>
        <charset val="129"/>
      </rPr>
      <t>Dehumidifier</t>
    </r>
  </si>
  <si>
    <t>CVT</t>
  </si>
  <si>
    <t>ZV-Q18GM1E0. EWGHATH</t>
  </si>
  <si>
    <t>B2B</t>
  </si>
  <si>
    <t>ZV-Q24GM1E0. EWGHATH</t>
  </si>
  <si>
    <t>ZV-Q36GM2E0. EWGHATH</t>
  </si>
  <si>
    <t>4WAY</t>
  </si>
  <si>
    <t>ZT-Q18GPLE0. EWGHATH</t>
  </si>
  <si>
    <t>ZT-Q36GNLA0. EWGHATH</t>
  </si>
  <si>
    <t>1WAY</t>
  </si>
  <si>
    <t>ZT-Q12GULA0. EWGHATH</t>
  </si>
  <si>
    <t>ZT-Q18GTLA0. EWGHATH</t>
  </si>
  <si>
    <t>ZT-Q24GTLA0. EWGHATH</t>
  </si>
  <si>
    <t>ZT-Q36GYLA0. EWGHATH</t>
  </si>
  <si>
    <t>ZT-Q48GYLA0. EWGHATH</t>
  </si>
  <si>
    <t>ZT-Q48GMLA0. EWGHATH</t>
  </si>
  <si>
    <t>UHD</t>
  </si>
  <si>
    <t>32LQ630BPSA. ATM</t>
  </si>
  <si>
    <t>65UA8450PSA. ATM</t>
  </si>
  <si>
    <t>75UA8450PSA. ATMQ</t>
  </si>
  <si>
    <t>QNED</t>
  </si>
  <si>
    <t>55QNED80ASA. ATM</t>
  </si>
  <si>
    <t>65QNED82ASA. ATM</t>
  </si>
  <si>
    <t>75QNED86ASA. ATM</t>
  </si>
  <si>
    <t>86QNED80ASA. ATM</t>
  </si>
  <si>
    <t>OLED</t>
  </si>
  <si>
    <t>OLED77C5PSA. ATM</t>
  </si>
  <si>
    <t>OLED55C5PSA. ATM</t>
  </si>
  <si>
    <t>OLED65C5PSA. ATM</t>
  </si>
  <si>
    <t>OLED48C5PSA. ATM</t>
  </si>
  <si>
    <t>SBM2</t>
  </si>
  <si>
    <t>27LX6TDGA. ATM</t>
  </si>
  <si>
    <t>SB</t>
  </si>
  <si>
    <t>S40T. DTHALLK</t>
  </si>
  <si>
    <t>S70TY. ATHALLK</t>
  </si>
  <si>
    <t>SG10TY. DTHALLK</t>
  </si>
  <si>
    <t>Xboom</t>
  </si>
  <si>
    <t>BOUNCE. ATHALBK</t>
  </si>
  <si>
    <t>SC9S. DTHALLM</t>
  </si>
  <si>
    <t>GRAB. ATHALBK</t>
  </si>
  <si>
    <t>OLED Gaming</t>
  </si>
  <si>
    <t>27GX790A-B. ATM</t>
  </si>
  <si>
    <t>Swing</t>
  </si>
  <si>
    <t>32U889SA-W. ATM</t>
  </si>
  <si>
    <t>MNT Combo</t>
  </si>
  <si>
    <t>27U411A-B. ATMQ</t>
  </si>
  <si>
    <t>OLED Smart Gaming</t>
  </si>
  <si>
    <t>34GX90SA-W. ATM</t>
  </si>
  <si>
    <t>4K Smart</t>
  </si>
  <si>
    <t>32U731SA-W. ATM</t>
  </si>
  <si>
    <t>OLED 45</t>
  </si>
  <si>
    <t>45GX950A-B. ATM</t>
  </si>
  <si>
    <t>Aero Cat</t>
  </si>
  <si>
    <t>AS25GCBY0. ABAE</t>
  </si>
  <si>
    <t>Mohave</t>
  </si>
  <si>
    <t>Subscription Only</t>
  </si>
  <si>
    <t>O</t>
    <phoneticPr fontId="0" type="noConversion"/>
  </si>
  <si>
    <t>27" OLED Gaming</t>
  </si>
  <si>
    <t>27GX704A</t>
  </si>
  <si>
    <t>ETA: 22-02-2026</t>
  </si>
  <si>
    <t>34" Ultrawide </t>
  </si>
  <si>
    <t>Refrigerator</t>
  </si>
  <si>
    <t>VN3 G</t>
  </si>
  <si>
    <t>VN5 G</t>
  </si>
  <si>
    <t>Washing machine</t>
  </si>
  <si>
    <t>WT27 Refresh</t>
  </si>
  <si>
    <t>F/L WD</t>
  </si>
  <si>
    <t>VX X950 (600)</t>
  </si>
  <si>
    <t>GVX X500(550)</t>
  </si>
  <si>
    <t>F/L WO</t>
  </si>
  <si>
    <t>FX</t>
  </si>
  <si>
    <t>XV X700(600)</t>
  </si>
  <si>
    <t>TX 27" X750S</t>
  </si>
  <si>
    <t>25” TX X750S​</t>
  </si>
  <si>
    <t>VX-D X700​</t>
  </si>
  <si>
    <t>Water Purifier</t>
  </si>
  <si>
    <t>IX2.0</t>
  </si>
  <si>
    <t>MX냉온정</t>
  </si>
  <si>
    <t>V Refresh</t>
  </si>
  <si>
    <t>직수 RO</t>
  </si>
  <si>
    <t>S1, S2 Refresh</t>
  </si>
  <si>
    <t>A9X-Lite</t>
  </si>
  <si>
    <t>A9X</t>
  </si>
  <si>
    <t>Massage Chair</t>
  </si>
  <si>
    <t>Arte Up</t>
  </si>
  <si>
    <t>전통형 안마의자</t>
  </si>
  <si>
    <t>월핏</t>
  </si>
  <si>
    <t>Increase subscription fee to normal price for OBS subscription products and open to DST channel
- A9T-LITE.DCGPETH
- FV1409H4W.ABWPETH
- GC-L257SFZW.APYPLMT (3 months 50% discount)</t>
  </si>
  <si>
    <t>COI 7%</t>
  </si>
  <si>
    <t>6. Promotion Efficiency</t>
  </si>
  <si>
    <t>24 Months 50% Off (COI 15%)</t>
  </si>
  <si>
    <t>12 Months 50% Off (COI 20%)</t>
  </si>
  <si>
    <t>6 Months 50% Off (COI 17%)</t>
  </si>
  <si>
    <t>85QNED80BSA.ATM</t>
  </si>
  <si>
    <t xml:space="preserve">
GV-V25FFGRB.ABMPLMT </t>
  </si>
  <si>
    <r>
      <t xml:space="preserve">Multi-Door 22.7 คิว/  642 ลิตร </t>
    </r>
    <r>
      <rPr>
        <sz val="11"/>
        <color rgb="FFFF00FF"/>
        <rFont val="Calibri"/>
        <family val="2"/>
        <scheme val="minor"/>
      </rPr>
      <t>Plumbing</t>
    </r>
    <r>
      <rPr>
        <sz val="11"/>
        <color rgb="FF000000"/>
        <rFont val="Calibri"/>
        <family val="2"/>
        <scheme val="minor"/>
      </rPr>
      <t>/Smart Inverter Compressor</t>
    </r>
  </si>
  <si>
    <r>
      <t xml:space="preserve">Multi-Door 22.6 คิว/ 641 ลิตร/ </t>
    </r>
    <r>
      <rPr>
        <sz val="11"/>
        <color rgb="FFFF00FF"/>
        <rFont val="Calibri"/>
        <family val="2"/>
        <scheme val="minor"/>
      </rPr>
      <t>Plumbing</t>
    </r>
    <r>
      <rPr>
        <sz val="11"/>
        <color rgb="FF000000"/>
        <rFont val="Calibri"/>
        <family val="2"/>
        <scheme val="minor"/>
      </rPr>
      <t>/Smart Inverter Compressor</t>
    </r>
  </si>
  <si>
    <t>Multi Door 4D F/D Swing 22.5 คิว/ 637 ลิตร</t>
  </si>
  <si>
    <t>Multi-Door 21.6 คิว/ 612 ลิตร Smart Inverter Compressor</t>
  </si>
  <si>
    <t>Wash&amp;Dry (Wash20 Kg.Dry 10 Kg)</t>
  </si>
  <si>
    <t>Wash&amp;Dry (Wash9 Kg.Dry 5Kg)</t>
  </si>
  <si>
    <t>2 5%, 3 7%, 4 9%, 5 or more 10%</t>
  </si>
  <si>
    <t>RAC Free Installation Expansion Promotion Maintains
- Pipe Length: 4M → 8M</t>
  </si>
  <si>
    <r>
      <t xml:space="preserve">More than 2 units for RAC,  AS35GGW10.ATH(Aero Hit) </t>
    </r>
    <r>
      <rPr>
        <sz val="11"/>
        <color rgb="FF000000"/>
        <rFont val="맑은 고딕"/>
        <family val="2"/>
        <charset val="129"/>
      </rPr>
      <t>1 u</t>
    </r>
    <r>
      <rPr>
        <sz val="11"/>
        <color rgb="FF000000"/>
        <rFont val="Arial Narrow"/>
        <family val="2"/>
      </rPr>
      <t>nit Gift</t>
    </r>
  </si>
  <si>
    <t xml:space="preserve">3 Months 50% discount considering availability of inventory
- REF: GN-V389FQEF.AEPPLMT </t>
  </si>
  <si>
    <t>3 Months 50% Off (COI 10%)</t>
  </si>
  <si>
    <t>COI 10%</t>
  </si>
  <si>
    <t>Increase subscription fee 50 THB considering COI
- W/M: TX2725AT9G.AEGPETH, TX2723ST5J.APBPETH, TX2315DT5G.DEGPETH
- Air Care: AS35GGW10.ATH (299/249 THB)</t>
  </si>
  <si>
    <t>COI 8%</t>
  </si>
  <si>
    <t>COI 11%</t>
  </si>
  <si>
    <t>18 Months 50% → 12 Months 50% discount
- REF: GV-B25FFGDB.ABMPLMT</t>
  </si>
  <si>
    <t>18 Months 50% Off (COI 8%)</t>
  </si>
  <si>
    <t>12 Months 50% Off (COI 12%)</t>
  </si>
  <si>
    <t>12 Months →6 Months 50% discount
- REF: GC-V22FFQMB.AEPPLMT, PTOV25FFGR3.APTO (GV-V25FFGRB.ABMPLMT)</t>
  </si>
  <si>
    <t>12 Months 50% Off (COI 9%)</t>
  </si>
  <si>
    <t>6 Months 50% Off (COI 12%)</t>
  </si>
  <si>
    <t>12 Months →6 Months 50% discount
- W/M: WT2520NHEG.ABGPETH, WT2520NHEN.ABNPETH</t>
  </si>
  <si>
    <t>12 Months 50% Off (COI 19%)</t>
  </si>
  <si>
    <t>6 Months 50% Off (COI 22%)</t>
  </si>
  <si>
    <t>6 Months →3 Months 50% discount
- GC-J257SQZW.AEPPLMT, GC-L257KQKW.AEPPLMT</t>
  </si>
  <si>
    <t>6 Months 50% Off (COI 11%)</t>
  </si>
  <si>
    <t>3 Months 50% Off (COI 13%)</t>
  </si>
  <si>
    <t>0 Month 50%
- REF: PTOX257CMHW.APTO, MNT: 34U650A-B.ATM</t>
  </si>
  <si>
    <t>0 Months 50% Off (COI 15%)</t>
  </si>
  <si>
    <t>7. NPI</t>
  </si>
  <si>
    <t>LTV:
- 43NU855BPSA.ATM (299 THB/Month) WH-in W19
- 75QNED86BSA.ATM (999 THB/Month) Inventory ready
- 85QNED80BSA.ATM (1,349 THB/Month) WH-in W19</t>
  </si>
  <si>
    <t>REF →EOL after stock depletion
- GV-K25FFGEB.ABMPLMT (PTOK25FFGE3.APTO)
- GC-L257SFZW.APYPLMT
- GN-304SLBR.APYPLMT (EOL after stock depletion of PTO models)</t>
  </si>
  <si>
    <t>Month</t>
    <phoneticPr fontId="12" type="noConversion"/>
  </si>
  <si>
    <t>As Is
Price (THB)</t>
    <phoneticPr fontId="12" type="noConversion"/>
  </si>
  <si>
    <t>As Is Total Price
(THB)</t>
    <phoneticPr fontId="12" type="noConversion"/>
  </si>
  <si>
    <t>To be Total Price
(THB)</t>
    <phoneticPr fontId="12" type="noConversion"/>
  </si>
  <si>
    <t>-</t>
    <phoneticPr fontId="12" type="noConversion"/>
  </si>
  <si>
    <t>OLED65C5PSA.ATM</t>
    <phoneticPr fontId="12" type="noConversion"/>
  </si>
  <si>
    <t>OLED55C5PSA.ATM</t>
    <phoneticPr fontId="12" type="noConversion"/>
  </si>
  <si>
    <t xml:space="preserve"> </t>
  </si>
  <si>
    <t>X</t>
    <phoneticPr fontId="12" type="noConversion"/>
  </si>
  <si>
    <t>O</t>
    <phoneticPr fontId="12" type="noConversion"/>
  </si>
  <si>
    <t>2) 6 Months 50% discount
- REF: GC-G24FFQKB, GC-X257CMEW.ATEPLMT - Popular Model
- W/M : Popular Models - F/L Vivace 13Kg (FV1413S4M), Dryer 10kg (RV10VHP4B), F2520RNTB.AEBPETH, 13kg/8kg Combo (FV1413H4M)
            WT Greenbeige 21kg (WT2116SHEG), WT Greenbeige 14kg (WT1410NHEG), Navy Grey 14kg (WT1410NHEN)
- Air Care: AS25GCBY0.ABAE, AS55GGWX0.ABAE, AS60GHWG0.ABAE - Considering end of air care peak season
- LTV: Standbyme 2 (27LX6TDGA.ATM), 55QNED80BSA.ATM, 65QNED80BSA.ATM, 65NU855BPSA.ATM, 75NU805BPSB.ATMQ
- MNT : Swing (32U889SA-W), Monitor Best Model, 45GX950A-B.ATM - PD Team Emphasis Model</t>
  </si>
  <si>
    <t>4.1 Promotion Strengthening</t>
  </si>
  <si>
    <t>4.2. Counter Competitor</t>
  </si>
  <si>
    <t>Discount to fixed amount to counter competitor's promotion</t>
  </si>
  <si>
    <t>Water Purifier: Atom V, 4D+, S1 discount subscription fee as 149 THB
- WD516AN.ACNPLMT, WD516AN.AEWPLMT, WD516AN.ASLPLMT, WD518AN.ABGPLMT, WD518AN.AWHPLMT, WD518AN.ACGPLMT, WS510SN.AWHPLMT</t>
  </si>
  <si>
    <t>12 Months 50% Off (COI 24%)</t>
  </si>
  <si>
    <t>149 THB / 6 Months (COI 25%)</t>
  </si>
  <si>
    <t>Water Purifier: MX discount subscription fee as 99 THB
- WD110MN.ABGPLMT</t>
  </si>
  <si>
    <t>12 Months 50% Off (COI 34%)</t>
  </si>
  <si>
    <t>99 THB / 6 Months COI 34%</t>
  </si>
  <si>
    <t>Dehumidifier discount subscription fee as 149 THB
- DD23GMWE1.ATH, MD19GQGA1.ATH</t>
  </si>
  <si>
    <t>6 Months 50% Off (COI 24%)</t>
  </si>
  <si>
    <t>149 THB / 6 Months (COI 19%)</t>
  </si>
  <si>
    <t>Air Purifier discount subscription fee as 149 THB
- AS65GDBY0.ABAE, AS10GDBY0.ABAE</t>
  </si>
  <si>
    <t>6 Months 50% Off (COI 33%)</t>
  </si>
  <si>
    <t>149 THB / 3 Months (COI 33%)</t>
  </si>
  <si>
    <t>W/M discount subscription fee as 149 THB
- FV1413H4M.AMBPETH</t>
  </si>
  <si>
    <t>6 Months 50% Off (COI 28%)</t>
  </si>
  <si>
    <t>149 THB / 6 Months (COI 28%)</t>
  </si>
  <si>
    <t>8. EOL</t>
  </si>
  <si>
    <t>PWFMDD200.ENCXLEU -&gt; PWFMDD202.ENCXCOM</t>
  </si>
  <si>
    <t>Multi Door 18.7 Q/ 530 ลิตร</t>
  </si>
  <si>
    <t>PTO 1</t>
  </si>
  <si>
    <t>PTO 2</t>
  </si>
  <si>
    <t>PTO 3</t>
  </si>
  <si>
    <t>OUTRIGHT_SELF_2Y_B2B_SC ASSET</t>
  </si>
  <si>
    <t>Multi-Door / 21.6 คิว / 611 ลิตร/  Black glass</t>
  </si>
  <si>
    <t xml:space="preserve"> Temporary Closed/ Supply W26 22/6</t>
  </si>
  <si>
    <t>Update</t>
  </si>
  <si>
    <t>Old Model</t>
  </si>
  <si>
    <t>RRP</t>
  </si>
  <si>
    <t>OBS Subs.</t>
  </si>
  <si>
    <t>86MRGB86BSA.ATM</t>
  </si>
  <si>
    <t>MRGB</t>
  </si>
  <si>
    <t>100QNED86BS.ATM</t>
  </si>
  <si>
    <t>Change</t>
  </si>
  <si>
    <t>85QNED90BSA.ATMQ</t>
  </si>
  <si>
    <t>75QNED80BSA.ATM</t>
  </si>
  <si>
    <t>Remove</t>
  </si>
  <si>
    <t>75NU855BPSA.ATM</t>
  </si>
  <si>
    <t>NANO 4K UHD</t>
  </si>
  <si>
    <t>55NU855BPSA.ATM</t>
  </si>
  <si>
    <t>Standbyme</t>
  </si>
  <si>
    <t>W26/9 units</t>
  </si>
  <si>
    <t>W/In 80 units</t>
  </si>
  <si>
    <t>W/In 179 units</t>
  </si>
  <si>
    <t>DST Remove</t>
  </si>
  <si>
    <t xml:space="preserve">GC-B257SQYL.AMCPLMT </t>
  </si>
  <si>
    <t>ลด FC Aug</t>
  </si>
  <si>
    <t>New June</t>
  </si>
  <si>
    <t>(W24 8-14/6)</t>
  </si>
  <si>
    <t>(W24 8-14/6) /ทีวี 100" LG QNED evo AI Mini LED QNED86 4K</t>
  </si>
  <si>
    <t>Promotion Price June 2026</t>
  </si>
  <si>
    <t>To Be (August)</t>
  </si>
  <si>
    <t>Month</t>
    <phoneticPr fontId="0" type="noConversion"/>
  </si>
  <si>
    <t>Operation</t>
  </si>
  <si>
    <t>Original Total Price</t>
  </si>
  <si>
    <t>COI 
2026</t>
  </si>
  <si>
    <t>As Is
Price (THB)</t>
    <phoneticPr fontId="0" type="noConversion"/>
  </si>
  <si>
    <t>As Is Total Price
(THB)</t>
    <phoneticPr fontId="0" type="noConversion"/>
  </si>
  <si>
    <t>Bad Debt</t>
  </si>
  <si>
    <t>To be Total Price
(THB)</t>
    <phoneticPr fontId="0" type="noConversion"/>
  </si>
  <si>
    <t>Special Price</t>
  </si>
  <si>
    <t>DST</t>
  </si>
  <si>
    <t>Service Fee: 250</t>
  </si>
  <si>
    <t>EOL after inventory depletion</t>
  </si>
  <si>
    <t>Service Fee: 200</t>
  </si>
  <si>
    <t>OBS Exclusive</t>
  </si>
  <si>
    <t>-</t>
    <phoneticPr fontId="0" type="noConversion"/>
  </si>
  <si>
    <t>Service Fee: 280</t>
  </si>
  <si>
    <r>
      <t>1+1 Aero Mini 200ea cogs 50</t>
    </r>
    <r>
      <rPr>
        <sz val="11"/>
        <rFont val="맑은 고딕"/>
        <family val="2"/>
        <charset val="129"/>
      </rPr>
      <t>불, 만불</t>
    </r>
  </si>
  <si>
    <t>OLED65C5PSA.ATM</t>
    <phoneticPr fontId="0" type="noConversion"/>
  </si>
  <si>
    <t>OLED55C5PSA.ATM</t>
    <phoneticPr fontId="0" type="noConversion"/>
  </si>
  <si>
    <t>Promotion Jun
(6 รอบบิล)</t>
  </si>
  <si>
    <t>Promotion Jun</t>
  </si>
  <si>
    <t>Promotion Jun
(3 รอบบิล)</t>
  </si>
  <si>
    <t>Side-By-Side/ 22.4 Q/ 635 ลิตร</t>
  </si>
  <si>
    <t>ART13A.SR1</t>
  </si>
  <si>
    <t>ART18A.SR1</t>
  </si>
  <si>
    <t>40U990A-W.ATM</t>
  </si>
  <si>
    <t>52G930B-B.ATM</t>
  </si>
  <si>
    <t>Side-By-Side/ 22.9 Q/ 649 ลิตร</t>
  </si>
  <si>
    <t>Category</t>
  </si>
  <si>
    <t>1) 3 Months 50% discount
- VCC: A9T Ultra (A9T-ULTRA)
- REF: GN-F452PQAK.AEPPLMT, GC-J257SQZW.AEPPLMT, GC-L257KQKW.AEPPLMT, GC-L257SFZW.APYPLMT</t>
  </si>
  <si>
    <t>5) Discount as 99 THB for 6 months
- Water Purifier: WD110MN.ABGPLMT</t>
  </si>
  <si>
    <t>Discount as 149THB for 3 months considering LTI
- REF: PTOX24FFCR2.APTO (GC-X24FFCRB.AEVPLM1), PTOL24FFCB2.APTO (GC-L24FFCBB.AEVPLM1)</t>
  </si>
  <si>
    <t>COI 3%</t>
  </si>
  <si>
    <t>COI 2%</t>
  </si>
  <si>
    <t>Discount as 149THB for 6 months → 3 Months 50% discount
- W/M: FV1413H4M.AMBPETH</t>
  </si>
  <si>
    <t>149 THB 6 Months (COI 18%)</t>
  </si>
  <si>
    <t>149 THB 3 Months (COI 21%)</t>
  </si>
  <si>
    <t>Strengthen OBS sales performance through exclusive model selection by each division
- REF: GN-F392PQAK.AEPPLM1, GC-B257SQYL.AMCPLMT, GV-B25FFGDB.ABMPLMT, GC-L257KQKW.AEPPLMT
- W/M: TX2725AT9G.AEGPETH
- RAC: IXY11A.JU1,IXY13A.JU1, IXY18A.KU1, IXY24A.KU1
- Air Care: AS35GGW10.ATH, MD19GQGA1.ATH
- LTV: 75QNED86BSA.ATM, OLED48C6PSA.ATM
- MNT: 27GX704A-B.ATM</t>
  </si>
  <si>
    <t>Sale on OBS Channel Only 
(LG.com, E-Promoter, 3P)</t>
  </si>
  <si>
    <t>NPI Products and Promotion of 6 Months 50% Discount</t>
  </si>
  <si>
    <t>- RAC: Art Cool
ART13A.SR1 (5Y: 1,049, 949 THB)
ART18A.SR1 (5Y: 1,249, 1049 THB)</t>
  </si>
  <si>
    <t>COI 16%</t>
  </si>
  <si>
    <t>6 Months 50% Off (COI 14%)</t>
  </si>
  <si>
    <t>COI 20%</t>
  </si>
  <si>
    <t>6 Months 50% Off (COI 18%)</t>
  </si>
  <si>
    <t>- MNT: 40U990A-W.ATM (5Y: 999 THB/Month) , 52G930B-B.ATM (5Y: 1,199 THB/Month)</t>
  </si>
  <si>
    <t>ART13AN.SR1</t>
  </si>
  <si>
    <t>ART13AU.SR1</t>
  </si>
  <si>
    <t>ART18AN.SR1</t>
  </si>
  <si>
    <t>ART18AU.SR1</t>
  </si>
  <si>
    <t>13M~24M (6 Months 50% Discount)</t>
  </si>
  <si>
    <t>Promotion Price Jun 2026</t>
  </si>
  <si>
    <t xml:space="preserve">Promotion
Jun
</t>
  </si>
  <si>
    <t>K-House Jun Promotion(6/1~6/30)</t>
    <phoneticPr fontId="6" type="noConversion"/>
  </si>
  <si>
    <t>ราคาต่อเดือน</t>
  </si>
  <si>
    <t>ลด 50% 6เดือน</t>
  </si>
  <si>
    <t>Total</t>
  </si>
  <si>
    <t>ลด Combo 15%</t>
  </si>
  <si>
    <t>ราคาต่อเดือนเหลือ</t>
  </si>
  <si>
    <t>Birth Day July Promotion(7/1~7/31)</t>
    <phoneticPr fontId="6" type="noConversion"/>
  </si>
  <si>
    <t>Birth Day July Special Promotion(7/3~7/7)</t>
    <phoneticPr fontId="6" type="noConversion"/>
  </si>
  <si>
    <t>Birth Day July Promotion(7/1~7/31)</t>
  </si>
  <si>
    <t>K-House Jun Promotion(5/30~6/30)</t>
  </si>
  <si>
    <t>K-House Special Promotion(6/4~6/8 &amp; 6/11-6/17)</t>
  </si>
  <si>
    <t>W/in</t>
  </si>
  <si>
    <t>Special Price
149THB/Month</t>
  </si>
  <si>
    <t>New June ArtCool</t>
  </si>
  <si>
    <t>2) 6 Months 50% discount
- W/M : Popular Models - F/L Vivace 13Kg (FV1413S4M), Dryer 10kg (RV10VHP4B), F2520RNTB.AEBPETH
            WT Greenbeige 21kg (WT2116SHEG), WT Greenbeige 14kg (WT1410NHEG), Navy Grey 14kg (WT1410NHEN)
            WT Greenbeige, Navygrey 20 kg (WT2520NHEG.ABGPETH, WT2520NHEN.ABNPETH)
- Air Care: AS25GCBY0.ABAE, AS60GHWG0.ABAE - Considering end of air care peak season
- MNT : 45GX950A-B.ATM - PD Team Emphasis Model</t>
  </si>
  <si>
    <t>3) 12 Months 50% discount
- W/M: 3 suit styler (S3MFC. ALBPETH) - Emphasize emerging product
- Dishwasher : XD5 (DFC335HM.ABMPETH) - Fostering an entry-level dishwasher</t>
  </si>
  <si>
    <t>4) Counter Competitor
Discount as 149 THB for 6 months
- Water Purifier: WD516AN.ACNPLMT, WD516AN.AEWPLMT, WD516AN.ASLPLMT, WD518AN.ABGPLMT, WD518AN.AWHPLMT, WD518AN.ACGPLMT, WS510SN.AWHPLMT
Discount as 149 THB for 3 months
- Air Care: AS65GDBY0.ABAE, AS10GDBY0.ABAE</t>
  </si>
  <si>
    <t>6 Months 50% discount → 12 Months 50% discount due to adjustment of subscription fee
- LTV: Standbyme 2 (27LX6TDGA.ATM)
- MNT : Swing (32U889SA-W),</t>
  </si>
  <si>
    <t>- LTV: 100QNED86BS.ATM (5Y: 2,599 THB/Month)
            75NU855BPSA.ATM (5Y: 699 THB/Month)</t>
  </si>
  <si>
    <t>LTV: 43NU855BPSA.ATM
        (Transition) 75NU805BPSA.ATMQ (EOL) → 75NU855BPSA.ATM (NPI)
MNT: 34GX90SA-W.ATM</t>
  </si>
  <si>
    <t>To Be</t>
    <phoneticPr fontId="6" type="noConversion"/>
  </si>
  <si>
    <t>Exclusive Model</t>
    <phoneticPr fontId="6" type="noConversion"/>
  </si>
  <si>
    <t>Outright Price</t>
    <phoneticPr fontId="6" type="noConversion"/>
  </si>
  <si>
    <t>Service 
Cycle (M)</t>
    <phoneticPr fontId="6" type="noConversion"/>
  </si>
  <si>
    <t>Sales
(EA/Mon)</t>
    <phoneticPr fontId="6" type="noConversion"/>
  </si>
  <si>
    <t>Discount
(THB)</t>
    <phoneticPr fontId="6" type="noConversion"/>
  </si>
  <si>
    <t>COI</t>
    <phoneticPr fontId="6" type="noConversion"/>
  </si>
  <si>
    <t>Special Price</t>
    <phoneticPr fontId="6" type="noConversion"/>
  </si>
  <si>
    <t>Special Price
Discount
(Month)</t>
    <phoneticPr fontId="6" type="noConversion"/>
  </si>
  <si>
    <t>vs Outright</t>
    <phoneticPr fontId="6" type="noConversion"/>
  </si>
  <si>
    <t>Increase
(To be - As Is)</t>
    <phoneticPr fontId="6" type="noConversion"/>
  </si>
  <si>
    <t>Logic</t>
    <phoneticPr fontId="6" type="noConversion"/>
  </si>
  <si>
    <t>Increase
Total Price
(To be - As Is)</t>
    <phoneticPr fontId="6" type="noConversion"/>
  </si>
  <si>
    <t>Increase %
(To be - As Is)</t>
    <phoneticPr fontId="6" type="noConversion"/>
  </si>
  <si>
    <t>Apr
Sales</t>
    <phoneticPr fontId="6" type="noConversion"/>
  </si>
  <si>
    <t>GC-L257SFZW.APYPLMT</t>
    <phoneticPr fontId="6" type="noConversion"/>
  </si>
  <si>
    <t>MS4295DIS.BBKPETH</t>
    <phoneticPr fontId="6" type="noConversion"/>
  </si>
  <si>
    <t>WT2520NHEG.ABGPETH</t>
    <phoneticPr fontId="6" type="noConversion"/>
  </si>
  <si>
    <t>WT1410NHEG.ABGPQTH</t>
    <phoneticPr fontId="6" type="noConversion"/>
  </si>
  <si>
    <t>ZT-Q18GPLE0.EWGHATH</t>
    <phoneticPr fontId="6" type="noConversion"/>
  </si>
  <si>
    <t>ZT-Q24GPLA0.EWGHATH</t>
    <phoneticPr fontId="6" type="noConversion"/>
  </si>
  <si>
    <t>OLED77C6PSA.ATM</t>
    <phoneticPr fontId="6" type="noConversion"/>
  </si>
  <si>
    <t>75NU855BPSA.ATM</t>
    <phoneticPr fontId="6" type="noConversion"/>
  </si>
  <si>
    <t>34U650A-B.ATM</t>
    <phoneticPr fontId="6" type="noConversion"/>
  </si>
  <si>
    <t>OBS Subs</t>
  </si>
  <si>
    <t>1. Maintain May Promotion</t>
  </si>
  <si>
    <t>2. 'Beat the Heat' Summer Promotion</t>
  </si>
  <si>
    <t>All AI Air RAC models12 months 50% → 6 months 50%
SAQ11A.S11, SAQ13A.S11, SAQ18B.S21, SAQ24B.S21, SIQ11B.S01, SIQ13B.S01, SIQ18B.S11, SIQ24B.S11</t>
    <phoneticPr fontId="4" type="noConversion"/>
  </si>
  <si>
    <t>3. Promotion Strengthening</t>
  </si>
  <si>
    <t>6 Months 50% Off (COI Δ1%)</t>
  </si>
  <si>
    <t>12 Months 50% Off (COI 6%)</t>
  </si>
  <si>
    <t>3 Months 50% Off (COI Δ17%)</t>
  </si>
  <si>
    <t>149 THB 3 Months (COI Δ3%)</t>
  </si>
  <si>
    <t>4. Price Repositioning</t>
  </si>
  <si>
    <t>Increase subscription fee 10 THB/M considering COI
- Cooking: MS4295DIS.BBKPETH
-  AV: GRAB.ATHALBK, BOUNCE.ATHALBK</t>
  </si>
  <si>
    <t>Increase 10 THB (COI 11%)</t>
    <phoneticPr fontId="4" type="noConversion"/>
  </si>
  <si>
    <t>Increase subscription fee 20 THB/M considering COI
- AV: S70TY.ATHALLD</t>
  </si>
  <si>
    <t>COI Δ5%</t>
  </si>
  <si>
    <t>Increase 20 THB (COI 10%)</t>
    <phoneticPr fontId="4" type="noConversion"/>
  </si>
  <si>
    <t>Increase subscription fee 50 THB/M considering COI
- REF: GN-F392PQAK.AEPPLM1
- W/M: TX2315DT5G.DEGPETH
- VCC: A9T-ULTRA.DCBPETH, A9T-LITE.DCGPETH
- LTV: 65NU855BPSA.ATM
- AV: S95TR.DTHALLK
- MNT: 34GX90SA-W.ATM</t>
  </si>
  <si>
    <t>Increase 50 THB (COI 9%)</t>
    <phoneticPr fontId="4" type="noConversion"/>
  </si>
  <si>
    <t>Increase subscription fee 100 THB/M considering COI
- REF: PTOX24FFCR2.APTO, PTOL24FFCB2.APTO, PTOX257CMHW.APTO
- SAC: ZT-Q18GPLE0.EWGHATH, ZT-Q24GTLA0.EWGHATH, ZT-Q36GNLA0.EWGHATH, ZT-Q36GYLA0.EWGHATH, ZT-Q48GYLA0.EWGHATH
- LTV: 27LX6TDGA.ATM
- MNT: 45GX950A-B.ATM, 32U889SA-W.ATM</t>
  </si>
  <si>
    <t>COI Δ6%</t>
  </si>
  <si>
    <t>Increase 100 THB (COI 8%)</t>
    <phoneticPr fontId="4" type="noConversion"/>
  </si>
  <si>
    <t>5. Promotion Efficiency</t>
  </si>
  <si>
    <t>6. OBS Exclusive</t>
  </si>
  <si>
    <t>COI 12%</t>
    <phoneticPr fontId="4" type="noConversion"/>
  </si>
  <si>
    <t>6 Months 50% Off (COI 10%)</t>
    <phoneticPr fontId="4" type="noConversion"/>
  </si>
  <si>
    <r>
      <t xml:space="preserve">A total of 56 models are in operation
</t>
    </r>
    <r>
      <rPr>
        <sz val="12"/>
        <color theme="1"/>
        <rFont val="LG스마트체2.0 Regular"/>
        <family val="3"/>
        <charset val="129"/>
      </rPr>
      <t>→</t>
    </r>
    <r>
      <rPr>
        <sz val="12"/>
        <color theme="1"/>
        <rFont val="Arial Narrow"/>
        <family val="2"/>
      </rPr>
      <t xml:space="preserve"> Operating HS Family 7 Models for OBS Subscription Only (October)</t>
    </r>
  </si>
  <si>
    <r>
      <t xml:space="preserve">More than 2 units for RAC,  AS35GGW10.ATH(Aero Hit) </t>
    </r>
    <r>
      <rPr>
        <sz val="12"/>
        <color rgb="FF000000"/>
        <rFont val="맑은 고딕"/>
        <family val="2"/>
        <charset val="129"/>
      </rPr>
      <t>1 u</t>
    </r>
    <r>
      <rPr>
        <sz val="12"/>
        <color rgb="FF000000"/>
        <rFont val="Arial Narrow"/>
        <family val="2"/>
      </rPr>
      <t>nit Gift</t>
    </r>
  </si>
  <si>
    <t>Promotion Jun
(1 รอบบิล)</t>
  </si>
  <si>
    <t>Disc.50% 
(5 รอบบิล)</t>
  </si>
  <si>
    <t>Disc.50% 
(2 รอบบิล)</t>
  </si>
  <si>
    <t>Disc.50% 
(11 รอบบิล)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</si>
</sst>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_-;\-* #,##0_-;_-* &quot;-&quot;_-;_-@_-"/>
    <numFmt numFmtId="165" formatCode="_(* #,##0_);_(* \(#,##0\);_(* &quot;-&quot;??_);_(@_)"/>
    <numFmt numFmtId="166" formatCode="_-* #,##0.00_-;\-* #,##0.00_-;_-* &quot;-&quot;??_-;_-@_-"/>
    <numFmt numFmtId="167" formatCode="#,##0_ "/>
    <numFmt numFmtId="168" formatCode="_-* #,##0.00_-;\-* #,##0.00_-;_-* &quot;-&quot;_-;_-@_-"/>
    <numFmt numFmtId="169" formatCode="0_);[Red]\(0\)"/>
    <numFmt numFmtId="170" formatCode="0%;\Δ0%;"/>
  </numFmts>
  <fonts count="127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b/>
      <sz val="9"/>
      <color theme="1"/>
      <name val="Calibri"/>
      <family val="3"/>
      <charset val="129"/>
      <scheme val="minor"/>
    </font>
    <font>
      <sz val="9"/>
      <color rgb="FF000000"/>
      <name val="Calibri"/>
      <family val="3"/>
      <charset val="129"/>
      <scheme val="minor"/>
    </font>
    <font>
      <b/>
      <sz val="9"/>
      <color theme="1"/>
      <name val="Calibri"/>
      <family val="2"/>
      <charset val="129"/>
      <scheme val="minor"/>
    </font>
    <font>
      <b/>
      <sz val="9"/>
      <color theme="1"/>
      <name val="Calibri"/>
      <family val="2"/>
      <scheme val="minor"/>
    </font>
    <font>
      <b/>
      <sz val="9"/>
      <color rgb="FF005EA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3"/>
      <charset val="129"/>
      <scheme val="minor"/>
    </font>
    <font>
      <b/>
      <sz val="10"/>
      <color rgb="FF005EA4"/>
      <name val="Calibri"/>
      <family val="3"/>
      <charset val="129"/>
      <scheme val="minor"/>
    </font>
    <font>
      <sz val="11"/>
      <color rgb="FF000000"/>
      <name val="Calibri"/>
      <family val="3"/>
      <charset val="129"/>
      <scheme val="minor"/>
    </font>
    <font>
      <b/>
      <sz val="11"/>
      <color rgb="FF005EA4"/>
      <name val="Calibri"/>
      <family val="3"/>
      <charset val="129"/>
      <scheme val="minor"/>
    </font>
    <font>
      <b/>
      <sz val="11"/>
      <color rgb="FFFF00FF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rgb="FFFF0000"/>
      <name val="Calibri"/>
      <family val="2"/>
      <scheme val="minor"/>
    </font>
    <font>
      <b/>
      <sz val="11"/>
      <color rgb="FFFF0000"/>
      <name val="Calibri"/>
      <family val="3"/>
      <charset val="129"/>
      <scheme val="minor"/>
    </font>
    <font>
      <sz val="9"/>
      <color rgb="FF000000"/>
      <name val="Poppins"/>
    </font>
    <font>
      <sz val="9"/>
      <color theme="1"/>
      <name val="Arial Narrow"/>
      <family val="2"/>
    </font>
    <font>
      <b/>
      <sz val="12"/>
      <color theme="1"/>
      <name val="Arial Narrow"/>
      <family val="2"/>
    </font>
    <font>
      <b/>
      <sz val="9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rgb="FF005EA4"/>
      <name val="Arial Narrow"/>
      <family val="2"/>
    </font>
    <font>
      <b/>
      <sz val="11"/>
      <color rgb="FFFF00FF"/>
      <name val="Arial Narrow"/>
      <family val="2"/>
    </font>
    <font>
      <b/>
      <sz val="11"/>
      <color theme="1"/>
      <name val="Arial Narrow"/>
      <family val="2"/>
    </font>
    <font>
      <b/>
      <sz val="14"/>
      <color rgb="FF005EA4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FF"/>
      <name val="맑은 고딕"/>
      <family val="2"/>
    </font>
    <font>
      <sz val="11"/>
      <color theme="1"/>
      <name val="Arial Narrow"/>
      <family val="2"/>
    </font>
    <font>
      <b/>
      <sz val="11"/>
      <color rgb="FF000000"/>
      <name val="Calibri"/>
      <family val="2"/>
      <scheme val="minor"/>
    </font>
    <font>
      <b/>
      <sz val="11"/>
      <color rgb="FF005EA4"/>
      <name val="Calibri"/>
      <family val="2"/>
      <scheme val="minor"/>
    </font>
    <font>
      <b/>
      <sz val="11"/>
      <color rgb="FFFF00FF"/>
      <name val="Calibri"/>
      <family val="2"/>
      <scheme val="minor"/>
    </font>
    <font>
      <sz val="11"/>
      <name val="Calibri"/>
      <family val="2"/>
      <scheme val="minor"/>
    </font>
    <font>
      <sz val="11"/>
      <color rgb="FFFF00FF"/>
      <name val="Calibri"/>
      <family val="2"/>
      <scheme val="minor"/>
    </font>
    <font>
      <b/>
      <sz val="11"/>
      <color rgb="FF3333FF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222222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3333FF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rgb="FF3333FF"/>
      <name val="Arial Narrow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name val="Arial Narrow"/>
      <family val="2"/>
    </font>
    <font>
      <sz val="12"/>
      <color rgb="FFFF00FF"/>
      <name val="Calibri"/>
      <family val="2"/>
      <scheme val="minor"/>
    </font>
    <font>
      <sz val="9"/>
      <name val="Arial Narrow"/>
      <family val="2"/>
    </font>
    <font>
      <sz val="11"/>
      <name val="Calibri"/>
      <family val="2"/>
      <charset val="129"/>
      <scheme val="minor"/>
    </font>
    <font>
      <sz val="9"/>
      <name val="Calibri"/>
      <family val="2"/>
      <charset val="129"/>
      <scheme val="minor"/>
    </font>
    <font>
      <b/>
      <sz val="11"/>
      <name val="Calibri"/>
      <family val="3"/>
      <charset val="129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charset val="129"/>
      <scheme val="minor"/>
    </font>
    <font>
      <b/>
      <sz val="11"/>
      <name val="Calibri"/>
      <family val="2"/>
      <charset val="129"/>
      <scheme val="minor"/>
    </font>
    <font>
      <b/>
      <sz val="9"/>
      <color rgb="FF3333FF"/>
      <name val="Calibri"/>
      <family val="3"/>
      <charset val="129"/>
      <scheme val="minor"/>
    </font>
    <font>
      <b/>
      <sz val="14"/>
      <color theme="1"/>
      <name val="Calibri"/>
      <family val="3"/>
      <charset val="129"/>
      <scheme val="minor"/>
    </font>
    <font>
      <b/>
      <sz val="9"/>
      <name val="Arial Narrow"/>
      <family val="2"/>
    </font>
    <font>
      <b/>
      <sz val="11"/>
      <color rgb="FFFF0000"/>
      <name val="Calibri"/>
      <family val="2"/>
      <scheme val="minor"/>
    </font>
    <font>
      <b/>
      <sz val="11"/>
      <name val="맑은 고딕"/>
    </font>
    <font>
      <b/>
      <sz val="9"/>
      <color rgb="FF3333FF"/>
      <name val="Calibri"/>
      <family val="2"/>
      <scheme val="minor"/>
    </font>
    <font>
      <b/>
      <sz val="9"/>
      <color rgb="FFFF00FF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Arial Narrow"/>
      <family val="2"/>
    </font>
    <font>
      <b/>
      <sz val="11"/>
      <name val="맑은 고딕"/>
      <family val="2"/>
      <charset val="129"/>
    </font>
    <font>
      <b/>
      <sz val="10"/>
      <name val="맑은 고딕"/>
    </font>
    <font>
      <sz val="11"/>
      <color rgb="FFFF0000"/>
      <name val="Arial Narrow"/>
      <family val="2"/>
    </font>
    <font>
      <sz val="11"/>
      <color theme="8"/>
      <name val="Arial Narrow"/>
      <family val="2"/>
    </font>
    <font>
      <sz val="11"/>
      <color theme="1"/>
      <name val="Arial Narrow"/>
      <family val="2"/>
      <charset val="129"/>
    </font>
    <font>
      <sz val="11"/>
      <color rgb="FF006600"/>
      <name val="Arial Narrow"/>
      <family val="2"/>
    </font>
    <font>
      <b/>
      <sz val="11"/>
      <color rgb="FF28A03F"/>
      <name val="Calibri"/>
      <family val="2"/>
      <scheme val="minor"/>
    </font>
    <font>
      <sz val="11"/>
      <color theme="9"/>
      <name val="Arial Narrow"/>
      <family val="2"/>
    </font>
    <font>
      <sz val="11"/>
      <color theme="9" tint="-0.249977111117893"/>
      <name val="Arial Narrow"/>
      <family val="2"/>
    </font>
    <font>
      <sz val="9"/>
      <color rgb="FFFF0000"/>
      <name val="Arial Narrow"/>
      <family val="2"/>
    </font>
    <font>
      <sz val="11"/>
      <color rgb="FFFF0000"/>
      <name val="Calibri"/>
      <family val="2"/>
      <charset val="129"/>
      <scheme val="minor"/>
    </font>
    <font>
      <sz val="9"/>
      <color rgb="FFFF0000"/>
      <name val="Calibri"/>
      <family val="2"/>
      <charset val="129"/>
      <scheme val="minor"/>
    </font>
    <font>
      <sz val="7"/>
      <color theme="1"/>
      <name val="Segoe UI"/>
      <family val="2"/>
    </font>
    <font>
      <sz val="11"/>
      <color theme="0" tint="-0.499984740745262"/>
      <name val="Arial Narrow"/>
      <family val="2"/>
    </font>
    <font>
      <sz val="11"/>
      <color theme="1"/>
      <name val="LG스마트체2.0 Regular"/>
      <family val="3"/>
      <charset val="129"/>
    </font>
    <font>
      <sz val="10"/>
      <color theme="1"/>
      <name val="Arial Narrow"/>
      <family val="2"/>
    </font>
    <font>
      <sz val="10"/>
      <color theme="1"/>
      <name val="LG스마트체2.0 Regular"/>
      <family val="3"/>
      <charset val="129"/>
    </font>
    <font>
      <sz val="11"/>
      <color rgb="FF242424"/>
      <name val="Aptos Narrow"/>
      <family val="2"/>
    </font>
    <font>
      <sz val="10"/>
      <color theme="1"/>
      <name val="LG Smart_H Regular"/>
      <family val="2"/>
      <charset val="129"/>
    </font>
    <font>
      <sz val="11"/>
      <color rgb="FF000000"/>
      <name val="Arial Narrow"/>
      <family val="2"/>
    </font>
    <font>
      <sz val="11"/>
      <color rgb="FF000000"/>
      <name val="맑은 고딕"/>
      <family val="2"/>
      <charset val="129"/>
    </font>
    <font>
      <sz val="11"/>
      <color rgb="FF3333FF"/>
      <name val="Calibri"/>
      <family val="2"/>
      <charset val="129"/>
      <scheme val="minor"/>
    </font>
    <font>
      <b/>
      <sz val="11"/>
      <color rgb="FFFF0000"/>
      <name val="Arial Narrow"/>
      <family val="2"/>
    </font>
    <font>
      <sz val="11"/>
      <color rgb="FFC00000"/>
      <name val="Arial Narrow"/>
      <family val="2"/>
    </font>
    <font>
      <b/>
      <sz val="11"/>
      <color theme="9" tint="-0.249977111117893"/>
      <name val="Arial Narrow"/>
      <family val="2"/>
    </font>
    <font>
      <sz val="11"/>
      <name val="맑은 고딕"/>
      <family val="2"/>
      <charset val="129"/>
    </font>
    <font>
      <sz val="12"/>
      <color rgb="FF3333FF"/>
      <name val="Calibri"/>
      <family val="2"/>
      <scheme val="minor"/>
    </font>
    <font>
      <sz val="11"/>
      <name val="Arial Narrow"/>
      <family val="2"/>
    </font>
    <font>
      <b/>
      <sz val="11"/>
      <name val="Arial Narrow"/>
      <family val="2"/>
    </font>
    <font>
      <sz val="11"/>
      <color theme="8"/>
      <name val="Arial Narrow"/>
      <family val="2"/>
    </font>
    <font>
      <sz val="11"/>
      <color rgb="FF000000"/>
      <name val="Arial Narrow"/>
      <family val="2"/>
    </font>
    <font>
      <sz val="12"/>
      <color theme="1"/>
      <name val="Arial Narrow"/>
      <family val="2"/>
    </font>
    <font>
      <sz val="12"/>
      <color theme="0" tint="-0.499984740745262"/>
      <name val="Arial Narrow"/>
      <family val="2"/>
    </font>
    <font>
      <sz val="12"/>
      <color theme="1"/>
      <name val="LG스마트체2.0 Regular"/>
      <family val="3"/>
      <charset val="129"/>
    </font>
    <font>
      <sz val="12"/>
      <color rgb="FF000000"/>
      <name val="Arial Narrow"/>
      <family val="2"/>
    </font>
    <font>
      <sz val="12"/>
      <color rgb="FF000000"/>
      <name val="맑은 고딕"/>
      <family val="2"/>
      <charset val="129"/>
    </font>
    <font>
      <sz val="12"/>
      <name val="Arial Narrow"/>
      <family val="2"/>
    </font>
    <font>
      <b/>
      <sz val="1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1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7FED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92D050"/>
        <bgColor indexed="64"/>
      </patternFill>
    </fill>
    <fill>
      <patternFill patternType="solid">
        <fgColor rgb="FF34CC5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39997558519241921"/>
        <bgColor indexed="64"/>
      </patternFill>
    </fill>
  </fills>
  <borders count="18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 style="hair">
        <color indexed="64"/>
      </right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hair">
        <color indexed="64"/>
      </left>
      <right style="hair">
        <color indexed="64"/>
      </right>
      <top style="dotted">
        <color indexed="64"/>
      </top>
      <bottom/>
      <diagonal/>
    </border>
    <border>
      <left style="medium">
        <color indexed="64"/>
      </left>
      <right style="hair">
        <color indexed="64"/>
      </right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 style="hair">
        <color indexed="64"/>
      </left>
      <right style="medium">
        <color indexed="64"/>
      </right>
      <top style="dotted">
        <color indexed="64"/>
      </top>
      <bottom/>
      <diagonal/>
    </border>
    <border>
      <left style="hair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3">
    <xf numFmtId="0" fontId="0" fillId="0" borderId="0">
      <alignment vertical="center"/>
    </xf>
    <xf numFmtId="0" fontId="21" fillId="0" borderId="0"/>
    <xf numFmtId="164" fontId="21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164" fontId="23" fillId="0" borderId="0" applyFont="0" applyFill="0" applyBorder="0" applyAlignment="0" applyProtection="0">
      <alignment vertical="center"/>
    </xf>
    <xf numFmtId="43" fontId="23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8" fillId="0" borderId="0"/>
    <xf numFmtId="9" fontId="23" fillId="0" borderId="0" applyFont="0" applyFill="0" applyBorder="0" applyAlignment="0" applyProtection="0">
      <alignment vertical="center"/>
    </xf>
    <xf numFmtId="166" fontId="23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15" fillId="0" borderId="0"/>
    <xf numFmtId="164" fontId="15" fillId="0" borderId="0" applyFont="0" applyFill="0" applyBorder="0" applyAlignment="0" applyProtection="0">
      <alignment vertical="center"/>
    </xf>
    <xf numFmtId="0" fontId="93" fillId="0" borderId="0">
      <alignment vertical="center"/>
    </xf>
    <xf numFmtId="0" fontId="10" fillId="0" borderId="0"/>
    <xf numFmtId="43" fontId="10" fillId="0" borderId="0" applyFont="0" applyFill="0" applyBorder="0" applyAlignment="0" applyProtection="0"/>
    <xf numFmtId="0" fontId="7" fillId="0" borderId="0"/>
    <xf numFmtId="164" fontId="23" fillId="0" borderId="0" applyFont="0" applyFill="0" applyBorder="0" applyAlignment="0" applyProtection="0"/>
    <xf numFmtId="0" fontId="6" fillId="0" borderId="0"/>
    <xf numFmtId="0" fontId="5" fillId="0" borderId="0"/>
    <xf numFmtId="0" fontId="4" fillId="0" borderId="0"/>
    <xf numFmtId="0" fontId="3" fillId="0" borderId="0"/>
  </cellStyleXfs>
  <cellXfs count="1421">
    <xf numFmtId="0" fontId="0" fillId="0" borderId="0" xfId="0">
      <alignment vertical="center"/>
    </xf>
    <xf numFmtId="0" fontId="22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164" fontId="22" fillId="0" borderId="0" xfId="4" applyFont="1" applyAlignment="1">
      <alignment vertical="center"/>
    </xf>
    <xf numFmtId="164" fontId="27" fillId="0" borderId="0" xfId="4" applyFont="1" applyAlignment="1">
      <alignment vertical="center"/>
    </xf>
    <xf numFmtId="0" fontId="27" fillId="0" borderId="0" xfId="0" applyFont="1">
      <alignment vertical="center"/>
    </xf>
    <xf numFmtId="0" fontId="24" fillId="0" borderId="8" xfId="1" applyFont="1" applyBorder="1" applyAlignment="1">
      <alignment horizontal="center" vertical="center"/>
    </xf>
    <xf numFmtId="0" fontId="25" fillId="0" borderId="8" xfId="1" applyFont="1" applyBorder="1" applyAlignment="1">
      <alignment horizontal="left" vertical="center" wrapText="1" readingOrder="1"/>
    </xf>
    <xf numFmtId="0" fontId="22" fillId="0" borderId="0" xfId="0" applyFont="1" applyAlignment="1">
      <alignment vertical="top"/>
    </xf>
    <xf numFmtId="0" fontId="29" fillId="0" borderId="0" xfId="0" applyFont="1">
      <alignment vertical="center"/>
    </xf>
    <xf numFmtId="164" fontId="30" fillId="0" borderId="8" xfId="4" applyFont="1" applyBorder="1" applyAlignment="1">
      <alignment horizontal="left" vertical="center" wrapText="1" readingOrder="1"/>
    </xf>
    <xf numFmtId="165" fontId="31" fillId="2" borderId="8" xfId="5" applyNumberFormat="1" applyFont="1" applyFill="1" applyBorder="1" applyAlignment="1">
      <alignment horizontal="left" vertical="center" wrapText="1" readingOrder="1"/>
    </xf>
    <xf numFmtId="165" fontId="33" fillId="2" borderId="8" xfId="5" applyNumberFormat="1" applyFont="1" applyFill="1" applyBorder="1" applyAlignment="1">
      <alignment horizontal="left" vertical="center" wrapText="1" readingOrder="1"/>
    </xf>
    <xf numFmtId="0" fontId="32" fillId="0" borderId="8" xfId="1" applyFont="1" applyBorder="1" applyAlignment="1">
      <alignment horizontal="center" vertical="center" wrapText="1"/>
    </xf>
    <xf numFmtId="0" fontId="27" fillId="0" borderId="0" xfId="0" applyFont="1" applyAlignment="1">
      <alignment vertical="top"/>
    </xf>
    <xf numFmtId="164" fontId="33" fillId="0" borderId="0" xfId="2" applyFont="1" applyBorder="1" applyAlignment="1">
      <alignment horizontal="center" vertical="center" wrapText="1" readingOrder="1"/>
    </xf>
    <xf numFmtId="0" fontId="26" fillId="0" borderId="10" xfId="1" applyFont="1" applyBorder="1" applyAlignment="1">
      <alignment horizontal="center" vertical="center"/>
    </xf>
    <xf numFmtId="0" fontId="25" fillId="0" borderId="10" xfId="1" applyFont="1" applyBorder="1" applyAlignment="1">
      <alignment horizontal="left" vertical="center" wrapText="1" readingOrder="1"/>
    </xf>
    <xf numFmtId="164" fontId="24" fillId="0" borderId="9" xfId="4" applyFont="1" applyFill="1" applyBorder="1" applyAlignment="1">
      <alignment horizontal="center" vertical="center"/>
    </xf>
    <xf numFmtId="0" fontId="28" fillId="2" borderId="9" xfId="1" applyFont="1" applyFill="1" applyBorder="1" applyAlignment="1">
      <alignment horizontal="center" vertical="center" wrapText="1"/>
    </xf>
    <xf numFmtId="0" fontId="43" fillId="0" borderId="0" xfId="0" applyFont="1">
      <alignment vertical="center"/>
    </xf>
    <xf numFmtId="0" fontId="43" fillId="0" borderId="0" xfId="0" applyFont="1" applyAlignment="1">
      <alignment horizontal="center" vertical="center"/>
    </xf>
    <xf numFmtId="0" fontId="44" fillId="0" borderId="0" xfId="0" applyFont="1">
      <alignment vertical="center"/>
    </xf>
    <xf numFmtId="164" fontId="43" fillId="0" borderId="0" xfId="4" applyFont="1" applyAlignment="1">
      <alignment vertical="center"/>
    </xf>
    <xf numFmtId="164" fontId="45" fillId="0" borderId="0" xfId="4" applyFont="1" applyAlignment="1">
      <alignment vertical="center"/>
    </xf>
    <xf numFmtId="0" fontId="45" fillId="0" borderId="0" xfId="0" applyFont="1">
      <alignment vertical="center"/>
    </xf>
    <xf numFmtId="164" fontId="45" fillId="0" borderId="0" xfId="0" applyNumberFormat="1" applyFont="1">
      <alignment vertical="center"/>
    </xf>
    <xf numFmtId="0" fontId="49" fillId="3" borderId="33" xfId="1" applyFont="1" applyFill="1" applyBorder="1" applyAlignment="1">
      <alignment horizontal="center" vertical="center" wrapText="1"/>
    </xf>
    <xf numFmtId="164" fontId="50" fillId="0" borderId="0" xfId="2" applyFont="1" applyFill="1" applyBorder="1" applyAlignment="1">
      <alignment horizontal="center" vertical="center" wrapText="1" readingOrder="1"/>
    </xf>
    <xf numFmtId="0" fontId="26" fillId="0" borderId="10" xfId="1" applyFont="1" applyBorder="1" applyAlignment="1">
      <alignment vertical="center"/>
    </xf>
    <xf numFmtId="0" fontId="26" fillId="0" borderId="8" xfId="1" applyFont="1" applyBorder="1" applyAlignment="1">
      <alignment vertical="center"/>
    </xf>
    <xf numFmtId="0" fontId="40" fillId="2" borderId="12" xfId="1" applyFont="1" applyFill="1" applyBorder="1" applyAlignment="1">
      <alignment horizontal="center" vertical="center" wrapText="1"/>
    </xf>
    <xf numFmtId="0" fontId="45" fillId="0" borderId="0" xfId="1" applyFont="1" applyAlignment="1">
      <alignment horizontal="center" vertical="center"/>
    </xf>
    <xf numFmtId="0" fontId="46" fillId="0" borderId="0" xfId="1" applyFont="1" applyAlignment="1">
      <alignment horizontal="center" vertical="center"/>
    </xf>
    <xf numFmtId="164" fontId="47" fillId="0" borderId="0" xfId="2" applyFont="1" applyFill="1" applyBorder="1" applyAlignment="1">
      <alignment horizontal="center" vertical="center" wrapText="1" readingOrder="1"/>
    </xf>
    <xf numFmtId="0" fontId="49" fillId="0" borderId="30" xfId="1" applyFont="1" applyBorder="1" applyAlignment="1">
      <alignment horizontal="center" vertical="center"/>
    </xf>
    <xf numFmtId="0" fontId="49" fillId="3" borderId="35" xfId="1" applyFont="1" applyFill="1" applyBorder="1" applyAlignment="1">
      <alignment horizontal="center" vertical="center" wrapText="1"/>
    </xf>
    <xf numFmtId="0" fontId="48" fillId="2" borderId="33" xfId="1" applyFont="1" applyFill="1" applyBorder="1" applyAlignment="1">
      <alignment horizontal="center" vertical="center" wrapText="1"/>
    </xf>
    <xf numFmtId="0" fontId="49" fillId="0" borderId="0" xfId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2" fillId="0" borderId="0" xfId="0" applyFont="1">
      <alignment vertical="center"/>
    </xf>
    <xf numFmtId="164" fontId="0" fillId="0" borderId="0" xfId="4" applyFont="1" applyAlignment="1">
      <alignment vertical="center"/>
    </xf>
    <xf numFmtId="164" fontId="52" fillId="0" borderId="0" xfId="4" applyFont="1" applyAlignment="1">
      <alignment vertical="center"/>
    </xf>
    <xf numFmtId="0" fontId="0" fillId="0" borderId="0" xfId="0" applyAlignment="1">
      <alignment vertical="top"/>
    </xf>
    <xf numFmtId="0" fontId="52" fillId="0" borderId="0" xfId="0" applyFont="1" applyAlignment="1">
      <alignment vertical="top"/>
    </xf>
    <xf numFmtId="0" fontId="36" fillId="0" borderId="8" xfId="1" applyFont="1" applyBorder="1" applyAlignment="1">
      <alignment horizontal="left" vertical="center" wrapText="1" readingOrder="1"/>
    </xf>
    <xf numFmtId="0" fontId="36" fillId="0" borderId="8" xfId="1" applyFont="1" applyBorder="1" applyAlignment="1">
      <alignment horizontal="center" vertical="center" wrapText="1"/>
    </xf>
    <xf numFmtId="164" fontId="57" fillId="0" borderId="14" xfId="2" applyFont="1" applyFill="1" applyBorder="1" applyAlignment="1">
      <alignment horizontal="center" vertical="center" wrapText="1" readingOrder="1"/>
    </xf>
    <xf numFmtId="164" fontId="36" fillId="0" borderId="23" xfId="2" applyFont="1" applyFill="1" applyBorder="1" applyAlignment="1">
      <alignment horizontal="center" vertical="center" wrapText="1" readingOrder="1"/>
    </xf>
    <xf numFmtId="0" fontId="36" fillId="0" borderId="3" xfId="1" applyFont="1" applyBorder="1" applyAlignment="1">
      <alignment horizontal="center" vertical="center" wrapText="1"/>
    </xf>
    <xf numFmtId="0" fontId="36" fillId="0" borderId="21" xfId="1" applyFont="1" applyBorder="1" applyAlignment="1">
      <alignment horizontal="left" vertical="center" wrapText="1" readingOrder="1"/>
    </xf>
    <xf numFmtId="0" fontId="36" fillId="0" borderId="22" xfId="1" applyFont="1" applyBorder="1" applyAlignment="1">
      <alignment horizontal="center" vertical="center" wrapText="1"/>
    </xf>
    <xf numFmtId="164" fontId="57" fillId="0" borderId="24" xfId="2" applyFont="1" applyFill="1" applyBorder="1" applyAlignment="1">
      <alignment horizontal="center" vertical="center" wrapText="1" readingOrder="1"/>
    </xf>
    <xf numFmtId="164" fontId="57" fillId="0" borderId="54" xfId="2" applyFont="1" applyFill="1" applyBorder="1" applyAlignment="1">
      <alignment horizontal="center" vertical="center" wrapText="1" readingOrder="1"/>
    </xf>
    <xf numFmtId="0" fontId="36" fillId="0" borderId="30" xfId="1" applyFont="1" applyBorder="1" applyAlignment="1">
      <alignment horizontal="left" vertical="center" wrapText="1" readingOrder="1"/>
    </xf>
    <xf numFmtId="164" fontId="57" fillId="0" borderId="33" xfId="2" applyFont="1" applyFill="1" applyBorder="1" applyAlignment="1">
      <alignment horizontal="center" vertical="center" wrapText="1" readingOrder="1"/>
    </xf>
    <xf numFmtId="164" fontId="56" fillId="0" borderId="26" xfId="2" applyFont="1" applyBorder="1" applyAlignment="1">
      <alignment horizontal="center" vertical="center" wrapText="1" readingOrder="1"/>
    </xf>
    <xf numFmtId="164" fontId="56" fillId="0" borderId="24" xfId="2" applyFont="1" applyFill="1" applyBorder="1" applyAlignment="1">
      <alignment horizontal="center" vertical="center" wrapText="1" readingOrder="1"/>
    </xf>
    <xf numFmtId="0" fontId="36" fillId="0" borderId="45" xfId="1" applyFont="1" applyBorder="1" applyAlignment="1">
      <alignment horizontal="center" vertical="center" wrapText="1"/>
    </xf>
    <xf numFmtId="164" fontId="36" fillId="0" borderId="46" xfId="2" applyFont="1" applyFill="1" applyBorder="1" applyAlignment="1">
      <alignment horizontal="center" vertical="center" wrapText="1" readingOrder="1"/>
    </xf>
    <xf numFmtId="0" fontId="36" fillId="0" borderId="21" xfId="1" applyFont="1" applyBorder="1" applyAlignment="1">
      <alignment horizontal="center" vertical="center" wrapText="1"/>
    </xf>
    <xf numFmtId="0" fontId="36" fillId="0" borderId="49" xfId="1" applyFont="1" applyBorder="1" applyAlignment="1">
      <alignment horizontal="center" vertical="center" wrapText="1"/>
    </xf>
    <xf numFmtId="0" fontId="63" fillId="0" borderId="22" xfId="1" applyFont="1" applyBorder="1" applyAlignment="1">
      <alignment horizontal="center" vertical="center" wrapText="1"/>
    </xf>
    <xf numFmtId="164" fontId="37" fillId="0" borderId="0" xfId="2" applyFont="1" applyFill="1" applyBorder="1" applyAlignment="1">
      <alignment horizontal="center" vertical="center" wrapText="1" readingOrder="1"/>
    </xf>
    <xf numFmtId="43" fontId="57" fillId="0" borderId="8" xfId="5" applyFont="1" applyFill="1" applyBorder="1" applyAlignment="1">
      <alignment horizontal="center" vertical="center" wrapText="1" readingOrder="1"/>
    </xf>
    <xf numFmtId="164" fontId="55" fillId="0" borderId="0" xfId="2" applyFont="1" applyFill="1" applyBorder="1" applyAlignment="1">
      <alignment horizontal="center" vertical="center" wrapText="1" readingOrder="1"/>
    </xf>
    <xf numFmtId="0" fontId="17" fillId="0" borderId="0" xfId="0" applyFont="1">
      <alignment vertical="center"/>
    </xf>
    <xf numFmtId="164" fontId="37" fillId="0" borderId="18" xfId="2" applyFont="1" applyFill="1" applyBorder="1" applyAlignment="1">
      <alignment horizontal="center" vertical="center" wrapText="1" readingOrder="1"/>
    </xf>
    <xf numFmtId="0" fontId="17" fillId="0" borderId="0" xfId="0" applyFont="1" applyAlignment="1">
      <alignment horizontal="center" vertical="center"/>
    </xf>
    <xf numFmtId="164" fontId="17" fillId="0" borderId="0" xfId="4" applyFont="1" applyAlignment="1">
      <alignment vertical="center"/>
    </xf>
    <xf numFmtId="0" fontId="17" fillId="0" borderId="0" xfId="0" applyFont="1" applyAlignment="1">
      <alignment vertical="top"/>
    </xf>
    <xf numFmtId="164" fontId="55" fillId="4" borderId="14" xfId="2" applyFont="1" applyFill="1" applyBorder="1" applyAlignment="1">
      <alignment horizontal="center" vertical="center" wrapText="1" readingOrder="1"/>
    </xf>
    <xf numFmtId="164" fontId="61" fillId="0" borderId="0" xfId="2" applyFont="1" applyFill="1" applyBorder="1" applyAlignment="1">
      <alignment horizontal="center" vertical="center" wrapText="1" readingOrder="1"/>
    </xf>
    <xf numFmtId="0" fontId="61" fillId="0" borderId="0" xfId="0" applyFont="1">
      <alignment vertical="center"/>
    </xf>
    <xf numFmtId="0" fontId="58" fillId="0" borderId="0" xfId="0" applyFont="1">
      <alignment vertical="center"/>
    </xf>
    <xf numFmtId="0" fontId="58" fillId="0" borderId="0" xfId="0" applyFont="1" applyAlignment="1">
      <alignment vertical="top"/>
    </xf>
    <xf numFmtId="164" fontId="55" fillId="0" borderId="54" xfId="2" applyFont="1" applyFill="1" applyBorder="1" applyAlignment="1">
      <alignment horizontal="center" vertical="center" wrapText="1" readingOrder="1"/>
    </xf>
    <xf numFmtId="0" fontId="57" fillId="0" borderId="3" xfId="1" applyFont="1" applyBorder="1" applyAlignment="1">
      <alignment horizontal="center" vertical="center" wrapText="1" readingOrder="1"/>
    </xf>
    <xf numFmtId="164" fontId="55" fillId="0" borderId="17" xfId="2" applyFont="1" applyFill="1" applyBorder="1" applyAlignment="1">
      <alignment horizontal="center" vertical="center" wrapText="1" readingOrder="1"/>
    </xf>
    <xf numFmtId="164" fontId="55" fillId="0" borderId="33" xfId="2" applyFont="1" applyFill="1" applyBorder="1" applyAlignment="1">
      <alignment horizontal="center" vertical="center" wrapText="1" readingOrder="1"/>
    </xf>
    <xf numFmtId="164" fontId="55" fillId="0" borderId="29" xfId="2" applyFont="1" applyFill="1" applyBorder="1" applyAlignment="1">
      <alignment horizontal="center" vertical="center" wrapText="1" readingOrder="1"/>
    </xf>
    <xf numFmtId="164" fontId="55" fillId="0" borderId="24" xfId="2" applyFont="1" applyFill="1" applyBorder="1" applyAlignment="1">
      <alignment horizontal="center" vertical="center" wrapText="1" readingOrder="1"/>
    </xf>
    <xf numFmtId="164" fontId="55" fillId="0" borderId="64" xfId="2" applyFont="1" applyFill="1" applyBorder="1" applyAlignment="1">
      <alignment horizontal="center" vertical="center" wrapText="1" readingOrder="1"/>
    </xf>
    <xf numFmtId="164" fontId="55" fillId="0" borderId="20" xfId="2" applyFont="1" applyFill="1" applyBorder="1" applyAlignment="1">
      <alignment horizontal="center" vertical="center" wrapText="1" readingOrder="1"/>
    </xf>
    <xf numFmtId="164" fontId="55" fillId="0" borderId="43" xfId="2" applyFont="1" applyFill="1" applyBorder="1" applyAlignment="1">
      <alignment horizontal="center" vertical="center" wrapText="1" readingOrder="1"/>
    </xf>
    <xf numFmtId="164" fontId="55" fillId="0" borderId="16" xfId="2" applyFont="1" applyFill="1" applyBorder="1" applyAlignment="1">
      <alignment horizontal="center" vertical="center" wrapText="1" readingOrder="1"/>
    </xf>
    <xf numFmtId="164" fontId="57" fillId="0" borderId="18" xfId="2" applyFont="1" applyFill="1" applyBorder="1" applyAlignment="1">
      <alignment horizontal="center" vertical="center" wrapText="1" readingOrder="1"/>
    </xf>
    <xf numFmtId="0" fontId="68" fillId="0" borderId="0" xfId="0" applyFont="1">
      <alignment vertical="center"/>
    </xf>
    <xf numFmtId="164" fontId="61" fillId="0" borderId="8" xfId="4" applyFont="1" applyFill="1" applyBorder="1" applyAlignment="1">
      <alignment vertical="center"/>
    </xf>
    <xf numFmtId="0" fontId="72" fillId="0" borderId="0" xfId="0" applyFont="1">
      <alignment vertical="center"/>
    </xf>
    <xf numFmtId="0" fontId="73" fillId="0" borderId="0" xfId="0" applyFont="1">
      <alignment vertical="center"/>
    </xf>
    <xf numFmtId="0" fontId="74" fillId="0" borderId="0" xfId="0" applyFont="1">
      <alignment vertical="center"/>
    </xf>
    <xf numFmtId="164" fontId="57" fillId="4" borderId="72" xfId="2" applyFont="1" applyFill="1" applyBorder="1" applyAlignment="1">
      <alignment horizontal="center" vertical="center" wrapText="1" readingOrder="1"/>
    </xf>
    <xf numFmtId="0" fontId="54" fillId="0" borderId="0" xfId="0" applyFont="1">
      <alignment vertical="center"/>
    </xf>
    <xf numFmtId="0" fontId="36" fillId="0" borderId="74" xfId="1" applyFont="1" applyBorder="1" applyAlignment="1">
      <alignment horizontal="center" vertical="center" wrapText="1" readingOrder="1"/>
    </xf>
    <xf numFmtId="0" fontId="36" fillId="0" borderId="74" xfId="1" applyFont="1" applyBorder="1" applyAlignment="1">
      <alignment horizontal="center" vertical="center" wrapText="1"/>
    </xf>
    <xf numFmtId="164" fontId="57" fillId="4" borderId="78" xfId="2" applyFont="1" applyFill="1" applyBorder="1" applyAlignment="1">
      <alignment horizontal="center" vertical="center" wrapText="1" readingOrder="1"/>
    </xf>
    <xf numFmtId="0" fontId="49" fillId="0" borderId="31" xfId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>
      <alignment vertical="center"/>
    </xf>
    <xf numFmtId="0" fontId="67" fillId="0" borderId="9" xfId="1" applyFont="1" applyBorder="1" applyAlignment="1">
      <alignment horizontal="center" vertical="center" wrapText="1" readingOrder="1"/>
    </xf>
    <xf numFmtId="0" fontId="36" fillId="0" borderId="9" xfId="1" applyFont="1" applyBorder="1" applyAlignment="1">
      <alignment horizontal="center" vertical="center" wrapText="1" readingOrder="1"/>
    </xf>
    <xf numFmtId="0" fontId="67" fillId="0" borderId="0" xfId="1" applyFont="1" applyAlignment="1">
      <alignment horizontal="center" vertical="center" wrapText="1" readingOrder="1"/>
    </xf>
    <xf numFmtId="0" fontId="36" fillId="0" borderId="0" xfId="1" applyFont="1" applyAlignment="1">
      <alignment horizontal="center" vertical="center" wrapText="1" readingOrder="1"/>
    </xf>
    <xf numFmtId="0" fontId="67" fillId="0" borderId="10" xfId="1" applyFont="1" applyBorder="1" applyAlignment="1">
      <alignment horizontal="left" wrapText="1" readingOrder="1"/>
    </xf>
    <xf numFmtId="0" fontId="69" fillId="0" borderId="10" xfId="1" applyFont="1" applyBorder="1" applyAlignment="1">
      <alignment horizontal="left" wrapText="1" readingOrder="1"/>
    </xf>
    <xf numFmtId="0" fontId="67" fillId="0" borderId="68" xfId="1" applyFont="1" applyBorder="1" applyAlignment="1">
      <alignment horizontal="left" wrapText="1" readingOrder="1"/>
    </xf>
    <xf numFmtId="0" fontId="69" fillId="0" borderId="68" xfId="1" applyFont="1" applyBorder="1" applyAlignment="1">
      <alignment horizontal="left" wrapText="1" readingOrder="1"/>
    </xf>
    <xf numFmtId="0" fontId="69" fillId="0" borderId="9" xfId="1" applyFont="1" applyBorder="1" applyAlignment="1">
      <alignment horizontal="center" vertical="center" wrapText="1" readingOrder="1"/>
    </xf>
    <xf numFmtId="164" fontId="56" fillId="0" borderId="48" xfId="2" applyFont="1" applyBorder="1" applyAlignment="1">
      <alignment horizontal="center" vertical="center" wrapText="1" readingOrder="1"/>
    </xf>
    <xf numFmtId="164" fontId="56" fillId="0" borderId="44" xfId="2" applyFont="1" applyFill="1" applyBorder="1" applyAlignment="1">
      <alignment horizontal="center" vertical="center" wrapText="1" readingOrder="1"/>
    </xf>
    <xf numFmtId="164" fontId="61" fillId="3" borderId="17" xfId="2" applyFont="1" applyFill="1" applyBorder="1" applyAlignment="1">
      <alignment horizontal="center" vertical="center" wrapText="1" readingOrder="1"/>
    </xf>
    <xf numFmtId="164" fontId="56" fillId="0" borderId="0" xfId="2" applyFont="1" applyFill="1" applyBorder="1" applyAlignment="1">
      <alignment vertical="center" wrapText="1" readingOrder="1"/>
    </xf>
    <xf numFmtId="0" fontId="36" fillId="3" borderId="74" xfId="1" applyFont="1" applyFill="1" applyBorder="1" applyAlignment="1">
      <alignment horizontal="center" vertical="center" wrapText="1" readingOrder="1"/>
    </xf>
    <xf numFmtId="0" fontId="67" fillId="0" borderId="9" xfId="1" applyFont="1" applyBorder="1" applyAlignment="1">
      <alignment horizontal="left" vertical="center" wrapText="1" readingOrder="1"/>
    </xf>
    <xf numFmtId="0" fontId="36" fillId="3" borderId="9" xfId="1" applyFont="1" applyFill="1" applyBorder="1" applyAlignment="1">
      <alignment horizontal="center" vertical="center" wrapText="1" readingOrder="1"/>
    </xf>
    <xf numFmtId="164" fontId="56" fillId="0" borderId="77" xfId="2" applyFont="1" applyFill="1" applyBorder="1" applyAlignment="1">
      <alignment horizontal="center" vertical="center" wrapText="1" readingOrder="1"/>
    </xf>
    <xf numFmtId="164" fontId="61" fillId="0" borderId="25" xfId="2" applyFont="1" applyFill="1" applyBorder="1" applyAlignment="1">
      <alignment horizontal="center" vertical="center" wrapText="1" readingOrder="1"/>
    </xf>
    <xf numFmtId="164" fontId="37" fillId="0" borderId="20" xfId="2" applyFont="1" applyFill="1" applyBorder="1" applyAlignment="1">
      <alignment horizontal="center" vertical="center" wrapText="1" readingOrder="1"/>
    </xf>
    <xf numFmtId="0" fontId="24" fillId="0" borderId="9" xfId="1" applyFont="1" applyBorder="1" applyAlignment="1">
      <alignment horizontal="center" vertical="center"/>
    </xf>
    <xf numFmtId="164" fontId="61" fillId="5" borderId="40" xfId="2" applyFont="1" applyFill="1" applyBorder="1" applyAlignment="1">
      <alignment horizontal="center" vertical="center" wrapText="1" readingOrder="1"/>
    </xf>
    <xf numFmtId="164" fontId="61" fillId="5" borderId="41" xfId="2" applyFont="1" applyFill="1" applyBorder="1" applyAlignment="1">
      <alignment horizontal="center" vertical="center" wrapText="1" readingOrder="1"/>
    </xf>
    <xf numFmtId="164" fontId="61" fillId="3" borderId="0" xfId="2" applyFont="1" applyFill="1" applyBorder="1" applyAlignment="1">
      <alignment horizontal="center" vertical="center" wrapText="1" readingOrder="1"/>
    </xf>
    <xf numFmtId="164" fontId="55" fillId="0" borderId="18" xfId="2" applyFont="1" applyFill="1" applyBorder="1" applyAlignment="1">
      <alignment horizontal="center" vertical="center" wrapText="1" readingOrder="1"/>
    </xf>
    <xf numFmtId="164" fontId="61" fillId="2" borderId="20" xfId="2" applyFont="1" applyFill="1" applyBorder="1" applyAlignment="1">
      <alignment horizontal="center" vertical="center" wrapText="1" readingOrder="1"/>
    </xf>
    <xf numFmtId="164" fontId="61" fillId="2" borderId="0" xfId="2" applyFont="1" applyFill="1" applyBorder="1" applyAlignment="1">
      <alignment horizontal="center" vertical="center" wrapText="1" readingOrder="1"/>
    </xf>
    <xf numFmtId="164" fontId="61" fillId="2" borderId="52" xfId="2" applyFont="1" applyFill="1" applyBorder="1" applyAlignment="1">
      <alignment horizontal="center" vertical="center" wrapText="1" readingOrder="1"/>
    </xf>
    <xf numFmtId="0" fontId="49" fillId="2" borderId="2" xfId="1" applyFont="1" applyFill="1" applyBorder="1" applyAlignment="1">
      <alignment horizontal="center" vertical="center" wrapText="1"/>
    </xf>
    <xf numFmtId="0" fontId="70" fillId="2" borderId="90" xfId="1" applyFont="1" applyFill="1" applyBorder="1" applyAlignment="1">
      <alignment horizontal="center" vertical="center" wrapText="1"/>
    </xf>
    <xf numFmtId="164" fontId="75" fillId="2" borderId="14" xfId="2" applyFont="1" applyFill="1" applyBorder="1" applyAlignment="1">
      <alignment horizontal="center" vertical="center" wrapText="1" readingOrder="1"/>
    </xf>
    <xf numFmtId="0" fontId="77" fillId="0" borderId="0" xfId="0" applyFont="1">
      <alignment vertical="center"/>
    </xf>
    <xf numFmtId="9" fontId="77" fillId="0" borderId="0" xfId="9" applyFont="1">
      <alignment vertical="center"/>
    </xf>
    <xf numFmtId="164" fontId="61" fillId="3" borderId="14" xfId="2" applyFont="1" applyFill="1" applyBorder="1" applyAlignment="1">
      <alignment horizontal="center" vertical="center" wrapText="1" readingOrder="1"/>
    </xf>
    <xf numFmtId="164" fontId="61" fillId="3" borderId="54" xfId="2" applyFont="1" applyFill="1" applyBorder="1" applyAlignment="1">
      <alignment horizontal="center" vertical="center" wrapText="1" readingOrder="1"/>
    </xf>
    <xf numFmtId="0" fontId="49" fillId="2" borderId="90" xfId="1" applyFont="1" applyFill="1" applyBorder="1" applyAlignment="1">
      <alignment horizontal="center" vertical="center" wrapText="1"/>
    </xf>
    <xf numFmtId="164" fontId="75" fillId="0" borderId="14" xfId="2" applyFont="1" applyBorder="1" applyAlignment="1">
      <alignment horizontal="center" vertical="center" wrapText="1" readingOrder="1"/>
    </xf>
    <xf numFmtId="164" fontId="75" fillId="0" borderId="0" xfId="2" applyFont="1" applyBorder="1" applyAlignment="1">
      <alignment horizontal="center" vertical="center" wrapText="1" readingOrder="1"/>
    </xf>
    <xf numFmtId="164" fontId="75" fillId="0" borderId="0" xfId="2" applyFont="1" applyFill="1" applyBorder="1" applyAlignment="1">
      <alignment horizontal="center" vertical="center" wrapText="1" readingOrder="1"/>
    </xf>
    <xf numFmtId="0" fontId="78" fillId="3" borderId="2" xfId="1" applyFont="1" applyFill="1" applyBorder="1" applyAlignment="1">
      <alignment horizontal="center" vertical="center" wrapText="1"/>
    </xf>
    <xf numFmtId="0" fontId="80" fillId="0" borderId="11" xfId="1" applyFont="1" applyBorder="1" applyAlignment="1">
      <alignment horizontal="center" vertical="center" wrapText="1"/>
    </xf>
    <xf numFmtId="164" fontId="61" fillId="0" borderId="20" xfId="2" applyFont="1" applyBorder="1" applyAlignment="1">
      <alignment horizontal="center" vertical="center" wrapText="1" readingOrder="1"/>
    </xf>
    <xf numFmtId="164" fontId="61" fillId="0" borderId="0" xfId="2" applyFont="1" applyBorder="1" applyAlignment="1">
      <alignment horizontal="center" vertical="center" wrapText="1" readingOrder="1"/>
    </xf>
    <xf numFmtId="0" fontId="82" fillId="0" borderId="0" xfId="0" applyFont="1">
      <alignment vertical="center"/>
    </xf>
    <xf numFmtId="0" fontId="70" fillId="3" borderId="35" xfId="1" applyFont="1" applyFill="1" applyBorder="1" applyAlignment="1">
      <alignment horizontal="center" vertical="center" wrapText="1"/>
    </xf>
    <xf numFmtId="164" fontId="61" fillId="3" borderId="25" xfId="2" applyFont="1" applyFill="1" applyBorder="1" applyAlignment="1">
      <alignment horizontal="center" vertical="center" wrapText="1" readingOrder="1"/>
    </xf>
    <xf numFmtId="0" fontId="76" fillId="0" borderId="0" xfId="0" applyFont="1">
      <alignment vertical="center"/>
    </xf>
    <xf numFmtId="164" fontId="61" fillId="0" borderId="52" xfId="2" applyFont="1" applyBorder="1" applyAlignment="1">
      <alignment horizontal="center" vertical="center" wrapText="1" readingOrder="1"/>
    </xf>
    <xf numFmtId="164" fontId="61" fillId="3" borderId="18" xfId="2" applyFont="1" applyFill="1" applyBorder="1" applyAlignment="1">
      <alignment horizontal="center" vertical="center" wrapText="1" readingOrder="1"/>
    </xf>
    <xf numFmtId="0" fontId="73" fillId="0" borderId="0" xfId="0" applyFont="1" applyAlignment="1">
      <alignment vertical="top"/>
    </xf>
    <xf numFmtId="0" fontId="74" fillId="0" borderId="0" xfId="0" applyFont="1" applyAlignment="1">
      <alignment vertical="top"/>
    </xf>
    <xf numFmtId="164" fontId="58" fillId="0" borderId="17" xfId="2" applyFont="1" applyFill="1" applyBorder="1" applyAlignment="1">
      <alignment horizontal="center" vertical="center" wrapText="1" readingOrder="1"/>
    </xf>
    <xf numFmtId="0" fontId="61" fillId="0" borderId="3" xfId="1" applyFont="1" applyBorder="1" applyAlignment="1">
      <alignment horizontal="center" vertical="center" wrapText="1" readingOrder="1"/>
    </xf>
    <xf numFmtId="164" fontId="61" fillId="5" borderId="15" xfId="2" applyFont="1" applyFill="1" applyBorder="1" applyAlignment="1">
      <alignment horizontal="center" vertical="center" wrapText="1" readingOrder="1"/>
    </xf>
    <xf numFmtId="164" fontId="61" fillId="5" borderId="88" xfId="2" applyFont="1" applyFill="1" applyBorder="1" applyAlignment="1">
      <alignment horizontal="center" vertical="center" wrapText="1" readingOrder="1"/>
    </xf>
    <xf numFmtId="164" fontId="61" fillId="5" borderId="28" xfId="2" applyFont="1" applyFill="1" applyBorder="1" applyAlignment="1">
      <alignment horizontal="center" vertical="center" wrapText="1" readingOrder="1"/>
    </xf>
    <xf numFmtId="164" fontId="58" fillId="0" borderId="14" xfId="2" applyFont="1" applyFill="1" applyBorder="1" applyAlignment="1">
      <alignment horizontal="center" vertical="center" wrapText="1" readingOrder="1"/>
    </xf>
    <xf numFmtId="0" fontId="57" fillId="6" borderId="66" xfId="1" applyFont="1" applyFill="1" applyBorder="1" applyAlignment="1">
      <alignment horizontal="center" vertical="center" wrapText="1"/>
    </xf>
    <xf numFmtId="164" fontId="37" fillId="0" borderId="86" xfId="2" applyFont="1" applyFill="1" applyBorder="1" applyAlignment="1">
      <alignment horizontal="center" vertical="center" wrapText="1" readingOrder="1"/>
    </xf>
    <xf numFmtId="0" fontId="61" fillId="5" borderId="91" xfId="1" applyFont="1" applyFill="1" applyBorder="1" applyAlignment="1">
      <alignment horizontal="center" vertical="center" wrapText="1"/>
    </xf>
    <xf numFmtId="0" fontId="60" fillId="0" borderId="3" xfId="1" applyFont="1" applyBorder="1" applyAlignment="1">
      <alignment horizontal="center" vertical="center" wrapText="1" readingOrder="1"/>
    </xf>
    <xf numFmtId="164" fontId="82" fillId="0" borderId="0" xfId="0" applyNumberFormat="1" applyFont="1">
      <alignment vertical="center"/>
    </xf>
    <xf numFmtId="164" fontId="61" fillId="0" borderId="41" xfId="2" applyFont="1" applyFill="1" applyBorder="1" applyAlignment="1">
      <alignment horizontal="center" vertical="center" wrapText="1" readingOrder="1"/>
    </xf>
    <xf numFmtId="164" fontId="61" fillId="0" borderId="47" xfId="2" applyFont="1" applyFill="1" applyBorder="1" applyAlignment="1">
      <alignment horizontal="center" vertical="center" wrapText="1" readingOrder="1"/>
    </xf>
    <xf numFmtId="164" fontId="61" fillId="0" borderId="24" xfId="2" applyFont="1" applyFill="1" applyBorder="1" applyAlignment="1">
      <alignment horizontal="center" vertical="center" wrapText="1" readingOrder="1"/>
    </xf>
    <xf numFmtId="0" fontId="70" fillId="2" borderId="94" xfId="1" applyFont="1" applyFill="1" applyBorder="1" applyAlignment="1">
      <alignment horizontal="center" vertical="center" wrapText="1"/>
    </xf>
    <xf numFmtId="0" fontId="57" fillId="0" borderId="8" xfId="1" applyFont="1" applyBorder="1" applyAlignment="1">
      <alignment horizontal="center" vertical="center" wrapText="1" readingOrder="1"/>
    </xf>
    <xf numFmtId="164" fontId="36" fillId="0" borderId="0" xfId="4" applyFont="1" applyFill="1" applyBorder="1" applyAlignment="1">
      <alignment horizontal="left" vertical="center" wrapText="1" readingOrder="1"/>
    </xf>
    <xf numFmtId="164" fontId="36" fillId="0" borderId="43" xfId="4" applyFont="1" applyFill="1" applyBorder="1" applyAlignment="1">
      <alignment horizontal="left" vertical="center" wrapText="1" readingOrder="1"/>
    </xf>
    <xf numFmtId="43" fontId="55" fillId="3" borderId="18" xfId="5" applyFont="1" applyFill="1" applyBorder="1" applyAlignment="1">
      <alignment horizontal="center" vertical="center" wrapText="1" readingOrder="1"/>
    </xf>
    <xf numFmtId="43" fontId="55" fillId="3" borderId="25" xfId="5" applyFont="1" applyFill="1" applyBorder="1" applyAlignment="1">
      <alignment horizontal="center" vertical="center" wrapText="1" readingOrder="1"/>
    </xf>
    <xf numFmtId="0" fontId="26" fillId="3" borderId="9" xfId="1" applyFont="1" applyFill="1" applyBorder="1" applyAlignment="1">
      <alignment horizontal="center" vertical="center"/>
    </xf>
    <xf numFmtId="0" fontId="52" fillId="0" borderId="30" xfId="1" applyFont="1" applyBorder="1" applyAlignment="1">
      <alignment horizontal="center" vertical="center" wrapText="1"/>
    </xf>
    <xf numFmtId="0" fontId="70" fillId="2" borderId="35" xfId="1" applyFont="1" applyFill="1" applyBorder="1" applyAlignment="1">
      <alignment horizontal="center" vertical="center" wrapText="1"/>
    </xf>
    <xf numFmtId="0" fontId="45" fillId="0" borderId="37" xfId="1" applyFont="1" applyBorder="1" applyAlignment="1">
      <alignment horizontal="center" vertical="center"/>
    </xf>
    <xf numFmtId="0" fontId="49" fillId="3" borderId="84" xfId="1" applyFont="1" applyFill="1" applyBorder="1" applyAlignment="1">
      <alignment horizontal="center" vertical="center" wrapText="1"/>
    </xf>
    <xf numFmtId="43" fontId="56" fillId="0" borderId="0" xfId="5" applyFont="1" applyFill="1" applyBorder="1" applyAlignment="1">
      <alignment vertical="center" wrapText="1" readingOrder="1"/>
    </xf>
    <xf numFmtId="164" fontId="57" fillId="0" borderId="34" xfId="2" applyFont="1" applyFill="1" applyBorder="1" applyAlignment="1">
      <alignment horizontal="center" vertical="center" wrapText="1" readingOrder="1"/>
    </xf>
    <xf numFmtId="0" fontId="36" fillId="0" borderId="0" xfId="1" applyFont="1" applyAlignment="1">
      <alignment horizontal="left" vertical="center" wrapText="1" readingOrder="1"/>
    </xf>
    <xf numFmtId="0" fontId="36" fillId="0" borderId="3" xfId="1" applyFont="1" applyBorder="1" applyAlignment="1">
      <alignment horizontal="left" vertical="center" wrapText="1" readingOrder="1"/>
    </xf>
    <xf numFmtId="0" fontId="36" fillId="0" borderId="22" xfId="1" applyFont="1" applyBorder="1" applyAlignment="1">
      <alignment horizontal="left" vertical="center" wrapText="1" readingOrder="1"/>
    </xf>
    <xf numFmtId="0" fontId="36" fillId="3" borderId="95" xfId="1" applyFont="1" applyFill="1" applyBorder="1" applyAlignment="1">
      <alignment horizontal="center" vertical="center" wrapText="1" readingOrder="1"/>
    </xf>
    <xf numFmtId="0" fontId="61" fillId="0" borderId="9" xfId="1" applyFont="1" applyBorder="1" applyAlignment="1">
      <alignment horizontal="center" vertical="center" wrapText="1" readingOrder="1"/>
    </xf>
    <xf numFmtId="0" fontId="45" fillId="0" borderId="6" xfId="1" applyFont="1" applyBorder="1" applyAlignment="1">
      <alignment horizontal="center" vertical="center"/>
    </xf>
    <xf numFmtId="0" fontId="36" fillId="0" borderId="6" xfId="1" applyFont="1" applyBorder="1" applyAlignment="1">
      <alignment horizontal="left" vertical="center" wrapText="1" readingOrder="1"/>
    </xf>
    <xf numFmtId="0" fontId="36" fillId="0" borderId="96" xfId="1" applyFont="1" applyBorder="1" applyAlignment="1">
      <alignment horizontal="left" vertical="center" wrapText="1" readingOrder="1"/>
    </xf>
    <xf numFmtId="164" fontId="55" fillId="0" borderId="14" xfId="2" applyFont="1" applyFill="1" applyBorder="1" applyAlignment="1">
      <alignment horizontal="center" vertical="center" wrapText="1" readingOrder="1"/>
    </xf>
    <xf numFmtId="0" fontId="36" fillId="16" borderId="9" xfId="1" applyFont="1" applyFill="1" applyBorder="1" applyAlignment="1">
      <alignment horizontal="center" vertical="center" wrapText="1" readingOrder="1"/>
    </xf>
    <xf numFmtId="0" fontId="51" fillId="16" borderId="9" xfId="1" applyFont="1" applyFill="1" applyBorder="1" applyAlignment="1">
      <alignment horizontal="center" vertical="center" wrapText="1" readingOrder="1"/>
    </xf>
    <xf numFmtId="0" fontId="37" fillId="0" borderId="9" xfId="0" applyFont="1" applyBorder="1" applyAlignment="1">
      <alignment horizontal="center" vertical="center"/>
    </xf>
    <xf numFmtId="0" fontId="58" fillId="3" borderId="9" xfId="1" applyFont="1" applyFill="1" applyBorder="1" applyAlignment="1">
      <alignment horizontal="center" vertical="center" wrapText="1" readingOrder="1"/>
    </xf>
    <xf numFmtId="164" fontId="55" fillId="0" borderId="99" xfId="2" applyFont="1" applyFill="1" applyBorder="1" applyAlignment="1">
      <alignment horizontal="center" vertical="center" wrapText="1" readingOrder="1"/>
    </xf>
    <xf numFmtId="0" fontId="63" fillId="0" borderId="101" xfId="1" applyFont="1" applyBorder="1" applyAlignment="1">
      <alignment horizontal="center" vertical="center" wrapText="1"/>
    </xf>
    <xf numFmtId="0" fontId="70" fillId="9" borderId="12" xfId="1" applyFont="1" applyFill="1" applyBorder="1" applyAlignment="1">
      <alignment horizontal="center" vertical="center" wrapText="1"/>
    </xf>
    <xf numFmtId="164" fontId="75" fillId="9" borderId="15" xfId="2" applyFont="1" applyFill="1" applyBorder="1" applyAlignment="1">
      <alignment horizontal="center" vertical="center" wrapText="1" readingOrder="1"/>
    </xf>
    <xf numFmtId="164" fontId="61" fillId="9" borderId="24" xfId="2" applyFont="1" applyFill="1" applyBorder="1" applyAlignment="1">
      <alignment horizontal="center" vertical="center" wrapText="1" readingOrder="1"/>
    </xf>
    <xf numFmtId="164" fontId="61" fillId="9" borderId="21" xfId="2" applyFont="1" applyFill="1" applyBorder="1" applyAlignment="1">
      <alignment horizontal="center" vertical="center" wrapText="1" readingOrder="1"/>
    </xf>
    <xf numFmtId="164" fontId="61" fillId="9" borderId="8" xfId="2" applyFont="1" applyFill="1" applyBorder="1" applyAlignment="1">
      <alignment horizontal="center" vertical="center" wrapText="1" readingOrder="1"/>
    </xf>
    <xf numFmtId="164" fontId="61" fillId="9" borderId="27" xfId="2" applyFont="1" applyFill="1" applyBorder="1" applyAlignment="1">
      <alignment horizontal="center" vertical="center" wrapText="1" readingOrder="1"/>
    </xf>
    <xf numFmtId="164" fontId="61" fillId="9" borderId="30" xfId="2" applyFont="1" applyFill="1" applyBorder="1" applyAlignment="1">
      <alignment horizontal="center" vertical="center" wrapText="1" readingOrder="1"/>
    </xf>
    <xf numFmtId="164" fontId="61" fillId="9" borderId="74" xfId="2" applyFont="1" applyFill="1" applyBorder="1" applyAlignment="1">
      <alignment horizontal="center" vertical="center" wrapText="1" readingOrder="1"/>
    </xf>
    <xf numFmtId="164" fontId="61" fillId="0" borderId="102" xfId="2" applyFont="1" applyBorder="1" applyAlignment="1">
      <alignment horizontal="center" vertical="center" wrapText="1" readingOrder="1"/>
    </xf>
    <xf numFmtId="164" fontId="61" fillId="5" borderId="106" xfId="2" applyFont="1" applyFill="1" applyBorder="1" applyAlignment="1">
      <alignment horizontal="center" vertical="center" wrapText="1" readingOrder="1"/>
    </xf>
    <xf numFmtId="164" fontId="61" fillId="5" borderId="108" xfId="2" applyFont="1" applyFill="1" applyBorder="1" applyAlignment="1">
      <alignment horizontal="center" vertical="center" wrapText="1" readingOrder="1"/>
    </xf>
    <xf numFmtId="0" fontId="52" fillId="0" borderId="18" xfId="0" applyFont="1" applyBorder="1">
      <alignment vertical="center"/>
    </xf>
    <xf numFmtId="0" fontId="52" fillId="0" borderId="25" xfId="0" applyFont="1" applyBorder="1">
      <alignment vertical="center"/>
    </xf>
    <xf numFmtId="164" fontId="61" fillId="9" borderId="14" xfId="2" applyFont="1" applyFill="1" applyBorder="1" applyAlignment="1">
      <alignment horizontal="center" vertical="center" wrapText="1" readingOrder="1"/>
    </xf>
    <xf numFmtId="164" fontId="61" fillId="9" borderId="54" xfId="2" applyFont="1" applyFill="1" applyBorder="1" applyAlignment="1">
      <alignment horizontal="center" vertical="center" wrapText="1" readingOrder="1"/>
    </xf>
    <xf numFmtId="164" fontId="61" fillId="9" borderId="44" xfId="2" applyFont="1" applyFill="1" applyBorder="1" applyAlignment="1">
      <alignment horizontal="center" vertical="center" wrapText="1" readingOrder="1"/>
    </xf>
    <xf numFmtId="164" fontId="61" fillId="9" borderId="72" xfId="2" applyFont="1" applyFill="1" applyBorder="1" applyAlignment="1">
      <alignment horizontal="center" vertical="center" wrapText="1" readingOrder="1"/>
    </xf>
    <xf numFmtId="0" fontId="70" fillId="9" borderId="85" xfId="1" applyFont="1" applyFill="1" applyBorder="1" applyAlignment="1">
      <alignment horizontal="center" vertical="center" wrapText="1"/>
    </xf>
    <xf numFmtId="164" fontId="56" fillId="0" borderId="20" xfId="2" applyFont="1" applyFill="1" applyBorder="1" applyAlignment="1">
      <alignment vertical="center" wrapText="1" readingOrder="1"/>
    </xf>
    <xf numFmtId="43" fontId="57" fillId="0" borderId="21" xfId="5" applyFont="1" applyFill="1" applyBorder="1" applyAlignment="1">
      <alignment horizontal="center" vertical="center" wrapText="1" readingOrder="1"/>
    </xf>
    <xf numFmtId="0" fontId="52" fillId="0" borderId="9" xfId="0" applyFont="1" applyBorder="1" applyAlignment="1">
      <alignment horizontal="center" vertical="center"/>
    </xf>
    <xf numFmtId="0" fontId="83" fillId="12" borderId="9" xfId="0" applyFont="1" applyFill="1" applyBorder="1" applyAlignment="1">
      <alignment horizontal="center" vertical="center"/>
    </xf>
    <xf numFmtId="0" fontId="37" fillId="12" borderId="9" xfId="0" applyFont="1" applyFill="1" applyBorder="1" applyAlignment="1">
      <alignment horizontal="center" vertical="center"/>
    </xf>
    <xf numFmtId="0" fontId="67" fillId="7" borderId="9" xfId="1" applyFont="1" applyFill="1" applyBorder="1" applyAlignment="1">
      <alignment horizontal="left" vertical="center" wrapText="1" readingOrder="1"/>
    </xf>
    <xf numFmtId="0" fontId="0" fillId="0" borderId="0" xfId="0" applyAlignment="1">
      <alignment horizontal="left" vertical="center"/>
    </xf>
    <xf numFmtId="0" fontId="45" fillId="0" borderId="10" xfId="1" applyFont="1" applyBorder="1" applyAlignment="1">
      <alignment horizontal="center" vertical="center"/>
    </xf>
    <xf numFmtId="0" fontId="45" fillId="0" borderId="8" xfId="1" applyFont="1" applyBorder="1" applyAlignment="1">
      <alignment horizontal="center" vertical="center"/>
    </xf>
    <xf numFmtId="0" fontId="45" fillId="0" borderId="3" xfId="1" applyFont="1" applyBorder="1" applyAlignment="1">
      <alignment horizontal="center" vertical="center"/>
    </xf>
    <xf numFmtId="0" fontId="36" fillId="0" borderId="8" xfId="1" applyFont="1" applyBorder="1" applyAlignment="1">
      <alignment horizontal="center" vertical="center" wrapText="1" readingOrder="1"/>
    </xf>
    <xf numFmtId="0" fontId="54" fillId="0" borderId="9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164" fontId="57" fillId="0" borderId="44" xfId="2" applyFont="1" applyFill="1" applyBorder="1" applyAlignment="1">
      <alignment horizontal="center" vertical="center" wrapText="1" readingOrder="1"/>
    </xf>
    <xf numFmtId="164" fontId="55" fillId="0" borderId="44" xfId="2" applyFont="1" applyFill="1" applyBorder="1" applyAlignment="1">
      <alignment horizontal="center" vertical="center" wrapText="1" readingOrder="1"/>
    </xf>
    <xf numFmtId="164" fontId="55" fillId="0" borderId="25" xfId="2" applyFont="1" applyFill="1" applyBorder="1" applyAlignment="1">
      <alignment horizontal="center" vertical="center" wrapText="1" readingOrder="1"/>
    </xf>
    <xf numFmtId="164" fontId="61" fillId="0" borderId="17" xfId="2" applyFont="1" applyFill="1" applyBorder="1" applyAlignment="1">
      <alignment horizontal="center" vertical="center" wrapText="1" readingOrder="1"/>
    </xf>
    <xf numFmtId="164" fontId="61" fillId="0" borderId="33" xfId="2" applyFont="1" applyFill="1" applyBorder="1" applyAlignment="1">
      <alignment horizontal="center" vertical="center" wrapText="1" readingOrder="1"/>
    </xf>
    <xf numFmtId="164" fontId="61" fillId="0" borderId="14" xfId="2" applyFont="1" applyFill="1" applyBorder="1" applyAlignment="1">
      <alignment horizontal="center" vertical="center" wrapText="1" readingOrder="1"/>
    </xf>
    <xf numFmtId="164" fontId="61" fillId="0" borderId="44" xfId="2" applyFont="1" applyFill="1" applyBorder="1" applyAlignment="1">
      <alignment horizontal="center" vertical="center" wrapText="1" readingOrder="1"/>
    </xf>
    <xf numFmtId="164" fontId="58" fillId="0" borderId="46" xfId="2" applyFont="1" applyFill="1" applyBorder="1" applyAlignment="1">
      <alignment horizontal="center" vertical="center" wrapText="1" readingOrder="1"/>
    </xf>
    <xf numFmtId="164" fontId="61" fillId="3" borderId="44" xfId="2" applyFont="1" applyFill="1" applyBorder="1" applyAlignment="1">
      <alignment horizontal="center" vertical="center" wrapText="1" readingOrder="1"/>
    </xf>
    <xf numFmtId="164" fontId="61" fillId="3" borderId="64" xfId="2" applyFont="1" applyFill="1" applyBorder="1" applyAlignment="1">
      <alignment horizontal="center" vertical="center" wrapText="1" readingOrder="1"/>
    </xf>
    <xf numFmtId="164" fontId="36" fillId="0" borderId="97" xfId="4" applyFont="1" applyFill="1" applyBorder="1" applyAlignment="1">
      <alignment horizontal="left" vertical="center" wrapText="1" readingOrder="1"/>
    </xf>
    <xf numFmtId="164" fontId="57" fillId="0" borderId="64" xfId="2" applyFont="1" applyFill="1" applyBorder="1" applyAlignment="1">
      <alignment horizontal="center" vertical="center" wrapText="1" readingOrder="1"/>
    </xf>
    <xf numFmtId="164" fontId="57" fillId="0" borderId="16" xfId="2" applyFont="1" applyFill="1" applyBorder="1" applyAlignment="1">
      <alignment horizontal="center" vertical="center" wrapText="1" readingOrder="1"/>
    </xf>
    <xf numFmtId="164" fontId="61" fillId="3" borderId="16" xfId="2" applyFont="1" applyFill="1" applyBorder="1" applyAlignment="1">
      <alignment horizontal="center" vertical="center" wrapText="1" readingOrder="1"/>
    </xf>
    <xf numFmtId="0" fontId="36" fillId="0" borderId="7" xfId="1" applyFont="1" applyBorder="1" applyAlignment="1">
      <alignment horizontal="center" vertical="center" wrapText="1" readingOrder="1"/>
    </xf>
    <xf numFmtId="0" fontId="36" fillId="0" borderId="7" xfId="1" applyFont="1" applyBorder="1" applyAlignment="1">
      <alignment horizontal="center" vertical="center" wrapText="1"/>
    </xf>
    <xf numFmtId="164" fontId="56" fillId="0" borderId="71" xfId="2" applyFont="1" applyFill="1" applyBorder="1" applyAlignment="1">
      <alignment horizontal="center" vertical="center" wrapText="1" readingOrder="1"/>
    </xf>
    <xf numFmtId="164" fontId="61" fillId="0" borderId="18" xfId="2" applyFont="1" applyFill="1" applyBorder="1" applyAlignment="1">
      <alignment horizontal="center" vertical="center" wrapText="1" readingOrder="1"/>
    </xf>
    <xf numFmtId="164" fontId="58" fillId="0" borderId="51" xfId="2" applyFont="1" applyFill="1" applyBorder="1" applyAlignment="1">
      <alignment horizontal="center" vertical="center" wrapText="1" readingOrder="1"/>
    </xf>
    <xf numFmtId="164" fontId="61" fillId="17" borderId="18" xfId="2" applyFont="1" applyFill="1" applyBorder="1" applyAlignment="1">
      <alignment horizontal="center" vertical="center" wrapText="1" readingOrder="1"/>
    </xf>
    <xf numFmtId="0" fontId="52" fillId="17" borderId="86" xfId="1" applyFont="1" applyFill="1" applyBorder="1" applyAlignment="1">
      <alignment horizontal="center" vertical="center" wrapText="1"/>
    </xf>
    <xf numFmtId="0" fontId="60" fillId="0" borderId="22" xfId="1" applyFont="1" applyBorder="1" applyAlignment="1">
      <alignment horizontal="center" vertical="center" wrapText="1" readingOrder="1"/>
    </xf>
    <xf numFmtId="164" fontId="58" fillId="0" borderId="24" xfId="2" applyFont="1" applyFill="1" applyBorder="1" applyAlignment="1">
      <alignment horizontal="center" vertical="center" wrapText="1" readingOrder="1"/>
    </xf>
    <xf numFmtId="164" fontId="61" fillId="17" borderId="25" xfId="2" applyFont="1" applyFill="1" applyBorder="1" applyAlignment="1">
      <alignment horizontal="center" vertical="center" wrapText="1" readingOrder="1"/>
    </xf>
    <xf numFmtId="164" fontId="61" fillId="9" borderId="49" xfId="2" applyFont="1" applyFill="1" applyBorder="1" applyAlignment="1">
      <alignment horizontal="center" vertical="center" wrapText="1" readingOrder="1"/>
    </xf>
    <xf numFmtId="164" fontId="61" fillId="9" borderId="7" xfId="2" applyFont="1" applyFill="1" applyBorder="1" applyAlignment="1">
      <alignment horizontal="center" vertical="center" wrapText="1" readingOrder="1"/>
    </xf>
    <xf numFmtId="164" fontId="61" fillId="0" borderId="76" xfId="2" applyFont="1" applyBorder="1" applyAlignment="1">
      <alignment horizontal="center" vertical="center" wrapText="1" readingOrder="1"/>
    </xf>
    <xf numFmtId="164" fontId="61" fillId="0" borderId="43" xfId="2" applyFont="1" applyBorder="1" applyAlignment="1">
      <alignment horizontal="center" vertical="center" wrapText="1" readingOrder="1"/>
    </xf>
    <xf numFmtId="164" fontId="61" fillId="0" borderId="36" xfId="2" applyFont="1" applyBorder="1" applyAlignment="1">
      <alignment horizontal="center" vertical="center" wrapText="1" readingOrder="1"/>
    </xf>
    <xf numFmtId="0" fontId="70" fillId="2" borderId="33" xfId="1" applyFont="1" applyFill="1" applyBorder="1" applyAlignment="1">
      <alignment horizontal="center" vertical="center" wrapText="1"/>
    </xf>
    <xf numFmtId="164" fontId="61" fillId="0" borderId="14" xfId="2" applyFont="1" applyBorder="1" applyAlignment="1">
      <alignment horizontal="center" vertical="center" wrapText="1" readingOrder="1"/>
    </xf>
    <xf numFmtId="164" fontId="61" fillId="0" borderId="24" xfId="2" applyFont="1" applyBorder="1" applyAlignment="1">
      <alignment horizontal="center" vertical="center" wrapText="1" readingOrder="1"/>
    </xf>
    <xf numFmtId="164" fontId="61" fillId="0" borderId="33" xfId="2" applyFont="1" applyBorder="1" applyAlignment="1">
      <alignment horizontal="center" vertical="center" wrapText="1" readingOrder="1"/>
    </xf>
    <xf numFmtId="164" fontId="61" fillId="9" borderId="93" xfId="2" applyFont="1" applyFill="1" applyBorder="1" applyAlignment="1">
      <alignment horizontal="center" vertical="center" wrapText="1" readingOrder="1"/>
    </xf>
    <xf numFmtId="0" fontId="36" fillId="0" borderId="31" xfId="1" applyFont="1" applyBorder="1" applyAlignment="1">
      <alignment horizontal="left" vertical="center" wrapText="1" readingOrder="1"/>
    </xf>
    <xf numFmtId="0" fontId="45" fillId="0" borderId="58" xfId="1" applyFont="1" applyBorder="1" applyAlignment="1">
      <alignment horizontal="center" vertical="center"/>
    </xf>
    <xf numFmtId="0" fontId="36" fillId="0" borderId="19" xfId="1" applyFont="1" applyBorder="1" applyAlignment="1">
      <alignment horizontal="left" vertical="center" wrapText="1" readingOrder="1"/>
    </xf>
    <xf numFmtId="164" fontId="61" fillId="0" borderId="15" xfId="2" applyFont="1" applyFill="1" applyBorder="1" applyAlignment="1">
      <alignment horizontal="center" vertical="center" wrapText="1" readingOrder="1"/>
    </xf>
    <xf numFmtId="164" fontId="61" fillId="0" borderId="107" xfId="2" applyFont="1" applyFill="1" applyBorder="1" applyAlignment="1">
      <alignment horizontal="center" vertical="center" wrapText="1" readingOrder="1"/>
    </xf>
    <xf numFmtId="164" fontId="61" fillId="2" borderId="88" xfId="2" applyFont="1" applyFill="1" applyBorder="1" applyAlignment="1">
      <alignment horizontal="center" vertical="center" wrapText="1" readingOrder="1"/>
    </xf>
    <xf numFmtId="164" fontId="61" fillId="2" borderId="15" xfId="2" applyFont="1" applyFill="1" applyBorder="1" applyAlignment="1">
      <alignment horizontal="center" vertical="center" wrapText="1" readingOrder="1"/>
    </xf>
    <xf numFmtId="164" fontId="61" fillId="5" borderId="17" xfId="2" applyFont="1" applyFill="1" applyBorder="1" applyAlignment="1">
      <alignment horizontal="center" vertical="center" wrapText="1" readingOrder="1"/>
    </xf>
    <xf numFmtId="0" fontId="61" fillId="5" borderId="42" xfId="1" applyFont="1" applyFill="1" applyBorder="1" applyAlignment="1">
      <alignment horizontal="center" vertical="center" wrapText="1"/>
    </xf>
    <xf numFmtId="0" fontId="27" fillId="3" borderId="34" xfId="1" applyFont="1" applyFill="1" applyBorder="1" applyAlignment="1">
      <alignment horizontal="center" vertical="center" wrapText="1"/>
    </xf>
    <xf numFmtId="0" fontId="27" fillId="0" borderId="0" xfId="1" applyFont="1" applyAlignment="1">
      <alignment horizontal="center" vertical="center" wrapText="1"/>
    </xf>
    <xf numFmtId="0" fontId="87" fillId="0" borderId="0" xfId="0" applyFont="1">
      <alignment vertical="center"/>
    </xf>
    <xf numFmtId="0" fontId="85" fillId="0" borderId="32" xfId="1" applyFont="1" applyBorder="1" applyAlignment="1">
      <alignment horizontal="center" vertical="center" wrapText="1"/>
    </xf>
    <xf numFmtId="0" fontId="85" fillId="0" borderId="31" xfId="1" applyFont="1" applyBorder="1" applyAlignment="1">
      <alignment horizontal="center" vertical="center" wrapText="1"/>
    </xf>
    <xf numFmtId="0" fontId="76" fillId="9" borderId="33" xfId="1" applyFont="1" applyFill="1" applyBorder="1" applyAlignment="1">
      <alignment horizontal="center" vertical="center" wrapText="1"/>
    </xf>
    <xf numFmtId="164" fontId="61" fillId="2" borderId="24" xfId="2" applyFont="1" applyFill="1" applyBorder="1" applyAlignment="1">
      <alignment horizontal="center" vertical="center" wrapText="1" readingOrder="1"/>
    </xf>
    <xf numFmtId="164" fontId="61" fillId="2" borderId="104" xfId="2" applyFont="1" applyFill="1" applyBorder="1" applyAlignment="1">
      <alignment horizontal="center" vertical="center" wrapText="1" readingOrder="1"/>
    </xf>
    <xf numFmtId="164" fontId="61" fillId="2" borderId="14" xfId="2" applyFont="1" applyFill="1" applyBorder="1" applyAlignment="1">
      <alignment horizontal="center" vertical="center" wrapText="1" readingOrder="1"/>
    </xf>
    <xf numFmtId="164" fontId="61" fillId="9" borderId="104" xfId="2" applyFont="1" applyFill="1" applyBorder="1" applyAlignment="1">
      <alignment horizontal="center" vertical="center" wrapText="1" readingOrder="1"/>
    </xf>
    <xf numFmtId="0" fontId="70" fillId="2" borderId="2" xfId="1" applyFont="1" applyFill="1" applyBorder="1" applyAlignment="1">
      <alignment horizontal="center" vertical="center" wrapText="1"/>
    </xf>
    <xf numFmtId="164" fontId="61" fillId="3" borderId="24" xfId="2" applyFont="1" applyFill="1" applyBorder="1" applyAlignment="1">
      <alignment horizontal="center" vertical="center" wrapText="1" readingOrder="1"/>
    </xf>
    <xf numFmtId="164" fontId="61" fillId="3" borderId="67" xfId="2" applyFont="1" applyFill="1" applyBorder="1" applyAlignment="1">
      <alignment horizontal="center" vertical="center" wrapText="1" readingOrder="1"/>
    </xf>
    <xf numFmtId="164" fontId="61" fillId="3" borderId="50" xfId="2" applyFont="1" applyFill="1" applyBorder="1" applyAlignment="1">
      <alignment horizontal="center" vertical="center" wrapText="1" readingOrder="1"/>
    </xf>
    <xf numFmtId="164" fontId="61" fillId="0" borderId="97" xfId="2" applyFont="1" applyBorder="1" applyAlignment="1">
      <alignment horizontal="center" vertical="center" wrapText="1" readingOrder="1"/>
    </xf>
    <xf numFmtId="164" fontId="61" fillId="0" borderId="8" xfId="2" applyFont="1" applyFill="1" applyBorder="1" applyAlignment="1">
      <alignment horizontal="center" vertical="center" wrapText="1" readingOrder="1"/>
    </xf>
    <xf numFmtId="164" fontId="61" fillId="5" borderId="8" xfId="2" applyFont="1" applyFill="1" applyBorder="1" applyAlignment="1">
      <alignment horizontal="center" vertical="center" wrapText="1" readingOrder="1"/>
    </xf>
    <xf numFmtId="0" fontId="61" fillId="5" borderId="87" xfId="1" applyFont="1" applyFill="1" applyBorder="1" applyAlignment="1">
      <alignment horizontal="center" vertical="center" wrapText="1"/>
    </xf>
    <xf numFmtId="0" fontId="36" fillId="3" borderId="98" xfId="1" applyFont="1" applyFill="1" applyBorder="1" applyAlignment="1">
      <alignment horizontal="center" vertical="center" wrapText="1" readingOrder="1"/>
    </xf>
    <xf numFmtId="164" fontId="61" fillId="5" borderId="111" xfId="2" applyFont="1" applyFill="1" applyBorder="1" applyAlignment="1">
      <alignment horizontal="center" vertical="center" wrapText="1" readingOrder="1"/>
    </xf>
    <xf numFmtId="164" fontId="61" fillId="0" borderId="92" xfId="2" applyFont="1" applyFill="1" applyBorder="1" applyAlignment="1">
      <alignment horizontal="center" vertical="center" wrapText="1" readingOrder="1"/>
    </xf>
    <xf numFmtId="0" fontId="76" fillId="5" borderId="63" xfId="1" applyFont="1" applyFill="1" applyBorder="1" applyAlignment="1">
      <alignment horizontal="center" vertical="center" wrapText="1"/>
    </xf>
    <xf numFmtId="164" fontId="58" fillId="5" borderId="40" xfId="2" applyFont="1" applyFill="1" applyBorder="1" applyAlignment="1">
      <alignment horizontal="center" vertical="center" wrapText="1" readingOrder="1"/>
    </xf>
    <xf numFmtId="0" fontId="78" fillId="5" borderId="63" xfId="1" applyFont="1" applyFill="1" applyBorder="1" applyAlignment="1">
      <alignment horizontal="center" vertical="center" wrapText="1"/>
    </xf>
    <xf numFmtId="0" fontId="76" fillId="5" borderId="12" xfId="1" applyFont="1" applyFill="1" applyBorder="1" applyAlignment="1">
      <alignment horizontal="center" vertical="center" wrapText="1"/>
    </xf>
    <xf numFmtId="164" fontId="58" fillId="5" borderId="15" xfId="2" applyFont="1" applyFill="1" applyBorder="1" applyAlignment="1">
      <alignment horizontal="center" vertical="center" wrapText="1" readingOrder="1"/>
    </xf>
    <xf numFmtId="0" fontId="25" fillId="0" borderId="7" xfId="1" applyFont="1" applyBorder="1" applyAlignment="1">
      <alignment horizontal="left" vertical="center" wrapText="1" readingOrder="1"/>
    </xf>
    <xf numFmtId="164" fontId="30" fillId="0" borderId="7" xfId="4" applyFont="1" applyBorder="1" applyAlignment="1">
      <alignment horizontal="left" vertical="center" wrapText="1" readingOrder="1"/>
    </xf>
    <xf numFmtId="165" fontId="31" fillId="2" borderId="7" xfId="5" applyNumberFormat="1" applyFont="1" applyFill="1" applyBorder="1" applyAlignment="1">
      <alignment horizontal="left" vertical="center" wrapText="1" readingOrder="1"/>
    </xf>
    <xf numFmtId="165" fontId="33" fillId="2" borderId="7" xfId="5" applyNumberFormat="1" applyFont="1" applyFill="1" applyBorder="1" applyAlignment="1">
      <alignment horizontal="left" vertical="center" wrapText="1" readingOrder="1"/>
    </xf>
    <xf numFmtId="0" fontId="32" fillId="0" borderId="7" xfId="1" applyFont="1" applyBorder="1" applyAlignment="1">
      <alignment horizontal="center" vertical="center" wrapText="1"/>
    </xf>
    <xf numFmtId="164" fontId="75" fillId="0" borderId="36" xfId="2" applyFont="1" applyBorder="1" applyAlignment="1">
      <alignment horizontal="center" vertical="center" wrapText="1" readingOrder="1"/>
    </xf>
    <xf numFmtId="164" fontId="75" fillId="2" borderId="72" xfId="2" applyFont="1" applyFill="1" applyBorder="1" applyAlignment="1">
      <alignment horizontal="center" vertical="center" wrapText="1" readingOrder="1"/>
    </xf>
    <xf numFmtId="164" fontId="75" fillId="9" borderId="92" xfId="2" applyFont="1" applyFill="1" applyBorder="1" applyAlignment="1">
      <alignment horizontal="center" vertical="center" wrapText="1" readingOrder="1"/>
    </xf>
    <xf numFmtId="164" fontId="58" fillId="5" borderId="73" xfId="2" applyFont="1" applyFill="1" applyBorder="1" applyAlignment="1">
      <alignment horizontal="center" vertical="center" wrapText="1" readingOrder="1"/>
    </xf>
    <xf numFmtId="164" fontId="32" fillId="0" borderId="36" xfId="2" applyFont="1" applyFill="1" applyBorder="1" applyAlignment="1">
      <alignment horizontal="center" vertical="center" wrapText="1" readingOrder="1"/>
    </xf>
    <xf numFmtId="164" fontId="33" fillId="0" borderId="72" xfId="2" applyFont="1" applyBorder="1" applyAlignment="1">
      <alignment horizontal="center" vertical="center" wrapText="1" readingOrder="1"/>
    </xf>
    <xf numFmtId="164" fontId="33" fillId="0" borderId="36" xfId="2" applyFont="1" applyBorder="1" applyAlignment="1">
      <alignment horizontal="center" vertical="center" wrapText="1" readingOrder="1"/>
    </xf>
    <xf numFmtId="164" fontId="36" fillId="0" borderId="83" xfId="2" applyFont="1" applyFill="1" applyBorder="1" applyAlignment="1">
      <alignment horizontal="center" vertical="center" wrapText="1" readingOrder="1"/>
    </xf>
    <xf numFmtId="164" fontId="75" fillId="0" borderId="36" xfId="2" applyFont="1" applyFill="1" applyBorder="1" applyAlignment="1">
      <alignment horizontal="center" vertical="center" wrapText="1" readingOrder="1"/>
    </xf>
    <xf numFmtId="164" fontId="58" fillId="5" borderId="92" xfId="2" applyFont="1" applyFill="1" applyBorder="1" applyAlignment="1">
      <alignment horizontal="center" vertical="center" wrapText="1" readingOrder="1"/>
    </xf>
    <xf numFmtId="0" fontId="40" fillId="2" borderId="11" xfId="1" applyFont="1" applyFill="1" applyBorder="1" applyAlignment="1">
      <alignment horizontal="center" vertical="center" wrapText="1"/>
    </xf>
    <xf numFmtId="0" fontId="70" fillId="2" borderId="85" xfId="1" applyFont="1" applyFill="1" applyBorder="1" applyAlignment="1">
      <alignment horizontal="center" vertical="center" wrapText="1"/>
    </xf>
    <xf numFmtId="0" fontId="61" fillId="2" borderId="85" xfId="1" applyFont="1" applyFill="1" applyBorder="1" applyAlignment="1">
      <alignment horizontal="center" vertical="center" wrapText="1"/>
    </xf>
    <xf numFmtId="164" fontId="61" fillId="2" borderId="72" xfId="2" applyFont="1" applyFill="1" applyBorder="1" applyAlignment="1">
      <alignment horizontal="center" vertical="center" wrapText="1" readingOrder="1"/>
    </xf>
    <xf numFmtId="0" fontId="70" fillId="9" borderId="112" xfId="1" applyFont="1" applyFill="1" applyBorder="1" applyAlignment="1">
      <alignment horizontal="center" vertical="center" wrapText="1"/>
    </xf>
    <xf numFmtId="164" fontId="75" fillId="9" borderId="17" xfId="2" applyFont="1" applyFill="1" applyBorder="1" applyAlignment="1">
      <alignment horizontal="center" vertical="center" wrapText="1" readingOrder="1"/>
    </xf>
    <xf numFmtId="164" fontId="75" fillId="9" borderId="71" xfId="2" applyFont="1" applyFill="1" applyBorder="1" applyAlignment="1">
      <alignment horizontal="center" vertical="center" wrapText="1" readingOrder="1"/>
    </xf>
    <xf numFmtId="0" fontId="24" fillId="0" borderId="10" xfId="1" applyFont="1" applyBorder="1" applyAlignment="1">
      <alignment horizontal="center" vertical="center"/>
    </xf>
    <xf numFmtId="0" fontId="45" fillId="0" borderId="52" xfId="1" applyFont="1" applyBorder="1" applyAlignment="1">
      <alignment vertical="center"/>
    </xf>
    <xf numFmtId="43" fontId="0" fillId="0" borderId="0" xfId="0" applyNumberFormat="1">
      <alignment vertical="center"/>
    </xf>
    <xf numFmtId="164" fontId="74" fillId="0" borderId="0" xfId="0" applyNumberFormat="1" applyFont="1">
      <alignment vertical="center"/>
    </xf>
    <xf numFmtId="164" fontId="58" fillId="0" borderId="13" xfId="2" applyFont="1" applyBorder="1" applyAlignment="1">
      <alignment horizontal="center" vertical="center" wrapText="1" readingOrder="1"/>
    </xf>
    <xf numFmtId="164" fontId="58" fillId="0" borderId="23" xfId="2" applyFont="1" applyBorder="1" applyAlignment="1">
      <alignment horizontal="center" vertical="center" wrapText="1" readingOrder="1"/>
    </xf>
    <xf numFmtId="164" fontId="58" fillId="0" borderId="13" xfId="2" applyFont="1" applyFill="1" applyBorder="1" applyAlignment="1">
      <alignment horizontal="center" vertical="center" wrapText="1" readingOrder="1"/>
    </xf>
    <xf numFmtId="164" fontId="58" fillId="0" borderId="80" xfId="2" applyFont="1" applyFill="1" applyBorder="1" applyAlignment="1">
      <alignment horizontal="center" vertical="center" wrapText="1" readingOrder="1"/>
    </xf>
    <xf numFmtId="164" fontId="58" fillId="0" borderId="81" xfId="2" applyFont="1" applyBorder="1" applyAlignment="1">
      <alignment horizontal="center" vertical="center" wrapText="1" readingOrder="1"/>
    </xf>
    <xf numFmtId="164" fontId="58" fillId="0" borderId="80" xfId="2" applyFont="1" applyBorder="1" applyAlignment="1">
      <alignment horizontal="center" vertical="center" wrapText="1" readingOrder="1"/>
    </xf>
    <xf numFmtId="164" fontId="58" fillId="0" borderId="59" xfId="2" applyFont="1" applyBorder="1" applyAlignment="1">
      <alignment horizontal="center" vertical="center" wrapText="1" readingOrder="1"/>
    </xf>
    <xf numFmtId="164" fontId="58" fillId="0" borderId="62" xfId="2" applyFont="1" applyBorder="1" applyAlignment="1">
      <alignment horizontal="center" vertical="center" wrapText="1" readingOrder="1"/>
    </xf>
    <xf numFmtId="164" fontId="58" fillId="0" borderId="0" xfId="2" applyFont="1" applyFill="1" applyBorder="1" applyAlignment="1">
      <alignment horizontal="center" vertical="center" wrapText="1" readingOrder="1"/>
    </xf>
    <xf numFmtId="164" fontId="58" fillId="0" borderId="20" xfId="2" applyFont="1" applyBorder="1" applyAlignment="1">
      <alignment horizontal="center" vertical="center" wrapText="1" readingOrder="1"/>
    </xf>
    <xf numFmtId="164" fontId="58" fillId="0" borderId="0" xfId="2" applyFont="1" applyBorder="1" applyAlignment="1">
      <alignment horizontal="center" vertical="center" wrapText="1" readingOrder="1"/>
    </xf>
    <xf numFmtId="0" fontId="59" fillId="3" borderId="8" xfId="1" applyFont="1" applyFill="1" applyBorder="1" applyAlignment="1">
      <alignment horizontal="left" vertical="center" wrapText="1" readingOrder="1"/>
    </xf>
    <xf numFmtId="0" fontId="59" fillId="3" borderId="6" xfId="1" applyFont="1" applyFill="1" applyBorder="1" applyAlignment="1">
      <alignment horizontal="left" vertical="center" wrapText="1" readingOrder="1"/>
    </xf>
    <xf numFmtId="164" fontId="58" fillId="0" borderId="89" xfId="2" applyFont="1" applyFill="1" applyBorder="1" applyAlignment="1">
      <alignment horizontal="center" vertical="center" wrapText="1" readingOrder="1"/>
    </xf>
    <xf numFmtId="164" fontId="36" fillId="0" borderId="45" xfId="4" applyFont="1" applyFill="1" applyBorder="1" applyAlignment="1">
      <alignment horizontal="left" vertical="center" wrapText="1" readingOrder="1"/>
    </xf>
    <xf numFmtId="164" fontId="58" fillId="0" borderId="23" xfId="2" applyFont="1" applyFill="1" applyBorder="1" applyAlignment="1">
      <alignment horizontal="center" vertical="center" wrapText="1" readingOrder="1"/>
    </xf>
    <xf numFmtId="164" fontId="61" fillId="0" borderId="0" xfId="4" applyFont="1" applyAlignment="1">
      <alignment vertical="center"/>
    </xf>
    <xf numFmtId="164" fontId="58" fillId="0" borderId="59" xfId="2" applyFont="1" applyFill="1" applyBorder="1" applyAlignment="1">
      <alignment horizontal="center" vertical="center" wrapText="1" readingOrder="1"/>
    </xf>
    <xf numFmtId="0" fontId="86" fillId="2" borderId="12" xfId="1" applyFont="1" applyFill="1" applyBorder="1" applyAlignment="1">
      <alignment horizontal="center" vertical="center" wrapText="1"/>
    </xf>
    <xf numFmtId="164" fontId="57" fillId="0" borderId="15" xfId="2" applyFont="1" applyBorder="1" applyAlignment="1">
      <alignment horizontal="center" vertical="center" wrapText="1" readingOrder="1"/>
    </xf>
    <xf numFmtId="43" fontId="27" fillId="0" borderId="0" xfId="0" applyNumberFormat="1" applyFont="1">
      <alignment vertical="center"/>
    </xf>
    <xf numFmtId="164" fontId="22" fillId="0" borderId="0" xfId="0" applyNumberFormat="1" applyFont="1">
      <alignment vertical="center"/>
    </xf>
    <xf numFmtId="164" fontId="57" fillId="0" borderId="71" xfId="2" quotePrefix="1" applyFont="1" applyBorder="1" applyAlignment="1">
      <alignment horizontal="center" vertical="center" wrapText="1" readingOrder="1"/>
    </xf>
    <xf numFmtId="164" fontId="30" fillId="0" borderId="10" xfId="4" applyFont="1" applyBorder="1" applyAlignment="1">
      <alignment horizontal="left" vertical="center" wrapText="1" readingOrder="1"/>
    </xf>
    <xf numFmtId="165" fontId="31" fillId="2" borderId="10" xfId="5" applyNumberFormat="1" applyFont="1" applyFill="1" applyBorder="1" applyAlignment="1">
      <alignment horizontal="left" vertical="center" wrapText="1" readingOrder="1"/>
    </xf>
    <xf numFmtId="165" fontId="33" fillId="2" borderId="10" xfId="5" applyNumberFormat="1" applyFont="1" applyFill="1" applyBorder="1" applyAlignment="1">
      <alignment horizontal="left" vertical="center" wrapText="1" readingOrder="1"/>
    </xf>
    <xf numFmtId="0" fontId="32" fillId="0" borderId="10" xfId="1" applyFont="1" applyBorder="1" applyAlignment="1">
      <alignment horizontal="center" vertical="center" wrapText="1"/>
    </xf>
    <xf numFmtId="164" fontId="75" fillId="0" borderId="38" xfId="2" applyFont="1" applyBorder="1" applyAlignment="1">
      <alignment horizontal="center" vertical="center" wrapText="1" readingOrder="1"/>
    </xf>
    <xf numFmtId="164" fontId="75" fillId="2" borderId="16" xfId="2" applyFont="1" applyFill="1" applyBorder="1" applyAlignment="1">
      <alignment horizontal="center" vertical="center" wrapText="1" readingOrder="1"/>
    </xf>
    <xf numFmtId="164" fontId="75" fillId="9" borderId="39" xfId="2" applyFont="1" applyFill="1" applyBorder="1" applyAlignment="1">
      <alignment horizontal="center" vertical="center" wrapText="1" readingOrder="1"/>
    </xf>
    <xf numFmtId="164" fontId="57" fillId="0" borderId="106" xfId="2" applyFont="1" applyBorder="1" applyAlignment="1">
      <alignment horizontal="center" vertical="center" wrapText="1" readingOrder="1"/>
    </xf>
    <xf numFmtId="164" fontId="61" fillId="3" borderId="38" xfId="2" applyFont="1" applyFill="1" applyBorder="1" applyAlignment="1">
      <alignment horizontal="center" vertical="center" wrapText="1" readingOrder="1"/>
    </xf>
    <xf numFmtId="164" fontId="58" fillId="5" borderId="121" xfId="2" applyFont="1" applyFill="1" applyBorder="1" applyAlignment="1">
      <alignment horizontal="center" vertical="center" wrapText="1" readingOrder="1"/>
    </xf>
    <xf numFmtId="164" fontId="75" fillId="0" borderId="16" xfId="2" applyFont="1" applyBorder="1" applyAlignment="1">
      <alignment horizontal="center" vertical="center" wrapText="1" readingOrder="1"/>
    </xf>
    <xf numFmtId="164" fontId="33" fillId="0" borderId="38" xfId="2" applyFont="1" applyBorder="1" applyAlignment="1">
      <alignment horizontal="center" vertical="center" wrapText="1" readingOrder="1"/>
    </xf>
    <xf numFmtId="164" fontId="75" fillId="9" borderId="106" xfId="2" applyFont="1" applyFill="1" applyBorder="1" applyAlignment="1">
      <alignment horizontal="center" vertical="center" wrapText="1" readingOrder="1"/>
    </xf>
    <xf numFmtId="164" fontId="58" fillId="5" borderId="106" xfId="2" applyFont="1" applyFill="1" applyBorder="1" applyAlignment="1">
      <alignment horizontal="center" vertical="center" wrapText="1" readingOrder="1"/>
    </xf>
    <xf numFmtId="164" fontId="57" fillId="0" borderId="92" xfId="2" applyFont="1" applyBorder="1" applyAlignment="1">
      <alignment horizontal="center" vertical="center" wrapText="1" readingOrder="1"/>
    </xf>
    <xf numFmtId="164" fontId="61" fillId="3" borderId="26" xfId="2" applyFont="1" applyFill="1" applyBorder="1" applyAlignment="1">
      <alignment horizontal="center" vertical="center" wrapText="1" readingOrder="1"/>
    </xf>
    <xf numFmtId="0" fontId="63" fillId="0" borderId="21" xfId="1" applyFont="1" applyBorder="1" applyAlignment="1">
      <alignment horizontal="left" vertical="center" wrapText="1" readingOrder="1"/>
    </xf>
    <xf numFmtId="0" fontId="63" fillId="0" borderId="22" xfId="1" applyFont="1" applyBorder="1" applyAlignment="1">
      <alignment horizontal="center" vertical="center" wrapText="1" readingOrder="1"/>
    </xf>
    <xf numFmtId="0" fontId="63" fillId="0" borderId="21" xfId="1" applyFont="1" applyBorder="1" applyAlignment="1">
      <alignment horizontal="center" vertical="center" wrapText="1" readingOrder="1"/>
    </xf>
    <xf numFmtId="0" fontId="63" fillId="0" borderId="96" xfId="1" applyFont="1" applyBorder="1" applyAlignment="1">
      <alignment horizontal="center" vertical="center" wrapText="1" readingOrder="1"/>
    </xf>
    <xf numFmtId="164" fontId="58" fillId="0" borderId="62" xfId="2" applyFont="1" applyFill="1" applyBorder="1" applyAlignment="1">
      <alignment horizontal="center" vertical="center" wrapText="1" readingOrder="1"/>
    </xf>
    <xf numFmtId="164" fontId="57" fillId="4" borderId="77" xfId="2" applyFont="1" applyFill="1" applyBorder="1" applyAlignment="1">
      <alignment horizontal="center" vertical="center" wrapText="1" readingOrder="1"/>
    </xf>
    <xf numFmtId="164" fontId="57" fillId="4" borderId="71" xfId="2" applyFont="1" applyFill="1" applyBorder="1" applyAlignment="1">
      <alignment horizontal="center" vertical="center" wrapText="1" readingOrder="1"/>
    </xf>
    <xf numFmtId="0" fontId="82" fillId="0" borderId="36" xfId="0" applyFont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82" fillId="0" borderId="10" xfId="1" applyFont="1" applyBorder="1" applyAlignment="1">
      <alignment horizontal="center" vertical="center"/>
    </xf>
    <xf numFmtId="0" fontId="82" fillId="0" borderId="8" xfId="1" applyFont="1" applyBorder="1" applyAlignment="1">
      <alignment horizontal="center" vertical="center"/>
    </xf>
    <xf numFmtId="0" fontId="78" fillId="0" borderId="8" xfId="1" applyFont="1" applyBorder="1" applyAlignment="1">
      <alignment horizontal="center" vertical="center" wrapText="1"/>
    </xf>
    <xf numFmtId="0" fontId="82" fillId="0" borderId="3" xfId="1" applyFont="1" applyBorder="1" applyAlignment="1">
      <alignment horizontal="center" vertical="center"/>
    </xf>
    <xf numFmtId="0" fontId="90" fillId="0" borderId="31" xfId="1" applyFont="1" applyBorder="1" applyAlignment="1">
      <alignment horizontal="center" vertical="center" wrapText="1" readingOrder="1"/>
    </xf>
    <xf numFmtId="0" fontId="90" fillId="0" borderId="22" xfId="1" applyFont="1" applyBorder="1" applyAlignment="1">
      <alignment horizontal="center" vertical="center" wrapText="1" readingOrder="1"/>
    </xf>
    <xf numFmtId="0" fontId="76" fillId="0" borderId="10" xfId="1" applyFont="1" applyBorder="1" applyAlignment="1">
      <alignment vertical="center"/>
    </xf>
    <xf numFmtId="0" fontId="76" fillId="0" borderId="8" xfId="1" applyFont="1" applyBorder="1" applyAlignment="1">
      <alignment vertical="center"/>
    </xf>
    <xf numFmtId="0" fontId="76" fillId="0" borderId="8" xfId="1" applyFont="1" applyBorder="1" applyAlignment="1">
      <alignment horizontal="center" vertical="center" wrapText="1"/>
    </xf>
    <xf numFmtId="0" fontId="36" fillId="0" borderId="21" xfId="1" applyFont="1" applyBorder="1" applyAlignment="1">
      <alignment horizontal="center" vertical="center" wrapText="1" readingOrder="1"/>
    </xf>
    <xf numFmtId="0" fontId="36" fillId="0" borderId="22" xfId="1" applyFont="1" applyBorder="1" applyAlignment="1">
      <alignment horizontal="center" vertical="center" wrapText="1" readingOrder="1"/>
    </xf>
    <xf numFmtId="0" fontId="36" fillId="0" borderId="3" xfId="1" applyFont="1" applyBorder="1" applyAlignment="1">
      <alignment horizontal="center" vertical="center" wrapText="1" readingOrder="1"/>
    </xf>
    <xf numFmtId="0" fontId="59" fillId="0" borderId="8" xfId="1" applyFont="1" applyBorder="1" applyAlignment="1">
      <alignment horizontal="center" vertical="center" wrapText="1"/>
    </xf>
    <xf numFmtId="0" fontId="36" fillId="0" borderId="93" xfId="1" applyFont="1" applyBorder="1" applyAlignment="1">
      <alignment horizontal="center" vertical="center" wrapText="1" readingOrder="1"/>
    </xf>
    <xf numFmtId="0" fontId="36" fillId="0" borderId="109" xfId="1" applyFont="1" applyBorder="1" applyAlignment="1">
      <alignment horizontal="center" vertical="center" wrapText="1" readingOrder="1"/>
    </xf>
    <xf numFmtId="0" fontId="59" fillId="0" borderId="3" xfId="1" applyFont="1" applyBorder="1" applyAlignment="1">
      <alignment horizontal="center" vertical="center" wrapText="1"/>
    </xf>
    <xf numFmtId="0" fontId="59" fillId="0" borderId="93" xfId="1" applyFont="1" applyBorder="1" applyAlignment="1">
      <alignment horizontal="center" vertical="center" wrapText="1"/>
    </xf>
    <xf numFmtId="0" fontId="36" fillId="0" borderId="49" xfId="1" applyFont="1" applyBorder="1" applyAlignment="1">
      <alignment horizontal="center" vertical="center" wrapText="1" readingOrder="1"/>
    </xf>
    <xf numFmtId="0" fontId="36" fillId="0" borderId="45" xfId="1" applyFont="1" applyBorder="1" applyAlignment="1">
      <alignment horizontal="center" vertical="center" wrapText="1" readingOrder="1"/>
    </xf>
    <xf numFmtId="164" fontId="57" fillId="0" borderId="25" xfId="2" applyFont="1" applyFill="1" applyBorder="1" applyAlignment="1">
      <alignment horizontal="center" vertical="center" wrapText="1" readingOrder="1"/>
    </xf>
    <xf numFmtId="0" fontId="57" fillId="0" borderId="22" xfId="1" applyFont="1" applyBorder="1" applyAlignment="1">
      <alignment horizontal="center" vertical="center" wrapText="1" readingOrder="1"/>
    </xf>
    <xf numFmtId="164" fontId="58" fillId="0" borderId="26" xfId="2" applyFont="1" applyFill="1" applyBorder="1" applyAlignment="1">
      <alignment horizontal="center" vertical="center" wrapText="1" readingOrder="1"/>
    </xf>
    <xf numFmtId="164" fontId="14" fillId="0" borderId="0" xfId="4" quotePrefix="1" applyFont="1" applyAlignment="1">
      <alignment vertical="center"/>
    </xf>
    <xf numFmtId="164" fontId="17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168" fontId="61" fillId="0" borderId="0" xfId="4" applyNumberFormat="1" applyFont="1" applyAlignment="1">
      <alignment vertical="center"/>
    </xf>
    <xf numFmtId="164" fontId="14" fillId="0" borderId="0" xfId="4" applyFont="1" applyAlignment="1">
      <alignment vertical="center"/>
    </xf>
    <xf numFmtId="0" fontId="48" fillId="8" borderId="33" xfId="1" applyFont="1" applyFill="1" applyBorder="1" applyAlignment="1">
      <alignment horizontal="center" vertical="center" wrapText="1"/>
    </xf>
    <xf numFmtId="164" fontId="57" fillId="0" borderId="67" xfId="2" applyFont="1" applyFill="1" applyBorder="1" applyAlignment="1">
      <alignment horizontal="center" vertical="center" wrapText="1" readingOrder="1"/>
    </xf>
    <xf numFmtId="0" fontId="70" fillId="2" borderId="34" xfId="1" applyFont="1" applyFill="1" applyBorder="1" applyAlignment="1">
      <alignment horizontal="center" vertical="center" wrapText="1"/>
    </xf>
    <xf numFmtId="164" fontId="61" fillId="2" borderId="25" xfId="2" applyFont="1" applyFill="1" applyBorder="1" applyAlignment="1">
      <alignment horizontal="center" vertical="center" wrapText="1" readingOrder="1"/>
    </xf>
    <xf numFmtId="164" fontId="61" fillId="2" borderId="67" xfId="2" applyFont="1" applyFill="1" applyBorder="1" applyAlignment="1">
      <alignment horizontal="center" vertical="center" wrapText="1" readingOrder="1"/>
    </xf>
    <xf numFmtId="164" fontId="61" fillId="2" borderId="123" xfId="2" applyFont="1" applyFill="1" applyBorder="1" applyAlignment="1">
      <alignment horizontal="center" vertical="center" wrapText="1" readingOrder="1"/>
    </xf>
    <xf numFmtId="164" fontId="61" fillId="2" borderId="18" xfId="2" applyFont="1" applyFill="1" applyBorder="1" applyAlignment="1">
      <alignment horizontal="center" vertical="center" wrapText="1" readingOrder="1"/>
    </xf>
    <xf numFmtId="164" fontId="61" fillId="0" borderId="25" xfId="2" applyFont="1" applyBorder="1" applyAlignment="1">
      <alignment horizontal="center" vertical="center" wrapText="1" readingOrder="1"/>
    </xf>
    <xf numFmtId="164" fontId="61" fillId="0" borderId="67" xfId="2" applyFont="1" applyBorder="1" applyAlignment="1">
      <alignment horizontal="center" vertical="center" wrapText="1" readingOrder="1"/>
    </xf>
    <xf numFmtId="164" fontId="61" fillId="0" borderId="123" xfId="2" applyFont="1" applyBorder="1" applyAlignment="1">
      <alignment horizontal="center" vertical="center" wrapText="1" readingOrder="1"/>
    </xf>
    <xf numFmtId="164" fontId="61" fillId="0" borderId="18" xfId="2" applyFont="1" applyBorder="1" applyAlignment="1">
      <alignment horizontal="center" vertical="center" wrapText="1" readingOrder="1"/>
    </xf>
    <xf numFmtId="164" fontId="57" fillId="2" borderId="14" xfId="2" applyFont="1" applyFill="1" applyBorder="1" applyAlignment="1">
      <alignment horizontal="center" vertical="center" wrapText="1" readingOrder="1"/>
    </xf>
    <xf numFmtId="164" fontId="59" fillId="0" borderId="14" xfId="2" applyFont="1" applyFill="1" applyBorder="1" applyAlignment="1">
      <alignment horizontal="center" vertical="center" wrapText="1" readingOrder="1"/>
    </xf>
    <xf numFmtId="164" fontId="58" fillId="5" borderId="8" xfId="2" applyFont="1" applyFill="1" applyBorder="1" applyAlignment="1">
      <alignment horizontal="center" vertical="center" wrapText="1" readingOrder="1"/>
    </xf>
    <xf numFmtId="0" fontId="61" fillId="0" borderId="21" xfId="1" applyFont="1" applyBorder="1" applyAlignment="1">
      <alignment vertical="center" wrapText="1" readingOrder="1"/>
    </xf>
    <xf numFmtId="0" fontId="61" fillId="0" borderId="8" xfId="1" applyFont="1" applyBorder="1" applyAlignment="1">
      <alignment vertical="center" wrapText="1" readingOrder="1"/>
    </xf>
    <xf numFmtId="0" fontId="37" fillId="0" borderId="8" xfId="1" applyFont="1" applyBorder="1" applyAlignment="1">
      <alignment horizontal="center" vertical="center" wrapText="1" readingOrder="1"/>
    </xf>
    <xf numFmtId="164" fontId="36" fillId="0" borderId="109" xfId="4" applyFont="1" applyFill="1" applyBorder="1" applyAlignment="1">
      <alignment horizontal="left" vertical="center" wrapText="1" readingOrder="1"/>
    </xf>
    <xf numFmtId="0" fontId="59" fillId="0" borderId="5" xfId="1" applyFont="1" applyBorder="1" applyAlignment="1">
      <alignment horizontal="center" vertical="center" wrapText="1"/>
    </xf>
    <xf numFmtId="0" fontId="64" fillId="0" borderId="8" xfId="1" applyFont="1" applyBorder="1" applyAlignment="1">
      <alignment vertical="center" wrapText="1" readingOrder="1"/>
    </xf>
    <xf numFmtId="164" fontId="61" fillId="2" borderId="17" xfId="2" applyFont="1" applyFill="1" applyBorder="1" applyAlignment="1">
      <alignment horizontal="center" vertical="center" wrapText="1" readingOrder="1"/>
    </xf>
    <xf numFmtId="164" fontId="61" fillId="2" borderId="26" xfId="2" applyFont="1" applyFill="1" applyBorder="1" applyAlignment="1">
      <alignment horizontal="center" vertical="center" wrapText="1" readingOrder="1"/>
    </xf>
    <xf numFmtId="164" fontId="62" fillId="0" borderId="20" xfId="2" applyFont="1" applyFill="1" applyBorder="1" applyAlignment="1">
      <alignment horizontal="center" vertical="center" wrapText="1" readingOrder="1"/>
    </xf>
    <xf numFmtId="0" fontId="60" fillId="0" borderId="8" xfId="1" applyFont="1" applyBorder="1" applyAlignment="1">
      <alignment vertical="center" wrapText="1" readingOrder="1"/>
    </xf>
    <xf numFmtId="0" fontId="67" fillId="0" borderId="21" xfId="1" applyFont="1" applyBorder="1" applyAlignment="1">
      <alignment horizontal="left" vertical="center" wrapText="1" readingOrder="1"/>
    </xf>
    <xf numFmtId="0" fontId="71" fillId="0" borderId="8" xfId="1" applyFont="1" applyBorder="1" applyAlignment="1">
      <alignment horizontal="left" vertical="center" wrapText="1" readingOrder="1"/>
    </xf>
    <xf numFmtId="0" fontId="67" fillId="0" borderId="49" xfId="1" applyFont="1" applyBorder="1" applyAlignment="1">
      <alignment horizontal="left" vertical="center" wrapText="1" readingOrder="1"/>
    </xf>
    <xf numFmtId="0" fontId="71" fillId="0" borderId="93" xfId="1" applyFont="1" applyBorder="1" applyAlignment="1">
      <alignment horizontal="left" vertical="center" wrapText="1" readingOrder="1"/>
    </xf>
    <xf numFmtId="0" fontId="67" fillId="0" borderId="8" xfId="1" applyFont="1" applyBorder="1" applyAlignment="1">
      <alignment horizontal="left" vertical="center" wrapText="1" readingOrder="1"/>
    </xf>
    <xf numFmtId="0" fontId="63" fillId="0" borderId="117" xfId="1" applyFont="1" applyBorder="1" applyAlignment="1">
      <alignment horizontal="center" vertical="center" wrapText="1"/>
    </xf>
    <xf numFmtId="164" fontId="61" fillId="0" borderId="84" xfId="2" applyFont="1" applyBorder="1" applyAlignment="1">
      <alignment horizontal="center" vertical="center" wrapText="1" readingOrder="1"/>
    </xf>
    <xf numFmtId="164" fontId="61" fillId="2" borderId="85" xfId="2" applyFont="1" applyFill="1" applyBorder="1" applyAlignment="1">
      <alignment horizontal="center" vertical="center" wrapText="1" readingOrder="1"/>
    </xf>
    <xf numFmtId="164" fontId="61" fillId="9" borderId="85" xfId="2" applyFont="1" applyFill="1" applyBorder="1" applyAlignment="1">
      <alignment horizontal="center" vertical="center" wrapText="1" readingOrder="1"/>
    </xf>
    <xf numFmtId="164" fontId="55" fillId="0" borderId="84" xfId="2" applyFont="1" applyFill="1" applyBorder="1" applyAlignment="1">
      <alignment horizontal="center" vertical="center" wrapText="1" readingOrder="1"/>
    </xf>
    <xf numFmtId="164" fontId="55" fillId="0" borderId="85" xfId="2" applyFont="1" applyFill="1" applyBorder="1" applyAlignment="1">
      <alignment horizontal="center" vertical="center" wrapText="1" readingOrder="1"/>
    </xf>
    <xf numFmtId="164" fontId="57" fillId="0" borderId="85" xfId="2" applyFont="1" applyFill="1" applyBorder="1" applyAlignment="1">
      <alignment horizontal="center" vertical="center" wrapText="1" readingOrder="1"/>
    </xf>
    <xf numFmtId="164" fontId="61" fillId="3" borderId="85" xfId="2" applyFont="1" applyFill="1" applyBorder="1" applyAlignment="1">
      <alignment horizontal="center" vertical="center" wrapText="1" readingOrder="1"/>
    </xf>
    <xf numFmtId="164" fontId="61" fillId="0" borderId="86" xfId="2" applyFont="1" applyBorder="1" applyAlignment="1">
      <alignment horizontal="center" vertical="center" wrapText="1" readingOrder="1"/>
    </xf>
    <xf numFmtId="164" fontId="61" fillId="2" borderId="86" xfId="2" applyFont="1" applyFill="1" applyBorder="1" applyAlignment="1">
      <alignment horizontal="center" vertical="center" wrapText="1" readingOrder="1"/>
    </xf>
    <xf numFmtId="164" fontId="57" fillId="0" borderId="86" xfId="2" applyFont="1" applyFill="1" applyBorder="1" applyAlignment="1">
      <alignment horizontal="center" vertical="center" wrapText="1" readingOrder="1"/>
    </xf>
    <xf numFmtId="164" fontId="61" fillId="3" borderId="86" xfId="2" applyFont="1" applyFill="1" applyBorder="1" applyAlignment="1">
      <alignment horizontal="center" vertical="center" wrapText="1" readingOrder="1"/>
    </xf>
    <xf numFmtId="0" fontId="92" fillId="0" borderId="0" xfId="0" applyFont="1">
      <alignment vertical="center"/>
    </xf>
    <xf numFmtId="0" fontId="54" fillId="0" borderId="9" xfId="14" applyFont="1" applyBorder="1" applyAlignment="1">
      <alignment horizontal="center" vertical="center"/>
    </xf>
    <xf numFmtId="0" fontId="54" fillId="13" borderId="127" xfId="14" quotePrefix="1" applyFont="1" applyFill="1" applyBorder="1" applyAlignment="1">
      <alignment horizontal="center" vertical="center"/>
    </xf>
    <xf numFmtId="0" fontId="54" fillId="0" borderId="0" xfId="14" applyFont="1" applyAlignment="1">
      <alignment horizontal="center" vertical="center"/>
    </xf>
    <xf numFmtId="0" fontId="54" fillId="13" borderId="9" xfId="14" applyFont="1" applyFill="1" applyBorder="1" applyAlignment="1">
      <alignment horizontal="center" vertical="center"/>
    </xf>
    <xf numFmtId="0" fontId="54" fillId="13" borderId="127" xfId="14" applyFont="1" applyFill="1" applyBorder="1" applyAlignment="1">
      <alignment horizontal="center" vertical="center"/>
    </xf>
    <xf numFmtId="0" fontId="54" fillId="0" borderId="4" xfId="14" applyFont="1" applyBorder="1" applyAlignment="1">
      <alignment horizontal="center" vertical="center"/>
    </xf>
    <xf numFmtId="0" fontId="94" fillId="13" borderId="10" xfId="14" applyFont="1" applyFill="1" applyBorder="1" applyAlignment="1">
      <alignment horizontal="center" vertical="center" wrapText="1" readingOrder="1"/>
    </xf>
    <xf numFmtId="0" fontId="54" fillId="13" borderId="128" xfId="14" applyFont="1" applyFill="1" applyBorder="1" applyAlignment="1">
      <alignment horizontal="center" vertical="center"/>
    </xf>
    <xf numFmtId="0" fontId="94" fillId="0" borderId="58" xfId="14" applyFont="1" applyBorder="1" applyAlignment="1">
      <alignment horizontal="center" vertical="center" wrapText="1" readingOrder="1"/>
    </xf>
    <xf numFmtId="0" fontId="94" fillId="0" borderId="10" xfId="14" applyFont="1" applyBorder="1" applyAlignment="1">
      <alignment horizontal="center" vertical="center" wrapText="1" readingOrder="1"/>
    </xf>
    <xf numFmtId="0" fontId="54" fillId="0" borderId="10" xfId="14" applyFont="1" applyBorder="1" applyAlignment="1">
      <alignment horizontal="center" vertical="center"/>
    </xf>
    <xf numFmtId="0" fontId="94" fillId="13" borderId="8" xfId="14" applyFont="1" applyFill="1" applyBorder="1" applyAlignment="1">
      <alignment horizontal="center" vertical="center" wrapText="1" readingOrder="1"/>
    </xf>
    <xf numFmtId="0" fontId="54" fillId="13" borderId="129" xfId="14" applyFont="1" applyFill="1" applyBorder="1" applyAlignment="1">
      <alignment horizontal="center" vertical="center"/>
    </xf>
    <xf numFmtId="0" fontId="94" fillId="0" borderId="6" xfId="14" applyFont="1" applyBorder="1" applyAlignment="1">
      <alignment horizontal="center" vertical="center" wrapText="1" readingOrder="1"/>
    </xf>
    <xf numFmtId="0" fontId="94" fillId="0" borderId="8" xfId="14" applyFont="1" applyBorder="1" applyAlignment="1">
      <alignment horizontal="center" vertical="center" wrapText="1" readingOrder="1"/>
    </xf>
    <xf numFmtId="0" fontId="54" fillId="0" borderId="8" xfId="14" applyFont="1" applyBorder="1" applyAlignment="1">
      <alignment horizontal="center" vertical="center"/>
    </xf>
    <xf numFmtId="0" fontId="88" fillId="13" borderId="8" xfId="14" applyFont="1" applyFill="1" applyBorder="1" applyAlignment="1" applyProtection="1">
      <alignment horizontal="center" vertical="center" shrinkToFit="1"/>
      <protection locked="0"/>
    </xf>
    <xf numFmtId="0" fontId="54" fillId="13" borderId="129" xfId="14" quotePrefix="1" applyFont="1" applyFill="1" applyBorder="1" applyAlignment="1">
      <alignment horizontal="center" vertical="center"/>
    </xf>
    <xf numFmtId="0" fontId="88" fillId="0" borderId="6" xfId="14" applyFont="1" applyBorder="1" applyAlignment="1" applyProtection="1">
      <alignment horizontal="center" vertical="center" shrinkToFit="1"/>
      <protection locked="0"/>
    </xf>
    <xf numFmtId="0" fontId="88" fillId="0" borderId="8" xfId="14" applyFont="1" applyBorder="1" applyAlignment="1" applyProtection="1">
      <alignment horizontal="center" vertical="center" shrinkToFit="1"/>
      <protection locked="0"/>
    </xf>
    <xf numFmtId="0" fontId="70" fillId="0" borderId="8" xfId="14" applyFont="1" applyBorder="1" applyAlignment="1" applyProtection="1">
      <alignment horizontal="center" vertical="center" shrinkToFit="1"/>
      <protection locked="0"/>
    </xf>
    <xf numFmtId="0" fontId="94" fillId="13" borderId="7" xfId="14" applyFont="1" applyFill="1" applyBorder="1" applyAlignment="1">
      <alignment horizontal="center" vertical="center" wrapText="1" readingOrder="1"/>
    </xf>
    <xf numFmtId="0" fontId="88" fillId="13" borderId="7" xfId="14" applyFont="1" applyFill="1" applyBorder="1" applyAlignment="1" applyProtection="1">
      <alignment horizontal="center" vertical="center" shrinkToFit="1"/>
      <protection locked="0"/>
    </xf>
    <xf numFmtId="0" fontId="54" fillId="13" borderId="130" xfId="14" quotePrefix="1" applyFont="1" applyFill="1" applyBorder="1" applyAlignment="1">
      <alignment horizontal="center" vertical="center"/>
    </xf>
    <xf numFmtId="0" fontId="88" fillId="0" borderId="120" xfId="14" applyFont="1" applyBorder="1" applyAlignment="1" applyProtection="1">
      <alignment horizontal="center" vertical="center" shrinkToFit="1"/>
      <protection locked="0"/>
    </xf>
    <xf numFmtId="0" fontId="88" fillId="0" borderId="7" xfId="14" applyFont="1" applyBorder="1" applyAlignment="1" applyProtection="1">
      <alignment horizontal="center" vertical="center" shrinkToFit="1"/>
      <protection locked="0"/>
    </xf>
    <xf numFmtId="0" fontId="70" fillId="0" borderId="7" xfId="14" applyFont="1" applyBorder="1" applyAlignment="1" applyProtection="1">
      <alignment horizontal="center" vertical="center" shrinkToFit="1"/>
      <protection locked="0"/>
    </xf>
    <xf numFmtId="0" fontId="54" fillId="13" borderId="10" xfId="14" applyFont="1" applyFill="1" applyBorder="1" applyAlignment="1">
      <alignment horizontal="center" vertical="center"/>
    </xf>
    <xf numFmtId="0" fontId="88" fillId="0" borderId="58" xfId="14" applyFont="1" applyBorder="1" applyAlignment="1" applyProtection="1">
      <alignment horizontal="center" vertical="center" shrinkToFit="1"/>
      <protection locked="0"/>
    </xf>
    <xf numFmtId="0" fontId="88" fillId="0" borderId="10" xfId="14" applyFont="1" applyBorder="1" applyAlignment="1" applyProtection="1">
      <alignment horizontal="center" vertical="center" shrinkToFit="1"/>
      <protection locked="0"/>
    </xf>
    <xf numFmtId="0" fontId="70" fillId="0" borderId="10" xfId="14" applyFont="1" applyBorder="1" applyAlignment="1" applyProtection="1">
      <alignment horizontal="center" vertical="center" shrinkToFit="1"/>
      <protection locked="0"/>
    </xf>
    <xf numFmtId="0" fontId="54" fillId="13" borderId="7" xfId="14" applyFont="1" applyFill="1" applyBorder="1" applyAlignment="1">
      <alignment horizontal="center" vertical="center"/>
    </xf>
    <xf numFmtId="0" fontId="54" fillId="13" borderId="130" xfId="14" applyFont="1" applyFill="1" applyBorder="1" applyAlignment="1">
      <alignment horizontal="center" vertical="center"/>
    </xf>
    <xf numFmtId="0" fontId="88" fillId="13" borderId="10" xfId="14" applyFont="1" applyFill="1" applyBorder="1" applyAlignment="1">
      <alignment horizontal="center" vertical="center" shrinkToFit="1"/>
    </xf>
    <xf numFmtId="0" fontId="54" fillId="13" borderId="128" xfId="14" quotePrefix="1" applyFont="1" applyFill="1" applyBorder="1" applyAlignment="1">
      <alignment horizontal="center" vertical="center"/>
    </xf>
    <xf numFmtId="0" fontId="88" fillId="0" borderId="58" xfId="14" applyFont="1" applyBorder="1" applyAlignment="1">
      <alignment horizontal="center" vertical="center" shrinkToFit="1"/>
    </xf>
    <xf numFmtId="0" fontId="88" fillId="0" borderId="10" xfId="14" applyFont="1" applyBorder="1" applyAlignment="1">
      <alignment horizontal="center" vertical="center" shrinkToFit="1"/>
    </xf>
    <xf numFmtId="0" fontId="88" fillId="13" borderId="8" xfId="14" applyFont="1" applyFill="1" applyBorder="1" applyAlignment="1">
      <alignment horizontal="center" vertical="center" shrinkToFit="1"/>
    </xf>
    <xf numFmtId="0" fontId="88" fillId="0" borderId="6" xfId="14" applyFont="1" applyBorder="1" applyAlignment="1">
      <alignment horizontal="center" vertical="center" shrinkToFit="1"/>
    </xf>
    <xf numFmtId="0" fontId="88" fillId="0" borderId="8" xfId="14" applyFont="1" applyBorder="1" applyAlignment="1">
      <alignment horizontal="center" vertical="center" shrinkToFit="1"/>
    </xf>
    <xf numFmtId="0" fontId="88" fillId="13" borderId="7" xfId="14" applyFont="1" applyFill="1" applyBorder="1" applyAlignment="1">
      <alignment horizontal="center" vertical="center" shrinkToFit="1"/>
    </xf>
    <xf numFmtId="0" fontId="88" fillId="0" borderId="120" xfId="14" applyFont="1" applyBorder="1" applyAlignment="1">
      <alignment horizontal="center" vertical="center" shrinkToFit="1"/>
    </xf>
    <xf numFmtId="0" fontId="88" fillId="0" borderId="7" xfId="14" applyFont="1" applyBorder="1" applyAlignment="1">
      <alignment horizontal="center" vertical="center" shrinkToFit="1"/>
    </xf>
    <xf numFmtId="0" fontId="54" fillId="0" borderId="7" xfId="14" applyFont="1" applyBorder="1" applyAlignment="1">
      <alignment horizontal="center" vertical="center"/>
    </xf>
    <xf numFmtId="0" fontId="94" fillId="13" borderId="9" xfId="14" applyFont="1" applyFill="1" applyBorder="1" applyAlignment="1">
      <alignment horizontal="center" vertical="center" wrapText="1" readingOrder="1"/>
    </xf>
    <xf numFmtId="0" fontId="94" fillId="0" borderId="4" xfId="14" applyFont="1" applyBorder="1" applyAlignment="1">
      <alignment horizontal="center" vertical="center" wrapText="1" readingOrder="1"/>
    </xf>
    <xf numFmtId="0" fontId="94" fillId="0" borderId="9" xfId="14" applyFont="1" applyBorder="1" applyAlignment="1">
      <alignment horizontal="center" vertical="center" wrapText="1" readingOrder="1"/>
    </xf>
    <xf numFmtId="0" fontId="70" fillId="0" borderId="9" xfId="14" applyFont="1" applyBorder="1" applyAlignment="1" applyProtection="1">
      <alignment horizontal="center" vertical="center" shrinkToFit="1"/>
      <protection locked="0"/>
    </xf>
    <xf numFmtId="0" fontId="36" fillId="0" borderId="27" xfId="1" applyFont="1" applyBorder="1" applyAlignment="1">
      <alignment horizontal="left" vertical="center" wrapText="1" readingOrder="1"/>
    </xf>
    <xf numFmtId="0" fontId="36" fillId="0" borderId="55" xfId="1" applyFont="1" applyBorder="1" applyAlignment="1">
      <alignment horizontal="left" vertical="center" wrapText="1" readingOrder="1"/>
    </xf>
    <xf numFmtId="0" fontId="36" fillId="0" borderId="56" xfId="1" applyFont="1" applyBorder="1" applyAlignment="1">
      <alignment horizontal="left" vertical="center" wrapText="1" readingOrder="1"/>
    </xf>
    <xf numFmtId="0" fontId="36" fillId="0" borderId="55" xfId="1" applyFont="1" applyBorder="1" applyAlignment="1">
      <alignment horizontal="center" vertical="center" wrapText="1"/>
    </xf>
    <xf numFmtId="164" fontId="61" fillId="0" borderId="54" xfId="2" applyFont="1" applyBorder="1" applyAlignment="1">
      <alignment horizontal="center" vertical="center" wrapText="1" readingOrder="1"/>
    </xf>
    <xf numFmtId="164" fontId="61" fillId="2" borderId="53" xfId="2" applyFont="1" applyFill="1" applyBorder="1" applyAlignment="1">
      <alignment horizontal="center" vertical="center" wrapText="1" readingOrder="1"/>
    </xf>
    <xf numFmtId="164" fontId="55" fillId="0" borderId="52" xfId="2" applyFont="1" applyFill="1" applyBorder="1" applyAlignment="1">
      <alignment horizontal="center" vertical="center" wrapText="1" readingOrder="1"/>
    </xf>
    <xf numFmtId="164" fontId="57" fillId="0" borderId="57" xfId="2" applyFont="1" applyFill="1" applyBorder="1" applyAlignment="1">
      <alignment horizontal="center" vertical="center" wrapText="1" readingOrder="1"/>
    </xf>
    <xf numFmtId="164" fontId="61" fillId="5" borderId="131" xfId="2" applyFont="1" applyFill="1" applyBorder="1" applyAlignment="1">
      <alignment horizontal="center" vertical="center" wrapText="1" readingOrder="1"/>
    </xf>
    <xf numFmtId="164" fontId="61" fillId="2" borderId="28" xfId="2" applyFont="1" applyFill="1" applyBorder="1" applyAlignment="1">
      <alignment horizontal="center" vertical="center" wrapText="1" readingOrder="1"/>
    </xf>
    <xf numFmtId="164" fontId="61" fillId="3" borderId="57" xfId="2" applyFont="1" applyFill="1" applyBorder="1" applyAlignment="1">
      <alignment horizontal="center" vertical="center" wrapText="1" readingOrder="1"/>
    </xf>
    <xf numFmtId="164" fontId="61" fillId="5" borderId="53" xfId="2" applyFont="1" applyFill="1" applyBorder="1" applyAlignment="1">
      <alignment horizontal="center" vertical="center" wrapText="1" readingOrder="1"/>
    </xf>
    <xf numFmtId="164" fontId="61" fillId="3" borderId="52" xfId="2" applyFont="1" applyFill="1" applyBorder="1" applyAlignment="1">
      <alignment horizontal="center" vertical="center" wrapText="1" readingOrder="1"/>
    </xf>
    <xf numFmtId="164" fontId="61" fillId="5" borderId="27" xfId="2" applyFont="1" applyFill="1" applyBorder="1" applyAlignment="1">
      <alignment horizontal="center" vertical="center" wrapText="1" readingOrder="1"/>
    </xf>
    <xf numFmtId="164" fontId="55" fillId="0" borderId="13" xfId="2" applyFont="1" applyFill="1" applyBorder="1" applyAlignment="1">
      <alignment horizontal="center" vertical="center" wrapText="1" readingOrder="1"/>
    </xf>
    <xf numFmtId="0" fontId="59" fillId="0" borderId="135" xfId="1" applyFont="1" applyBorder="1" applyAlignment="1">
      <alignment horizontal="center" vertical="center" wrapText="1"/>
    </xf>
    <xf numFmtId="164" fontId="61" fillId="0" borderId="137" xfId="2" applyFont="1" applyBorder="1" applyAlignment="1">
      <alignment horizontal="center" vertical="center" wrapText="1" readingOrder="1"/>
    </xf>
    <xf numFmtId="164" fontId="61" fillId="2" borderId="138" xfId="2" applyFont="1" applyFill="1" applyBorder="1" applyAlignment="1">
      <alignment horizontal="center" vertical="center" wrapText="1" readingOrder="1"/>
    </xf>
    <xf numFmtId="164" fontId="61" fillId="9" borderId="138" xfId="2" applyFont="1" applyFill="1" applyBorder="1" applyAlignment="1">
      <alignment horizontal="center" vertical="center" wrapText="1" readingOrder="1"/>
    </xf>
    <xf numFmtId="164" fontId="61" fillId="0" borderId="140" xfId="2" applyFont="1" applyBorder="1" applyAlignment="1">
      <alignment horizontal="center" vertical="center" wrapText="1" readingOrder="1"/>
    </xf>
    <xf numFmtId="164" fontId="61" fillId="2" borderId="140" xfId="2" applyFont="1" applyFill="1" applyBorder="1" applyAlignment="1">
      <alignment horizontal="center" vertical="center" wrapText="1" readingOrder="1"/>
    </xf>
    <xf numFmtId="164" fontId="55" fillId="0" borderId="138" xfId="2" applyFont="1" applyFill="1" applyBorder="1" applyAlignment="1">
      <alignment horizontal="center" vertical="center" wrapText="1" readingOrder="1"/>
    </xf>
    <xf numFmtId="164" fontId="57" fillId="0" borderId="138" xfId="2" applyFont="1" applyFill="1" applyBorder="1" applyAlignment="1">
      <alignment horizontal="center" vertical="center" wrapText="1" readingOrder="1"/>
    </xf>
    <xf numFmtId="164" fontId="61" fillId="3" borderId="138" xfId="2" applyFont="1" applyFill="1" applyBorder="1" applyAlignment="1">
      <alignment horizontal="center" vertical="center" wrapText="1" readingOrder="1"/>
    </xf>
    <xf numFmtId="164" fontId="61" fillId="5" borderId="141" xfId="2" applyFont="1" applyFill="1" applyBorder="1" applyAlignment="1">
      <alignment horizontal="center" vertical="center" wrapText="1" readingOrder="1"/>
    </xf>
    <xf numFmtId="164" fontId="55" fillId="0" borderId="137" xfId="2" applyFont="1" applyFill="1" applyBorder="1" applyAlignment="1">
      <alignment horizontal="center" vertical="center" wrapText="1" readingOrder="1"/>
    </xf>
    <xf numFmtId="164" fontId="57" fillId="0" borderId="140" xfId="2" applyFont="1" applyFill="1" applyBorder="1" applyAlignment="1">
      <alignment horizontal="center" vertical="center" wrapText="1" readingOrder="1"/>
    </xf>
    <xf numFmtId="164" fontId="61" fillId="3" borderId="140" xfId="2" applyFont="1" applyFill="1" applyBorder="1" applyAlignment="1">
      <alignment horizontal="center" vertical="center" wrapText="1" readingOrder="1"/>
    </xf>
    <xf numFmtId="164" fontId="61" fillId="5" borderId="142" xfId="2" applyFont="1" applyFill="1" applyBorder="1" applyAlignment="1">
      <alignment horizontal="center" vertical="center" wrapText="1" readingOrder="1"/>
    </xf>
    <xf numFmtId="164" fontId="61" fillId="0" borderId="70" xfId="2" applyFont="1" applyBorder="1" applyAlignment="1">
      <alignment horizontal="center" vertical="center" wrapText="1" readingOrder="1"/>
    </xf>
    <xf numFmtId="164" fontId="61" fillId="2" borderId="70" xfId="2" applyFont="1" applyFill="1" applyBorder="1" applyAlignment="1">
      <alignment horizontal="center" vertical="center" wrapText="1" readingOrder="1"/>
    </xf>
    <xf numFmtId="0" fontId="63" fillId="0" borderId="109" xfId="1" applyFont="1" applyBorder="1" applyAlignment="1">
      <alignment horizontal="center" vertical="center" wrapText="1"/>
    </xf>
    <xf numFmtId="164" fontId="61" fillId="2" borderId="64" xfId="2" applyFont="1" applyFill="1" applyBorder="1" applyAlignment="1">
      <alignment horizontal="center" vertical="center" wrapText="1" readingOrder="1"/>
    </xf>
    <xf numFmtId="164" fontId="61" fillId="9" borderId="64" xfId="2" applyFont="1" applyFill="1" applyBorder="1" applyAlignment="1">
      <alignment horizontal="center" vertical="center" wrapText="1" readingOrder="1"/>
    </xf>
    <xf numFmtId="164" fontId="61" fillId="0" borderId="144" xfId="2" applyFont="1" applyBorder="1" applyAlignment="1">
      <alignment horizontal="center" vertical="center" wrapText="1" readingOrder="1"/>
    </xf>
    <xf numFmtId="164" fontId="61" fillId="2" borderId="144" xfId="2" applyFont="1" applyFill="1" applyBorder="1" applyAlignment="1">
      <alignment horizontal="center" vertical="center" wrapText="1" readingOrder="1"/>
    </xf>
    <xf numFmtId="164" fontId="61" fillId="5" borderId="121" xfId="2" applyFont="1" applyFill="1" applyBorder="1" applyAlignment="1">
      <alignment horizontal="center" vertical="center" wrapText="1" readingOrder="1"/>
    </xf>
    <xf numFmtId="164" fontId="55" fillId="0" borderId="38" xfId="2" applyFont="1" applyFill="1" applyBorder="1" applyAlignment="1">
      <alignment horizontal="center" vertical="center" wrapText="1" readingOrder="1"/>
    </xf>
    <xf numFmtId="164" fontId="57" fillId="0" borderId="50" xfId="2" applyFont="1" applyFill="1" applyBorder="1" applyAlignment="1">
      <alignment horizontal="center" vertical="center" wrapText="1" readingOrder="1"/>
    </xf>
    <xf numFmtId="164" fontId="55" fillId="0" borderId="145" xfId="2" applyFont="1" applyFill="1" applyBorder="1" applyAlignment="1">
      <alignment horizontal="center" vertical="center" wrapText="1" readingOrder="1"/>
    </xf>
    <xf numFmtId="164" fontId="57" fillId="0" borderId="145" xfId="2" applyFont="1" applyFill="1" applyBorder="1" applyAlignment="1">
      <alignment horizontal="center" vertical="center" wrapText="1" readingOrder="1"/>
    </xf>
    <xf numFmtId="164" fontId="61" fillId="3" borderId="145" xfId="2" applyFont="1" applyFill="1" applyBorder="1" applyAlignment="1">
      <alignment horizontal="center" vertical="center" wrapText="1" readingOrder="1"/>
    </xf>
    <xf numFmtId="164" fontId="61" fillId="5" borderId="146" xfId="2" applyFont="1" applyFill="1" applyBorder="1" applyAlignment="1">
      <alignment horizontal="center" vertical="center" wrapText="1" readingOrder="1"/>
    </xf>
    <xf numFmtId="164" fontId="55" fillId="0" borderId="147" xfId="2" applyFont="1" applyFill="1" applyBorder="1" applyAlignment="1">
      <alignment horizontal="center" vertical="center" wrapText="1" readingOrder="1"/>
    </xf>
    <xf numFmtId="164" fontId="57" fillId="0" borderId="148" xfId="2" applyFont="1" applyFill="1" applyBorder="1" applyAlignment="1">
      <alignment horizontal="center" vertical="center" wrapText="1" readingOrder="1"/>
    </xf>
    <xf numFmtId="164" fontId="61" fillId="3" borderId="148" xfId="2" applyFont="1" applyFill="1" applyBorder="1" applyAlignment="1">
      <alignment horizontal="center" vertical="center" wrapText="1" readingOrder="1"/>
    </xf>
    <xf numFmtId="164" fontId="61" fillId="5" borderId="149" xfId="2" applyFont="1" applyFill="1" applyBorder="1" applyAlignment="1">
      <alignment horizontal="center" vertical="center" wrapText="1" readingOrder="1"/>
    </xf>
    <xf numFmtId="164" fontId="36" fillId="0" borderId="22" xfId="4" applyFont="1" applyFill="1" applyBorder="1" applyAlignment="1">
      <alignment horizontal="left" vertical="center" wrapText="1" readingOrder="1"/>
    </xf>
    <xf numFmtId="0" fontId="36" fillId="0" borderId="27" xfId="1" applyFont="1" applyBorder="1" applyAlignment="1">
      <alignment horizontal="center" vertical="center" wrapText="1" readingOrder="1"/>
    </xf>
    <xf numFmtId="0" fontId="71" fillId="0" borderId="27" xfId="1" applyFont="1" applyBorder="1" applyAlignment="1">
      <alignment horizontal="left" vertical="center" wrapText="1" readingOrder="1"/>
    </xf>
    <xf numFmtId="0" fontId="36" fillId="0" borderId="55" xfId="1" applyFont="1" applyBorder="1" applyAlignment="1">
      <alignment horizontal="center" vertical="center" wrapText="1" readingOrder="1"/>
    </xf>
    <xf numFmtId="0" fontId="59" fillId="0" borderId="27" xfId="1" applyFont="1" applyBorder="1" applyAlignment="1">
      <alignment horizontal="center" vertical="center" wrapText="1"/>
    </xf>
    <xf numFmtId="164" fontId="36" fillId="0" borderId="52" xfId="4" applyFont="1" applyFill="1" applyBorder="1" applyAlignment="1">
      <alignment horizontal="left" vertical="center" wrapText="1" readingOrder="1"/>
    </xf>
    <xf numFmtId="0" fontId="36" fillId="3" borderId="150" xfId="1" applyFont="1" applyFill="1" applyBorder="1" applyAlignment="1">
      <alignment horizontal="center" vertical="center" wrapText="1" readingOrder="1"/>
    </xf>
    <xf numFmtId="164" fontId="57" fillId="4" borderId="24" xfId="2" applyFont="1" applyFill="1" applyBorder="1" applyAlignment="1">
      <alignment horizontal="center" vertical="center" wrapText="1" readingOrder="1"/>
    </xf>
    <xf numFmtId="164" fontId="57" fillId="4" borderId="26" xfId="2" applyFont="1" applyFill="1" applyBorder="1" applyAlignment="1">
      <alignment horizontal="center" vertical="center" wrapText="1" readingOrder="1"/>
    </xf>
    <xf numFmtId="164" fontId="56" fillId="0" borderId="26" xfId="2" applyFont="1" applyFill="1" applyBorder="1" applyAlignment="1">
      <alignment horizontal="center" vertical="center" wrapText="1" readingOrder="1"/>
    </xf>
    <xf numFmtId="164" fontId="61" fillId="0" borderId="88" xfId="2" applyFont="1" applyFill="1" applyBorder="1" applyAlignment="1">
      <alignment horizontal="center" vertical="center" wrapText="1" readingOrder="1"/>
    </xf>
    <xf numFmtId="0" fontId="59" fillId="3" borderId="8" xfId="1" applyFont="1" applyFill="1" applyBorder="1" applyAlignment="1">
      <alignment horizontal="left" vertical="center" readingOrder="1"/>
    </xf>
    <xf numFmtId="0" fontId="55" fillId="0" borderId="8" xfId="1" applyFont="1" applyBorder="1" applyAlignment="1">
      <alignment vertical="center" wrapText="1" readingOrder="1"/>
    </xf>
    <xf numFmtId="0" fontId="57" fillId="0" borderId="8" xfId="1" applyFont="1" applyBorder="1" applyAlignment="1">
      <alignment horizontal="center" vertical="center" readingOrder="1"/>
    </xf>
    <xf numFmtId="0" fontId="61" fillId="0" borderId="8" xfId="1" applyFont="1" applyBorder="1" applyAlignment="1">
      <alignment vertical="center" readingOrder="1"/>
    </xf>
    <xf numFmtId="0" fontId="55" fillId="0" borderId="30" xfId="1" applyFont="1" applyBorder="1" applyAlignment="1">
      <alignment horizontal="center" vertical="center" wrapText="1" readingOrder="1"/>
    </xf>
    <xf numFmtId="164" fontId="61" fillId="5" borderId="126" xfId="2" applyFont="1" applyFill="1" applyBorder="1" applyAlignment="1">
      <alignment horizontal="center" vertical="center" wrapText="1" readingOrder="1"/>
    </xf>
    <xf numFmtId="164" fontId="61" fillId="3" borderId="84" xfId="2" applyFont="1" applyFill="1" applyBorder="1" applyAlignment="1">
      <alignment horizontal="center" vertical="center" wrapText="1" readingOrder="1"/>
    </xf>
    <xf numFmtId="164" fontId="61" fillId="5" borderId="66" xfId="2" applyFont="1" applyFill="1" applyBorder="1" applyAlignment="1">
      <alignment horizontal="center" vertical="center" wrapText="1" readingOrder="1"/>
    </xf>
    <xf numFmtId="43" fontId="57" fillId="0" borderId="16" xfId="5" applyFont="1" applyFill="1" applyBorder="1" applyAlignment="1">
      <alignment horizontal="center" vertical="center" wrapText="1" readingOrder="1"/>
    </xf>
    <xf numFmtId="0" fontId="89" fillId="0" borderId="8" xfId="1" applyFont="1" applyBorder="1" applyAlignment="1">
      <alignment horizontal="center" vertical="center" wrapText="1" readingOrder="1"/>
    </xf>
    <xf numFmtId="0" fontId="13" fillId="0" borderId="66" xfId="0" applyFont="1" applyBorder="1" applyAlignment="1">
      <alignment horizontal="center" vertical="center"/>
    </xf>
    <xf numFmtId="164" fontId="61" fillId="5" borderId="91" xfId="2" applyFont="1" applyFill="1" applyBorder="1" applyAlignment="1">
      <alignment horizontal="center" vertical="center" wrapText="1" readingOrder="1"/>
    </xf>
    <xf numFmtId="0" fontId="58" fillId="0" borderId="8" xfId="1" applyFont="1" applyBorder="1" applyAlignment="1">
      <alignment horizontal="left" vertical="center" wrapText="1" readingOrder="1"/>
    </xf>
    <xf numFmtId="164" fontId="37" fillId="0" borderId="84" xfId="2" applyFont="1" applyFill="1" applyBorder="1" applyAlignment="1">
      <alignment horizontal="center" vertical="center" wrapText="1" readingOrder="1"/>
    </xf>
    <xf numFmtId="164" fontId="72" fillId="0" borderId="0" xfId="0" applyNumberFormat="1" applyFont="1">
      <alignment vertical="center"/>
    </xf>
    <xf numFmtId="0" fontId="95" fillId="0" borderId="8" xfId="1" applyFont="1" applyBorder="1" applyAlignment="1">
      <alignment horizontal="center" vertical="center" wrapText="1" readingOrder="1"/>
    </xf>
    <xf numFmtId="0" fontId="78" fillId="0" borderId="9" xfId="1" applyFont="1" applyBorder="1" applyAlignment="1">
      <alignment horizontal="center" vertical="center" wrapText="1"/>
    </xf>
    <xf numFmtId="0" fontId="95" fillId="0" borderId="8" xfId="1" applyFont="1" applyBorder="1" applyAlignment="1">
      <alignment horizontal="center" vertical="center" readingOrder="1"/>
    </xf>
    <xf numFmtId="0" fontId="61" fillId="3" borderId="58" xfId="1" applyFont="1" applyFill="1" applyBorder="1" applyAlignment="1">
      <alignment horizontal="center" vertical="center" wrapText="1" readingOrder="1"/>
    </xf>
    <xf numFmtId="0" fontId="61" fillId="3" borderId="6" xfId="1" applyFont="1" applyFill="1" applyBorder="1" applyAlignment="1">
      <alignment horizontal="center" vertical="center" wrapText="1" readingOrder="1"/>
    </xf>
    <xf numFmtId="0" fontId="61" fillId="3" borderId="56" xfId="1" applyFont="1" applyFill="1" applyBorder="1" applyAlignment="1">
      <alignment horizontal="center" vertical="center" wrapText="1" readingOrder="1"/>
    </xf>
    <xf numFmtId="0" fontId="88" fillId="0" borderId="10" xfId="0" applyFont="1" applyBorder="1" applyAlignment="1">
      <alignment horizontal="center" vertical="center"/>
    </xf>
    <xf numFmtId="0" fontId="88" fillId="0" borderId="0" xfId="0" applyFont="1">
      <alignment vertical="center"/>
    </xf>
    <xf numFmtId="0" fontId="88" fillId="0" borderId="9" xfId="0" applyFont="1" applyBorder="1" applyAlignment="1">
      <alignment horizontal="center" vertical="center"/>
    </xf>
    <xf numFmtId="0" fontId="88" fillId="0" borderId="9" xfId="0" applyFont="1" applyBorder="1" applyAlignment="1">
      <alignment horizontal="center" vertical="center" wrapText="1"/>
    </xf>
    <xf numFmtId="0" fontId="88" fillId="5" borderId="9" xfId="0" applyFont="1" applyFill="1" applyBorder="1" applyAlignment="1">
      <alignment horizontal="center" vertical="center" wrapText="1"/>
    </xf>
    <xf numFmtId="0" fontId="88" fillId="5" borderId="9" xfId="0" applyFont="1" applyFill="1" applyBorder="1" applyAlignment="1">
      <alignment horizontal="center" vertical="center"/>
    </xf>
    <xf numFmtId="9" fontId="88" fillId="5" borderId="9" xfId="9" applyFont="1" applyFill="1" applyBorder="1" applyAlignment="1">
      <alignment horizontal="center" vertical="center" wrapText="1"/>
    </xf>
    <xf numFmtId="165" fontId="88" fillId="5" borderId="9" xfId="5" applyNumberFormat="1" applyFont="1" applyFill="1" applyBorder="1" applyAlignment="1">
      <alignment horizontal="center" vertical="center" wrapText="1"/>
    </xf>
    <xf numFmtId="0" fontId="88" fillId="2" borderId="9" xfId="0" applyFont="1" applyFill="1" applyBorder="1" applyAlignment="1">
      <alignment horizontal="center" vertical="center" wrapText="1"/>
    </xf>
    <xf numFmtId="0" fontId="88" fillId="2" borderId="9" xfId="0" applyFont="1" applyFill="1" applyBorder="1" applyAlignment="1">
      <alignment horizontal="center" vertical="center"/>
    </xf>
    <xf numFmtId="0" fontId="88" fillId="8" borderId="9" xfId="0" applyFont="1" applyFill="1" applyBorder="1" applyAlignment="1">
      <alignment horizontal="center" vertical="center" wrapText="1"/>
    </xf>
    <xf numFmtId="0" fontId="88" fillId="8" borderId="9" xfId="0" applyFont="1" applyFill="1" applyBorder="1" applyAlignment="1">
      <alignment horizontal="center" vertical="center"/>
    </xf>
    <xf numFmtId="38" fontId="88" fillId="0" borderId="9" xfId="0" applyNumberFormat="1" applyFont="1" applyBorder="1">
      <alignment vertical="center"/>
    </xf>
    <xf numFmtId="9" fontId="88" fillId="0" borderId="9" xfId="9" applyFont="1" applyFill="1" applyBorder="1">
      <alignment vertical="center"/>
    </xf>
    <xf numFmtId="1" fontId="88" fillId="0" borderId="9" xfId="0" applyNumberFormat="1" applyFont="1" applyBorder="1">
      <alignment vertical="center"/>
    </xf>
    <xf numFmtId="165" fontId="88" fillId="0" borderId="9" xfId="5" applyNumberFormat="1" applyFont="1" applyBorder="1" applyAlignment="1">
      <alignment vertical="center"/>
    </xf>
    <xf numFmtId="0" fontId="88" fillId="0" borderId="9" xfId="0" applyFont="1" applyBorder="1">
      <alignment vertical="center"/>
    </xf>
    <xf numFmtId="9" fontId="88" fillId="0" borderId="9" xfId="9" applyFont="1" applyBorder="1">
      <alignment vertical="center"/>
    </xf>
    <xf numFmtId="9" fontId="88" fillId="0" borderId="9" xfId="0" quotePrefix="1" applyNumberFormat="1" applyFont="1" applyBorder="1">
      <alignment vertical="center"/>
    </xf>
    <xf numFmtId="0" fontId="88" fillId="0" borderId="9" xfId="0" quotePrefix="1" applyFont="1" applyBorder="1">
      <alignment vertical="center"/>
    </xf>
    <xf numFmtId="0" fontId="96" fillId="0" borderId="9" xfId="0" applyFont="1" applyBorder="1" applyAlignment="1">
      <alignment horizontal="center" vertical="center"/>
    </xf>
    <xf numFmtId="0" fontId="97" fillId="0" borderId="9" xfId="0" applyFont="1" applyBorder="1" applyAlignment="1">
      <alignment horizontal="center" vertical="center"/>
    </xf>
    <xf numFmtId="38" fontId="96" fillId="0" borderId="9" xfId="0" applyNumberFormat="1" applyFont="1" applyBorder="1">
      <alignment vertical="center"/>
    </xf>
    <xf numFmtId="9" fontId="96" fillId="0" borderId="9" xfId="9" applyFont="1" applyFill="1" applyBorder="1">
      <alignment vertical="center"/>
    </xf>
    <xf numFmtId="1" fontId="96" fillId="0" borderId="9" xfId="0" applyNumberFormat="1" applyFont="1" applyBorder="1">
      <alignment vertical="center"/>
    </xf>
    <xf numFmtId="0" fontId="96" fillId="0" borderId="9" xfId="0" applyFont="1" applyBorder="1">
      <alignment vertical="center"/>
    </xf>
    <xf numFmtId="9" fontId="96" fillId="0" borderId="9" xfId="9" applyFont="1" applyBorder="1">
      <alignment vertical="center"/>
    </xf>
    <xf numFmtId="9" fontId="97" fillId="0" borderId="9" xfId="9" applyFont="1" applyFill="1" applyBorder="1">
      <alignment vertical="center"/>
    </xf>
    <xf numFmtId="9" fontId="96" fillId="0" borderId="9" xfId="0" quotePrefix="1" applyNumberFormat="1" applyFont="1" applyBorder="1">
      <alignment vertical="center"/>
    </xf>
    <xf numFmtId="0" fontId="96" fillId="0" borderId="9" xfId="0" quotePrefix="1" applyFont="1" applyBorder="1">
      <alignment vertical="center"/>
    </xf>
    <xf numFmtId="0" fontId="97" fillId="0" borderId="9" xfId="0" applyFont="1" applyBorder="1">
      <alignment vertical="center"/>
    </xf>
    <xf numFmtId="38" fontId="97" fillId="0" borderId="9" xfId="0" applyNumberFormat="1" applyFont="1" applyBorder="1">
      <alignment vertical="center"/>
    </xf>
    <xf numFmtId="0" fontId="96" fillId="0" borderId="0" xfId="0" applyFont="1">
      <alignment vertical="center"/>
    </xf>
    <xf numFmtId="9" fontId="97" fillId="0" borderId="9" xfId="0" quotePrefix="1" applyNumberFormat="1" applyFont="1" applyBorder="1">
      <alignment vertical="center"/>
    </xf>
    <xf numFmtId="0" fontId="97" fillId="0" borderId="9" xfId="0" quotePrefix="1" applyFont="1" applyBorder="1">
      <alignment vertical="center"/>
    </xf>
    <xf numFmtId="0" fontId="97" fillId="0" borderId="0" xfId="0" applyFont="1">
      <alignment vertical="center"/>
    </xf>
    <xf numFmtId="0" fontId="88" fillId="13" borderId="9" xfId="0" applyFont="1" applyFill="1" applyBorder="1" applyAlignment="1">
      <alignment horizontal="center" vertical="center"/>
    </xf>
    <xf numFmtId="38" fontId="88" fillId="13" borderId="9" xfId="0" applyNumberFormat="1" applyFont="1" applyFill="1" applyBorder="1">
      <alignment vertical="center"/>
    </xf>
    <xf numFmtId="9" fontId="88" fillId="13" borderId="9" xfId="9" applyFont="1" applyFill="1" applyBorder="1">
      <alignment vertical="center"/>
    </xf>
    <xf numFmtId="1" fontId="88" fillId="13" borderId="9" xfId="0" applyNumberFormat="1" applyFont="1" applyFill="1" applyBorder="1">
      <alignment vertical="center"/>
    </xf>
    <xf numFmtId="0" fontId="88" fillId="13" borderId="9" xfId="0" applyFont="1" applyFill="1" applyBorder="1">
      <alignment vertical="center"/>
    </xf>
    <xf numFmtId="167" fontId="88" fillId="13" borderId="9" xfId="0" quotePrefix="1" applyNumberFormat="1" applyFont="1" applyFill="1" applyBorder="1">
      <alignment vertical="center"/>
    </xf>
    <xf numFmtId="9" fontId="88" fillId="13" borderId="9" xfId="9" quotePrefix="1" applyFont="1" applyFill="1" applyBorder="1">
      <alignment vertical="center"/>
    </xf>
    <xf numFmtId="9" fontId="88" fillId="13" borderId="9" xfId="0" quotePrefix="1" applyNumberFormat="1" applyFont="1" applyFill="1" applyBorder="1">
      <alignment vertical="center"/>
    </xf>
    <xf numFmtId="9" fontId="88" fillId="13" borderId="9" xfId="0" applyNumberFormat="1" applyFont="1" applyFill="1" applyBorder="1">
      <alignment vertical="center"/>
    </xf>
    <xf numFmtId="0" fontId="54" fillId="13" borderId="0" xfId="0" applyFont="1" applyFill="1">
      <alignment vertical="center"/>
    </xf>
    <xf numFmtId="0" fontId="88" fillId="13" borderId="9" xfId="0" quotePrefix="1" applyFont="1" applyFill="1" applyBorder="1">
      <alignment vertical="center"/>
    </xf>
    <xf numFmtId="9" fontId="54" fillId="0" borderId="0" xfId="9" applyFont="1">
      <alignment vertical="center"/>
    </xf>
    <xf numFmtId="165" fontId="54" fillId="0" borderId="0" xfId="5" applyNumberFormat="1" applyFont="1" applyAlignment="1">
      <alignment vertical="center"/>
    </xf>
    <xf numFmtId="0" fontId="91" fillId="0" borderId="0" xfId="0" applyFont="1">
      <alignment vertical="center"/>
    </xf>
    <xf numFmtId="164" fontId="61" fillId="2" borderId="158" xfId="2" applyFont="1" applyFill="1" applyBorder="1" applyAlignment="1">
      <alignment horizontal="center" vertical="center" wrapText="1" readingOrder="1"/>
    </xf>
    <xf numFmtId="164" fontId="61" fillId="2" borderId="6" xfId="2" applyFont="1" applyFill="1" applyBorder="1" applyAlignment="1">
      <alignment horizontal="center" vertical="center" wrapText="1" readingOrder="1"/>
    </xf>
    <xf numFmtId="164" fontId="61" fillId="2" borderId="159" xfId="2" applyFont="1" applyFill="1" applyBorder="1" applyAlignment="1">
      <alignment horizontal="center" vertical="center" wrapText="1" readingOrder="1"/>
    </xf>
    <xf numFmtId="164" fontId="61" fillId="2" borderId="96" xfId="2" applyFont="1" applyFill="1" applyBorder="1" applyAlignment="1">
      <alignment horizontal="center" vertical="center" wrapText="1" readingOrder="1"/>
    </xf>
    <xf numFmtId="164" fontId="61" fillId="2" borderId="56" xfId="2" applyFont="1" applyFill="1" applyBorder="1" applyAlignment="1">
      <alignment horizontal="center" vertical="center" wrapText="1" readingOrder="1"/>
    </xf>
    <xf numFmtId="164" fontId="61" fillId="2" borderId="160" xfId="2" applyFont="1" applyFill="1" applyBorder="1" applyAlignment="1">
      <alignment horizontal="center" vertical="center" wrapText="1" readingOrder="1"/>
    </xf>
    <xf numFmtId="164" fontId="61" fillId="2" borderId="120" xfId="2" applyFont="1" applyFill="1" applyBorder="1" applyAlignment="1">
      <alignment horizontal="center" vertical="center" wrapText="1" readingOrder="1"/>
    </xf>
    <xf numFmtId="164" fontId="58" fillId="3" borderId="23" xfId="2" applyFont="1" applyFill="1" applyBorder="1" applyAlignment="1">
      <alignment horizontal="center" vertical="center" wrapText="1" readingOrder="1"/>
    </xf>
    <xf numFmtId="164" fontId="58" fillId="3" borderId="75" xfId="2" applyFont="1" applyFill="1" applyBorder="1" applyAlignment="1">
      <alignment horizontal="center" vertical="center" wrapText="1" readingOrder="1"/>
    </xf>
    <xf numFmtId="164" fontId="58" fillId="3" borderId="69" xfId="2" applyFont="1" applyFill="1" applyBorder="1" applyAlignment="1">
      <alignment horizontal="center" vertical="center" wrapText="1" readingOrder="1"/>
    </xf>
    <xf numFmtId="0" fontId="36" fillId="0" borderId="160" xfId="1" applyFont="1" applyBorder="1" applyAlignment="1">
      <alignment horizontal="left" vertical="center" wrapText="1" readingOrder="1"/>
    </xf>
    <xf numFmtId="0" fontId="36" fillId="0" borderId="74" xfId="1" applyFont="1" applyBorder="1" applyAlignment="1">
      <alignment horizontal="left" vertical="center" wrapText="1" readingOrder="1"/>
    </xf>
    <xf numFmtId="0" fontId="36" fillId="0" borderId="120" xfId="1" applyFont="1" applyBorder="1" applyAlignment="1">
      <alignment horizontal="left" vertical="center" wrapText="1" readingOrder="1"/>
    </xf>
    <xf numFmtId="0" fontId="36" fillId="0" borderId="7" xfId="1" applyFont="1" applyBorder="1" applyAlignment="1">
      <alignment horizontal="left" vertical="center" wrapText="1" readingOrder="1"/>
    </xf>
    <xf numFmtId="164" fontId="56" fillId="0" borderId="52" xfId="2" applyFont="1" applyFill="1" applyBorder="1" applyAlignment="1">
      <alignment vertical="center" wrapText="1" readingOrder="1"/>
    </xf>
    <xf numFmtId="43" fontId="57" fillId="0" borderId="27" xfId="5" applyFont="1" applyFill="1" applyBorder="1" applyAlignment="1">
      <alignment horizontal="center" vertical="center" wrapText="1" readingOrder="1"/>
    </xf>
    <xf numFmtId="164" fontId="37" fillId="0" borderId="57" xfId="2" applyFont="1" applyFill="1" applyBorder="1" applyAlignment="1">
      <alignment horizontal="center" vertical="center" wrapText="1" readingOrder="1"/>
    </xf>
    <xf numFmtId="164" fontId="58" fillId="0" borderId="53" xfId="2" applyFont="1" applyFill="1" applyBorder="1" applyAlignment="1">
      <alignment horizontal="center" vertical="center" wrapText="1" readingOrder="1"/>
    </xf>
    <xf numFmtId="164" fontId="61" fillId="2" borderId="54" xfId="2" applyFont="1" applyFill="1" applyBorder="1" applyAlignment="1">
      <alignment horizontal="center" vertical="center" wrapText="1" readingOrder="1"/>
    </xf>
    <xf numFmtId="164" fontId="61" fillId="0" borderId="57" xfId="2" applyFont="1" applyFill="1" applyBorder="1" applyAlignment="1">
      <alignment horizontal="center" vertical="center" wrapText="1" readingOrder="1"/>
    </xf>
    <xf numFmtId="0" fontId="37" fillId="17" borderId="86" xfId="1" applyFont="1" applyFill="1" applyBorder="1" applyAlignment="1">
      <alignment horizontal="center" vertical="center" wrapText="1"/>
    </xf>
    <xf numFmtId="0" fontId="98" fillId="0" borderId="0" xfId="0" applyFont="1">
      <alignment vertical="center"/>
    </xf>
    <xf numFmtId="164" fontId="37" fillId="0" borderId="25" xfId="2" applyFont="1" applyFill="1" applyBorder="1" applyAlignment="1">
      <alignment horizontal="center" vertical="center" wrapText="1" readingOrder="1"/>
    </xf>
    <xf numFmtId="0" fontId="51" fillId="0" borderId="0" xfId="0" applyFont="1">
      <alignment vertical="center"/>
    </xf>
    <xf numFmtId="0" fontId="99" fillId="0" borderId="0" xfId="0" applyFont="1">
      <alignment vertical="center"/>
    </xf>
    <xf numFmtId="0" fontId="100" fillId="0" borderId="0" xfId="0" applyFont="1">
      <alignment vertical="center"/>
    </xf>
    <xf numFmtId="164" fontId="61" fillId="2" borderId="16" xfId="2" applyFont="1" applyFill="1" applyBorder="1" applyAlignment="1">
      <alignment horizontal="center" vertical="center" wrapText="1" readingOrder="1"/>
    </xf>
    <xf numFmtId="164" fontId="61" fillId="9" borderId="16" xfId="2" applyFont="1" applyFill="1" applyBorder="1" applyAlignment="1">
      <alignment horizontal="center" vertical="center" wrapText="1" readingOrder="1"/>
    </xf>
    <xf numFmtId="164" fontId="37" fillId="0" borderId="38" xfId="2" applyFont="1" applyFill="1" applyBorder="1" applyAlignment="1">
      <alignment horizontal="center" vertical="center" wrapText="1" readingOrder="1"/>
    </xf>
    <xf numFmtId="164" fontId="61" fillId="2" borderId="50" xfId="2" applyFont="1" applyFill="1" applyBorder="1" applyAlignment="1">
      <alignment horizontal="center" vertical="center" wrapText="1" readingOrder="1"/>
    </xf>
    <xf numFmtId="164" fontId="60" fillId="17" borderId="54" xfId="2" applyFont="1" applyFill="1" applyBorder="1" applyAlignment="1">
      <alignment horizontal="center" vertical="center" wrapText="1" readingOrder="1"/>
    </xf>
    <xf numFmtId="164" fontId="61" fillId="5" borderId="10" xfId="2" applyFont="1" applyFill="1" applyBorder="1" applyAlignment="1">
      <alignment horizontal="center" vertical="center" wrapText="1" readingOrder="1"/>
    </xf>
    <xf numFmtId="0" fontId="51" fillId="3" borderId="31" xfId="1" applyFont="1" applyFill="1" applyBorder="1" applyAlignment="1">
      <alignment horizontal="center" vertical="center" wrapText="1"/>
    </xf>
    <xf numFmtId="164" fontId="61" fillId="0" borderId="42" xfId="2" applyFont="1" applyFill="1" applyBorder="1" applyAlignment="1">
      <alignment horizontal="center" vertical="center" wrapText="1" readingOrder="1"/>
    </xf>
    <xf numFmtId="164" fontId="58" fillId="0" borderId="79" xfId="2" applyFont="1" applyFill="1" applyBorder="1" applyAlignment="1">
      <alignment horizontal="center" vertical="center" wrapText="1" readingOrder="1"/>
    </xf>
    <xf numFmtId="164" fontId="61" fillId="0" borderId="29" xfId="2" applyFont="1" applyFill="1" applyBorder="1" applyAlignment="1">
      <alignment horizontal="center" vertical="center" wrapText="1" readingOrder="1"/>
    </xf>
    <xf numFmtId="164" fontId="61" fillId="0" borderId="87" xfId="2" applyFont="1" applyFill="1" applyBorder="1" applyAlignment="1">
      <alignment horizontal="center" vertical="center" wrapText="1" readingOrder="1"/>
    </xf>
    <xf numFmtId="164" fontId="61" fillId="0" borderId="30" xfId="2" applyFont="1" applyFill="1" applyBorder="1" applyAlignment="1">
      <alignment horizontal="center" vertical="center" wrapText="1" readingOrder="1"/>
    </xf>
    <xf numFmtId="164" fontId="61" fillId="0" borderId="34" xfId="2" applyFont="1" applyFill="1" applyBorder="1" applyAlignment="1">
      <alignment horizontal="center" vertical="center" wrapText="1" readingOrder="1"/>
    </xf>
    <xf numFmtId="164" fontId="61" fillId="0" borderId="35" xfId="2" applyFont="1" applyFill="1" applyBorder="1" applyAlignment="1">
      <alignment horizontal="center" vertical="center" wrapText="1" readingOrder="1"/>
    </xf>
    <xf numFmtId="164" fontId="58" fillId="0" borderId="61" xfId="2" applyFont="1" applyFill="1" applyBorder="1" applyAlignment="1">
      <alignment horizontal="center" vertical="center" wrapText="1" readingOrder="1"/>
    </xf>
    <xf numFmtId="164" fontId="58" fillId="0" borderId="29" xfId="2" applyFont="1" applyFill="1" applyBorder="1" applyAlignment="1">
      <alignment horizontal="center" vertical="center" wrapText="1" readingOrder="1"/>
    </xf>
    <xf numFmtId="164" fontId="61" fillId="3" borderId="35" xfId="2" applyFont="1" applyFill="1" applyBorder="1" applyAlignment="1">
      <alignment horizontal="center" vertical="center" wrapText="1" readingOrder="1"/>
    </xf>
    <xf numFmtId="164" fontId="61" fillId="3" borderId="161" xfId="2" applyFont="1" applyFill="1" applyBorder="1" applyAlignment="1">
      <alignment horizontal="center" vertical="center" wrapText="1" readingOrder="1"/>
    </xf>
    <xf numFmtId="164" fontId="56" fillId="0" borderId="36" xfId="2" applyFont="1" applyFill="1" applyBorder="1" applyAlignment="1">
      <alignment vertical="center" wrapText="1" readingOrder="1"/>
    </xf>
    <xf numFmtId="43" fontId="57" fillId="0" borderId="7" xfId="5" applyFont="1" applyFill="1" applyBorder="1" applyAlignment="1">
      <alignment horizontal="center" vertical="center" wrapText="1" readingOrder="1"/>
    </xf>
    <xf numFmtId="164" fontId="37" fillId="0" borderId="36" xfId="2" applyFont="1" applyFill="1" applyBorder="1" applyAlignment="1">
      <alignment horizontal="center" vertical="center" wrapText="1" readingOrder="1"/>
    </xf>
    <xf numFmtId="164" fontId="58" fillId="0" borderId="72" xfId="2" applyFont="1" applyFill="1" applyBorder="1" applyAlignment="1">
      <alignment horizontal="center" vertical="center" wrapText="1" readingOrder="1"/>
    </xf>
    <xf numFmtId="164" fontId="61" fillId="0" borderId="70" xfId="2" applyFont="1" applyFill="1" applyBorder="1" applyAlignment="1">
      <alignment horizontal="center" vertical="center" wrapText="1" readingOrder="1"/>
    </xf>
    <xf numFmtId="164" fontId="37" fillId="0" borderId="70" xfId="2" applyFont="1" applyFill="1" applyBorder="1" applyAlignment="1">
      <alignment horizontal="center" vertical="center" wrapText="1" readingOrder="1"/>
    </xf>
    <xf numFmtId="0" fontId="52" fillId="0" borderId="70" xfId="0" applyFont="1" applyBorder="1">
      <alignment vertical="center"/>
    </xf>
    <xf numFmtId="43" fontId="55" fillId="3" borderId="70" xfId="5" applyFont="1" applyFill="1" applyBorder="1" applyAlignment="1">
      <alignment horizontal="center" vertical="center" wrapText="1" readingOrder="1"/>
    </xf>
    <xf numFmtId="164" fontId="61" fillId="5" borderId="92" xfId="2" applyFont="1" applyFill="1" applyBorder="1" applyAlignment="1">
      <alignment horizontal="center" vertical="center" wrapText="1" readingOrder="1"/>
    </xf>
    <xf numFmtId="0" fontId="61" fillId="0" borderId="8" xfId="1" applyFont="1" applyBorder="1" applyAlignment="1">
      <alignment horizontal="center" vertical="center" readingOrder="1"/>
    </xf>
    <xf numFmtId="0" fontId="37" fillId="0" borderId="21" xfId="1" applyFont="1" applyBorder="1" applyAlignment="1">
      <alignment vertical="center" wrapText="1" readingOrder="1"/>
    </xf>
    <xf numFmtId="0" fontId="101" fillId="0" borderId="0" xfId="0" applyFont="1">
      <alignment vertical="center"/>
    </xf>
    <xf numFmtId="164" fontId="37" fillId="0" borderId="106" xfId="2" applyFont="1" applyFill="1" applyBorder="1" applyAlignment="1">
      <alignment horizontal="center" vertical="center" wrapText="1" readingOrder="1"/>
    </xf>
    <xf numFmtId="164" fontId="37" fillId="0" borderId="15" xfId="2" applyFont="1" applyFill="1" applyBorder="1" applyAlignment="1">
      <alignment horizontal="center" vertical="center" wrapText="1" readingOrder="1"/>
    </xf>
    <xf numFmtId="164" fontId="57" fillId="0" borderId="15" xfId="2" applyFont="1" applyFill="1" applyBorder="1" applyAlignment="1">
      <alignment horizontal="center" vertical="center" wrapText="1" readingOrder="1"/>
    </xf>
    <xf numFmtId="164" fontId="37" fillId="0" borderId="92" xfId="2" applyFont="1" applyFill="1" applyBorder="1" applyAlignment="1">
      <alignment horizontal="center" vertical="center" wrapText="1" readingOrder="1"/>
    </xf>
    <xf numFmtId="164" fontId="61" fillId="3" borderId="13" xfId="2" applyFont="1" applyFill="1" applyBorder="1" applyAlignment="1">
      <alignment horizontal="center" vertical="center" wrapText="1" readingOrder="1"/>
    </xf>
    <xf numFmtId="0" fontId="76" fillId="3" borderId="11" xfId="1" applyFont="1" applyFill="1" applyBorder="1" applyAlignment="1">
      <alignment horizontal="center" vertical="center" wrapText="1"/>
    </xf>
    <xf numFmtId="164" fontId="61" fillId="3" borderId="60" xfId="2" applyFont="1" applyFill="1" applyBorder="1" applyAlignment="1">
      <alignment horizontal="center" vertical="center" wrapText="1" readingOrder="1"/>
    </xf>
    <xf numFmtId="0" fontId="86" fillId="2" borderId="112" xfId="1" applyFont="1" applyFill="1" applyBorder="1" applyAlignment="1">
      <alignment horizontal="center" vertical="center" wrapText="1"/>
    </xf>
    <xf numFmtId="164" fontId="57" fillId="0" borderId="39" xfId="2" applyFont="1" applyBorder="1" applyAlignment="1">
      <alignment horizontal="center" vertical="center" wrapText="1" readingOrder="1"/>
    </xf>
    <xf numFmtId="164" fontId="57" fillId="0" borderId="17" xfId="2" applyFont="1" applyBorder="1" applyAlignment="1">
      <alignment horizontal="center" vertical="center" wrapText="1" readingOrder="1"/>
    </xf>
    <xf numFmtId="164" fontId="61" fillId="3" borderId="69" xfId="2" applyFont="1" applyFill="1" applyBorder="1" applyAlignment="1">
      <alignment horizontal="center" vertical="center" wrapText="1" readingOrder="1"/>
    </xf>
    <xf numFmtId="164" fontId="37" fillId="0" borderId="60" xfId="2" applyFont="1" applyFill="1" applyBorder="1" applyAlignment="1">
      <alignment horizontal="center" vertical="center" wrapText="1" readingOrder="1"/>
    </xf>
    <xf numFmtId="164" fontId="37" fillId="0" borderId="13" xfId="2" applyFont="1" applyFill="1" applyBorder="1" applyAlignment="1">
      <alignment horizontal="center" vertical="center" wrapText="1" readingOrder="1"/>
    </xf>
    <xf numFmtId="164" fontId="57" fillId="0" borderId="13" xfId="2" applyFont="1" applyFill="1" applyBorder="1" applyAlignment="1">
      <alignment horizontal="center" vertical="center" wrapText="1" readingOrder="1"/>
    </xf>
    <xf numFmtId="164" fontId="37" fillId="0" borderId="69" xfId="2" applyFont="1" applyFill="1" applyBorder="1" applyAlignment="1">
      <alignment horizontal="center" vertical="center" wrapText="1" readingOrder="1"/>
    </xf>
    <xf numFmtId="164" fontId="57" fillId="0" borderId="37" xfId="2" applyFont="1" applyFill="1" applyBorder="1" applyAlignment="1">
      <alignment horizontal="center" vertical="center" wrapText="1" readingOrder="1"/>
    </xf>
    <xf numFmtId="164" fontId="57" fillId="0" borderId="3" xfId="2" applyFont="1" applyFill="1" applyBorder="1" applyAlignment="1">
      <alignment horizontal="center" vertical="center" wrapText="1" readingOrder="1"/>
    </xf>
    <xf numFmtId="164" fontId="57" fillId="0" borderId="5" xfId="2" applyFont="1" applyFill="1" applyBorder="1" applyAlignment="1">
      <alignment horizontal="center" vertical="center" wrapText="1" readingOrder="1"/>
    </xf>
    <xf numFmtId="164" fontId="34" fillId="0" borderId="106" xfId="2" applyFont="1" applyFill="1" applyBorder="1" applyAlignment="1">
      <alignment horizontal="center" vertical="center" wrapText="1" readingOrder="1"/>
    </xf>
    <xf numFmtId="164" fontId="34" fillId="0" borderId="15" xfId="2" applyFont="1" applyFill="1" applyBorder="1" applyAlignment="1">
      <alignment horizontal="center" vertical="center" wrapText="1" readingOrder="1"/>
    </xf>
    <xf numFmtId="164" fontId="34" fillId="0" borderId="36" xfId="2" applyFont="1" applyFill="1" applyBorder="1" applyAlignment="1">
      <alignment horizontal="center" vertical="center" wrapText="1" readingOrder="1"/>
    </xf>
    <xf numFmtId="0" fontId="40" fillId="2" borderId="4" xfId="1" applyFont="1" applyFill="1" applyBorder="1" applyAlignment="1">
      <alignment horizontal="center" vertical="center" wrapText="1"/>
    </xf>
    <xf numFmtId="164" fontId="41" fillId="0" borderId="58" xfId="2" applyFont="1" applyFill="1" applyBorder="1" applyAlignment="1">
      <alignment horizontal="center" vertical="center" wrapText="1" readingOrder="1"/>
    </xf>
    <xf numFmtId="164" fontId="41" fillId="0" borderId="6" xfId="2" applyFont="1" applyFill="1" applyBorder="1" applyAlignment="1">
      <alignment horizontal="center" vertical="center" wrapText="1" readingOrder="1"/>
    </xf>
    <xf numFmtId="164" fontId="34" fillId="0" borderId="6" xfId="2" applyFont="1" applyFill="1" applyBorder="1" applyAlignment="1">
      <alignment horizontal="center" vertical="center" wrapText="1" readingOrder="1"/>
    </xf>
    <xf numFmtId="164" fontId="34" fillId="0" borderId="120" xfId="2" applyFont="1" applyFill="1" applyBorder="1" applyAlignment="1">
      <alignment horizontal="center" vertical="center" wrapText="1" readingOrder="1"/>
    </xf>
    <xf numFmtId="0" fontId="54" fillId="0" borderId="9" xfId="0" applyFont="1" applyBorder="1" applyAlignment="1">
      <alignment vertical="center" wrapText="1"/>
    </xf>
    <xf numFmtId="0" fontId="102" fillId="0" borderId="9" xfId="0" applyFont="1" applyBorder="1" applyAlignment="1">
      <alignment vertical="center" wrapText="1"/>
    </xf>
    <xf numFmtId="0" fontId="54" fillId="0" borderId="10" xfId="0" applyFont="1" applyBorder="1" applyAlignment="1">
      <alignment horizontal="center" vertical="center" wrapText="1"/>
    </xf>
    <xf numFmtId="0" fontId="54" fillId="16" borderId="0" xfId="0" applyFont="1" applyFill="1">
      <alignment vertical="center"/>
    </xf>
    <xf numFmtId="0" fontId="54" fillId="0" borderId="0" xfId="0" quotePrefix="1" applyFont="1">
      <alignment vertical="center"/>
    </xf>
    <xf numFmtId="0" fontId="54" fillId="0" borderId="162" xfId="0" applyFont="1" applyBorder="1">
      <alignment vertical="center"/>
    </xf>
    <xf numFmtId="0" fontId="54" fillId="0" borderId="163" xfId="0" applyFont="1" applyBorder="1">
      <alignment vertical="center"/>
    </xf>
    <xf numFmtId="17" fontId="54" fillId="0" borderId="164" xfId="0" applyNumberFormat="1" applyFont="1" applyBorder="1" applyAlignment="1">
      <alignment horizontal="center" vertical="center"/>
    </xf>
    <xf numFmtId="17" fontId="54" fillId="0" borderId="165" xfId="0" applyNumberFormat="1" applyFont="1" applyBorder="1" applyAlignment="1">
      <alignment horizontal="center" vertical="center"/>
    </xf>
    <xf numFmtId="0" fontId="54" fillId="0" borderId="166" xfId="0" applyFont="1" applyBorder="1" applyAlignment="1">
      <alignment horizontal="center" vertical="center"/>
    </xf>
    <xf numFmtId="0" fontId="88" fillId="5" borderId="5" xfId="0" applyFont="1" applyFill="1" applyBorder="1">
      <alignment vertical="center"/>
    </xf>
    <xf numFmtId="0" fontId="88" fillId="5" borderId="36" xfId="0" applyFont="1" applyFill="1" applyBorder="1">
      <alignment vertical="center"/>
    </xf>
    <xf numFmtId="9" fontId="88" fillId="8" borderId="9" xfId="0" applyNumberFormat="1" applyFont="1" applyFill="1" applyBorder="1" applyAlignment="1">
      <alignment horizontal="center" vertical="center" wrapText="1"/>
    </xf>
    <xf numFmtId="167" fontId="88" fillId="0" borderId="9" xfId="0" applyNumberFormat="1" applyFont="1" applyBorder="1">
      <alignment vertical="center"/>
    </xf>
    <xf numFmtId="38" fontId="91" fillId="0" borderId="9" xfId="0" applyNumberFormat="1" applyFont="1" applyBorder="1">
      <alignment vertical="center"/>
    </xf>
    <xf numFmtId="9" fontId="88" fillId="0" borderId="9" xfId="0" applyNumberFormat="1" applyFont="1" applyBorder="1">
      <alignment vertical="center"/>
    </xf>
    <xf numFmtId="38" fontId="54" fillId="0" borderId="9" xfId="0" applyNumberFormat="1" applyFont="1" applyBorder="1">
      <alignment vertical="center"/>
    </xf>
    <xf numFmtId="0" fontId="96" fillId="13" borderId="9" xfId="0" applyFont="1" applyFill="1" applyBorder="1" applyAlignment="1">
      <alignment horizontal="center" vertical="center"/>
    </xf>
    <xf numFmtId="167" fontId="96" fillId="0" borderId="9" xfId="0" applyNumberFormat="1" applyFont="1" applyBorder="1">
      <alignment vertical="center"/>
    </xf>
    <xf numFmtId="9" fontId="96" fillId="0" borderId="9" xfId="0" applyNumberFormat="1" applyFont="1" applyBorder="1">
      <alignment vertical="center"/>
    </xf>
    <xf numFmtId="165" fontId="88" fillId="13" borderId="9" xfId="5" applyNumberFormat="1" applyFont="1" applyFill="1" applyBorder="1" applyAlignment="1">
      <alignment vertical="center"/>
    </xf>
    <xf numFmtId="167" fontId="88" fillId="13" borderId="9" xfId="0" applyNumberFormat="1" applyFont="1" applyFill="1" applyBorder="1">
      <alignment vertical="center"/>
    </xf>
    <xf numFmtId="0" fontId="92" fillId="13" borderId="0" xfId="0" applyFont="1" applyFill="1">
      <alignment vertical="center"/>
    </xf>
    <xf numFmtId="9" fontId="92" fillId="0" borderId="0" xfId="9" applyFont="1">
      <alignment vertical="center"/>
    </xf>
    <xf numFmtId="0" fontId="88" fillId="19" borderId="9" xfId="0" applyFont="1" applyFill="1" applyBorder="1" applyAlignment="1">
      <alignment horizontal="center" vertical="center"/>
    </xf>
    <xf numFmtId="169" fontId="88" fillId="19" borderId="9" xfId="0" applyNumberFormat="1" applyFont="1" applyFill="1" applyBorder="1" applyAlignment="1">
      <alignment horizontal="center" vertical="center"/>
    </xf>
    <xf numFmtId="38" fontId="88" fillId="19" borderId="9" xfId="0" applyNumberFormat="1" applyFont="1" applyFill="1" applyBorder="1">
      <alignment vertical="center"/>
    </xf>
    <xf numFmtId="9" fontId="88" fillId="19" borderId="9" xfId="9" applyFont="1" applyFill="1" applyBorder="1" applyAlignment="1">
      <alignment horizontal="center" vertical="center"/>
    </xf>
    <xf numFmtId="9" fontId="88" fillId="19" borderId="9" xfId="9" applyFont="1" applyFill="1" applyBorder="1">
      <alignment vertical="center"/>
    </xf>
    <xf numFmtId="167" fontId="88" fillId="19" borderId="9" xfId="0" applyNumberFormat="1" applyFont="1" applyFill="1" applyBorder="1">
      <alignment vertical="center"/>
    </xf>
    <xf numFmtId="9" fontId="88" fillId="19" borderId="9" xfId="0" applyNumberFormat="1" applyFont="1" applyFill="1" applyBorder="1" applyAlignment="1">
      <alignment horizontal="center" vertical="center"/>
    </xf>
    <xf numFmtId="9" fontId="88" fillId="19" borderId="9" xfId="0" applyNumberFormat="1" applyFont="1" applyFill="1" applyBorder="1">
      <alignment vertical="center"/>
    </xf>
    <xf numFmtId="0" fontId="88" fillId="19" borderId="9" xfId="0" applyFont="1" applyFill="1" applyBorder="1">
      <alignment vertical="center"/>
    </xf>
    <xf numFmtId="9" fontId="54" fillId="0" borderId="0" xfId="0" applyNumberFormat="1" applyFont="1">
      <alignment vertical="center"/>
    </xf>
    <xf numFmtId="0" fontId="104" fillId="20" borderId="171" xfId="0" applyFont="1" applyFill="1" applyBorder="1" applyAlignment="1">
      <alignment horizontal="center" vertical="center"/>
    </xf>
    <xf numFmtId="0" fontId="104" fillId="20" borderId="171" xfId="0" applyFont="1" applyFill="1" applyBorder="1">
      <alignment vertical="center"/>
    </xf>
    <xf numFmtId="0" fontId="104" fillId="20" borderId="0" xfId="0" applyFont="1" applyFill="1" applyAlignment="1">
      <alignment horizontal="center" vertical="center"/>
    </xf>
    <xf numFmtId="0" fontId="104" fillId="20" borderId="171" xfId="0" applyFont="1" applyFill="1" applyBorder="1" applyAlignment="1">
      <alignment horizontal="right" vertical="center"/>
    </xf>
    <xf numFmtId="0" fontId="104" fillId="20" borderId="0" xfId="0" applyFont="1" applyFill="1" applyAlignment="1">
      <alignment horizontal="center" vertical="center" wrapText="1"/>
    </xf>
    <xf numFmtId="0" fontId="104" fillId="0" borderId="0" xfId="0" applyFont="1" applyAlignment="1">
      <alignment horizontal="center" vertical="center"/>
    </xf>
    <xf numFmtId="0" fontId="104" fillId="0" borderId="0" xfId="0" applyFont="1">
      <alignment vertical="center"/>
    </xf>
    <xf numFmtId="9" fontId="104" fillId="0" borderId="0" xfId="0" applyNumberFormat="1" applyFont="1">
      <alignment vertical="center"/>
    </xf>
    <xf numFmtId="0" fontId="106" fillId="0" borderId="0" xfId="0" applyFont="1">
      <alignment vertical="center"/>
    </xf>
    <xf numFmtId="10" fontId="104" fillId="0" borderId="0" xfId="0" applyNumberFormat="1" applyFont="1">
      <alignment vertical="center"/>
    </xf>
    <xf numFmtId="0" fontId="107" fillId="0" borderId="0" xfId="0" applyFont="1">
      <alignment vertical="center"/>
    </xf>
    <xf numFmtId="164" fontId="57" fillId="2" borderId="24" xfId="2" applyFont="1" applyFill="1" applyBorder="1" applyAlignment="1">
      <alignment horizontal="center" vertical="center" wrapText="1" readingOrder="1"/>
    </xf>
    <xf numFmtId="0" fontId="63" fillId="0" borderId="66" xfId="1" applyFont="1" applyBorder="1" applyAlignment="1">
      <alignment horizontal="left" vertical="center" wrapText="1" readingOrder="1"/>
    </xf>
    <xf numFmtId="0" fontId="63" fillId="0" borderId="117" xfId="1" applyFont="1" applyBorder="1" applyAlignment="1">
      <alignment horizontal="center" vertical="center" wrapText="1" readingOrder="1"/>
    </xf>
    <xf numFmtId="0" fontId="63" fillId="0" borderId="66" xfId="1" applyFont="1" applyBorder="1" applyAlignment="1">
      <alignment horizontal="center" vertical="center" wrapText="1" readingOrder="1"/>
    </xf>
    <xf numFmtId="0" fontId="63" fillId="0" borderId="118" xfId="1" applyFont="1" applyBorder="1" applyAlignment="1">
      <alignment horizontal="center" vertical="center" wrapText="1" readingOrder="1"/>
    </xf>
    <xf numFmtId="164" fontId="58" fillId="0" borderId="125" xfId="2" applyFont="1" applyBorder="1" applyAlignment="1">
      <alignment horizontal="center" vertical="center" wrapText="1" readingOrder="1"/>
    </xf>
    <xf numFmtId="164" fontId="61" fillId="0" borderId="85" xfId="2" applyFont="1" applyBorder="1" applyAlignment="1">
      <alignment horizontal="center" vertical="center" wrapText="1" readingOrder="1"/>
    </xf>
    <xf numFmtId="164" fontId="61" fillId="2" borderId="172" xfId="2" applyFont="1" applyFill="1" applyBorder="1" applyAlignment="1">
      <alignment horizontal="center" vertical="center" wrapText="1" readingOrder="1"/>
    </xf>
    <xf numFmtId="164" fontId="61" fillId="9" borderId="66" xfId="2" applyFont="1" applyFill="1" applyBorder="1" applyAlignment="1">
      <alignment horizontal="center" vertical="center" wrapText="1" readingOrder="1"/>
    </xf>
    <xf numFmtId="164" fontId="55" fillId="0" borderId="86" xfId="2" applyFont="1" applyFill="1" applyBorder="1" applyAlignment="1">
      <alignment horizontal="center" vertical="center" wrapText="1" readingOrder="1"/>
    </xf>
    <xf numFmtId="164" fontId="58" fillId="0" borderId="124" xfId="2" applyFont="1" applyBorder="1" applyAlignment="1">
      <alignment horizontal="center" vertical="center" wrapText="1" readingOrder="1"/>
    </xf>
    <xf numFmtId="164" fontId="61" fillId="2" borderId="91" xfId="2" applyFont="1" applyFill="1" applyBorder="1" applyAlignment="1">
      <alignment horizontal="center" vertical="center" wrapText="1" readingOrder="1"/>
    </xf>
    <xf numFmtId="164" fontId="58" fillId="0" borderId="173" xfId="2" applyFont="1" applyFill="1" applyBorder="1" applyAlignment="1">
      <alignment horizontal="center" vertical="center" wrapText="1" readingOrder="1"/>
    </xf>
    <xf numFmtId="164" fontId="61" fillId="2" borderId="84" xfId="2" applyFont="1" applyFill="1" applyBorder="1" applyAlignment="1">
      <alignment horizontal="center" vertical="center" wrapText="1" readingOrder="1"/>
    </xf>
    <xf numFmtId="164" fontId="62" fillId="0" borderId="84" xfId="2" applyFont="1" applyFill="1" applyBorder="1" applyAlignment="1">
      <alignment horizontal="center" vertical="center" wrapText="1" readingOrder="1"/>
    </xf>
    <xf numFmtId="164" fontId="58" fillId="0" borderId="84" xfId="2" applyFont="1" applyFill="1" applyBorder="1" applyAlignment="1">
      <alignment horizontal="center" vertical="center" wrapText="1" readingOrder="1"/>
    </xf>
    <xf numFmtId="164" fontId="62" fillId="0" borderId="85" xfId="2" applyFont="1" applyFill="1" applyBorder="1" applyAlignment="1">
      <alignment horizontal="center" vertical="center" wrapText="1" readingOrder="1"/>
    </xf>
    <xf numFmtId="164" fontId="58" fillId="3" borderId="13" xfId="2" applyFont="1" applyFill="1" applyBorder="1" applyAlignment="1">
      <alignment horizontal="center" vertical="center" wrapText="1" readingOrder="1"/>
    </xf>
    <xf numFmtId="164" fontId="58" fillId="3" borderId="59" xfId="2" applyFont="1" applyFill="1" applyBorder="1" applyAlignment="1">
      <alignment horizontal="center" vertical="center" wrapText="1" readingOrder="1"/>
    </xf>
    <xf numFmtId="164" fontId="60" fillId="0" borderId="18" xfId="2" applyFont="1" applyFill="1" applyBorder="1" applyAlignment="1">
      <alignment horizontal="center" vertical="center" wrapText="1" readingOrder="1"/>
    </xf>
    <xf numFmtId="164" fontId="58" fillId="3" borderId="82" xfId="2" applyFont="1" applyFill="1" applyBorder="1" applyAlignment="1">
      <alignment horizontal="center" vertical="center" wrapText="1" readingOrder="1"/>
    </xf>
    <xf numFmtId="164" fontId="32" fillId="0" borderId="38" xfId="2" applyFont="1" applyFill="1" applyBorder="1" applyAlignment="1">
      <alignment horizontal="center" vertical="center" wrapText="1" readingOrder="1"/>
    </xf>
    <xf numFmtId="164" fontId="32" fillId="0" borderId="0" xfId="2" applyFont="1" applyFill="1" applyBorder="1" applyAlignment="1">
      <alignment horizontal="center" vertical="center" wrapText="1" readingOrder="1"/>
    </xf>
    <xf numFmtId="164" fontId="32" fillId="0" borderId="50" xfId="2" applyFont="1" applyFill="1" applyBorder="1" applyAlignment="1">
      <alignment horizontal="center" vertical="center" wrapText="1" readingOrder="1"/>
    </xf>
    <xf numFmtId="164" fontId="32" fillId="0" borderId="18" xfId="2" applyFont="1" applyFill="1" applyBorder="1" applyAlignment="1">
      <alignment horizontal="center" vertical="center" wrapText="1" readingOrder="1"/>
    </xf>
    <xf numFmtId="164" fontId="32" fillId="0" borderId="122" xfId="2" applyFont="1" applyFill="1" applyBorder="1" applyAlignment="1">
      <alignment horizontal="center" vertical="center" wrapText="1" readingOrder="1"/>
    </xf>
    <xf numFmtId="164" fontId="32" fillId="0" borderId="80" xfId="2" applyFont="1" applyFill="1" applyBorder="1" applyAlignment="1">
      <alignment horizontal="center" vertical="center" wrapText="1" readingOrder="1"/>
    </xf>
    <xf numFmtId="164" fontId="36" fillId="0" borderId="80" xfId="2" applyFont="1" applyFill="1" applyBorder="1" applyAlignment="1">
      <alignment horizontal="center" vertical="center" wrapText="1" readingOrder="1"/>
    </xf>
    <xf numFmtId="164" fontId="32" fillId="0" borderId="60" xfId="2" applyFont="1" applyFill="1" applyBorder="1" applyAlignment="1">
      <alignment horizontal="center" vertical="center" wrapText="1" readingOrder="1"/>
    </xf>
    <xf numFmtId="164" fontId="32" fillId="0" borderId="13" xfId="2" applyFont="1" applyFill="1" applyBorder="1" applyAlignment="1">
      <alignment horizontal="center" vertical="center" wrapText="1" readingOrder="1"/>
    </xf>
    <xf numFmtId="164" fontId="52" fillId="0" borderId="0" xfId="0" applyNumberFormat="1" applyFont="1">
      <alignment vertical="center"/>
    </xf>
    <xf numFmtId="0" fontId="70" fillId="14" borderId="90" xfId="1" applyFont="1" applyFill="1" applyBorder="1" applyAlignment="1">
      <alignment horizontal="center" vertical="center" wrapText="1"/>
    </xf>
    <xf numFmtId="164" fontId="57" fillId="9" borderId="16" xfId="2" applyFont="1" applyFill="1" applyBorder="1" applyAlignment="1">
      <alignment horizontal="center" vertical="center" wrapText="1" readingOrder="1"/>
    </xf>
    <xf numFmtId="0" fontId="70" fillId="9" borderId="90" xfId="1" applyFont="1" applyFill="1" applyBorder="1" applyAlignment="1">
      <alignment horizontal="center" vertical="center" wrapText="1"/>
    </xf>
    <xf numFmtId="164" fontId="75" fillId="9" borderId="10" xfId="2" applyFont="1" applyFill="1" applyBorder="1" applyAlignment="1">
      <alignment horizontal="center" vertical="center" wrapText="1" readingOrder="1"/>
    </xf>
    <xf numFmtId="164" fontId="75" fillId="9" borderId="8" xfId="2" applyFont="1" applyFill="1" applyBorder="1" applyAlignment="1">
      <alignment horizontal="center" vertical="center" wrapText="1" readingOrder="1"/>
    </xf>
    <xf numFmtId="164" fontId="75" fillId="9" borderId="7" xfId="2" quotePrefix="1" applyFont="1" applyFill="1" applyBorder="1" applyAlignment="1">
      <alignment horizontal="center" vertical="center" wrapText="1" readingOrder="1"/>
    </xf>
    <xf numFmtId="164" fontId="57" fillId="9" borderId="14" xfId="2" applyFont="1" applyFill="1" applyBorder="1" applyAlignment="1">
      <alignment horizontal="center" vertical="center" wrapText="1" readingOrder="1"/>
    </xf>
    <xf numFmtId="164" fontId="61" fillId="0" borderId="38" xfId="2" applyFont="1" applyBorder="1" applyAlignment="1">
      <alignment horizontal="center" vertical="center" wrapText="1" readingOrder="1"/>
    </xf>
    <xf numFmtId="0" fontId="54" fillId="0" borderId="154" xfId="0" applyFont="1" applyBorder="1" applyAlignment="1">
      <alignment horizontal="center" vertical="center"/>
    </xf>
    <xf numFmtId="0" fontId="60" fillId="0" borderId="8" xfId="1" applyFont="1" applyBorder="1" applyAlignment="1">
      <alignment horizontal="center" vertical="center" wrapText="1" readingOrder="1"/>
    </xf>
    <xf numFmtId="164" fontId="61" fillId="3" borderId="53" xfId="2" applyFont="1" applyFill="1" applyBorder="1" applyAlignment="1">
      <alignment horizontal="center" vertical="center" wrapText="1" readingOrder="1"/>
    </xf>
    <xf numFmtId="164" fontId="58" fillId="3" borderId="133" xfId="2" applyFont="1" applyFill="1" applyBorder="1" applyAlignment="1">
      <alignment horizontal="center" vertical="center" wrapText="1" readingOrder="1"/>
    </xf>
    <xf numFmtId="164" fontId="58" fillId="3" borderId="52" xfId="2" applyFont="1" applyFill="1" applyBorder="1" applyAlignment="1">
      <alignment horizontal="center" vertical="center" wrapText="1" readingOrder="1"/>
    </xf>
    <xf numFmtId="165" fontId="57" fillId="9" borderId="16" xfId="5" applyNumberFormat="1" applyFont="1" applyFill="1" applyBorder="1" applyAlignment="1">
      <alignment horizontal="center" vertical="center" wrapText="1" readingOrder="1"/>
    </xf>
    <xf numFmtId="164" fontId="57" fillId="9" borderId="145" xfId="2" applyFont="1" applyFill="1" applyBorder="1" applyAlignment="1">
      <alignment horizontal="center" vertical="center" wrapText="1" readingOrder="1"/>
    </xf>
    <xf numFmtId="164" fontId="57" fillId="9" borderId="138" xfId="2" applyFont="1" applyFill="1" applyBorder="1" applyAlignment="1">
      <alignment horizontal="center" vertical="center" wrapText="1" readingOrder="1"/>
    </xf>
    <xf numFmtId="0" fontId="54" fillId="0" borderId="1" xfId="0" quotePrefix="1" applyFont="1" applyBorder="1">
      <alignment vertical="center"/>
    </xf>
    <xf numFmtId="0" fontId="108" fillId="0" borderId="1" xfId="0" applyFont="1" applyBorder="1" applyAlignment="1">
      <alignment vertical="center" wrapText="1"/>
    </xf>
    <xf numFmtId="0" fontId="108" fillId="0" borderId="5" xfId="0" applyFont="1" applyBorder="1" applyAlignment="1">
      <alignment vertical="center" wrapText="1"/>
    </xf>
    <xf numFmtId="0" fontId="108" fillId="0" borderId="3" xfId="0" applyFont="1" applyBorder="1" applyAlignment="1">
      <alignment vertical="center" wrapText="1"/>
    </xf>
    <xf numFmtId="0" fontId="108" fillId="0" borderId="156" xfId="0" applyFont="1" applyBorder="1" applyAlignment="1">
      <alignment vertical="center" wrapText="1"/>
    </xf>
    <xf numFmtId="0" fontId="108" fillId="0" borderId="155" xfId="0" applyFont="1" applyBorder="1" applyAlignment="1">
      <alignment vertical="center" wrapText="1"/>
    </xf>
    <xf numFmtId="0" fontId="108" fillId="0" borderId="9" xfId="0" applyFont="1" applyBorder="1" applyAlignment="1">
      <alignment vertical="center" wrapText="1"/>
    </xf>
    <xf numFmtId="0" fontId="108" fillId="0" borderId="0" xfId="0" applyFont="1" applyAlignment="1">
      <alignment vertical="center" wrapText="1"/>
    </xf>
    <xf numFmtId="0" fontId="108" fillId="0" borderId="154" xfId="0" applyFont="1" applyBorder="1" applyAlignment="1">
      <alignment vertical="center" wrapText="1"/>
    </xf>
    <xf numFmtId="0" fontId="108" fillId="0" borderId="7" xfId="0" applyFont="1" applyBorder="1" applyAlignment="1">
      <alignment vertical="center" wrapText="1"/>
    </xf>
    <xf numFmtId="0" fontId="108" fillId="0" borderId="155" xfId="0" applyFont="1" applyBorder="1">
      <alignment vertical="center"/>
    </xf>
    <xf numFmtId="0" fontId="88" fillId="0" borderId="10" xfId="0" applyFont="1" applyBorder="1">
      <alignment vertical="center"/>
    </xf>
    <xf numFmtId="0" fontId="88" fillId="0" borderId="8" xfId="0" applyFont="1" applyBorder="1">
      <alignment vertical="center"/>
    </xf>
    <xf numFmtId="0" fontId="88" fillId="0" borderId="7" xfId="0" applyFont="1" applyBorder="1">
      <alignment vertical="center"/>
    </xf>
    <xf numFmtId="0" fontId="96" fillId="0" borderId="10" xfId="0" applyFont="1" applyBorder="1">
      <alignment vertical="center"/>
    </xf>
    <xf numFmtId="0" fontId="96" fillId="0" borderId="7" xfId="0" applyFont="1" applyBorder="1">
      <alignment vertical="center"/>
    </xf>
    <xf numFmtId="0" fontId="54" fillId="0" borderId="10" xfId="0" applyFont="1" applyBorder="1">
      <alignment vertical="center"/>
    </xf>
    <xf numFmtId="0" fontId="54" fillId="0" borderId="7" xfId="0" applyFont="1" applyBorder="1">
      <alignment vertical="center"/>
    </xf>
    <xf numFmtId="0" fontId="54" fillId="0" borderId="9" xfId="0" applyFont="1" applyBorder="1" applyAlignment="1">
      <alignment horizontal="center" vertical="center" wrapText="1"/>
    </xf>
    <xf numFmtId="0" fontId="108" fillId="0" borderId="9" xfId="0" applyFont="1" applyBorder="1" applyAlignment="1">
      <alignment horizontal="center" vertical="center"/>
    </xf>
    <xf numFmtId="0" fontId="108" fillId="0" borderId="9" xfId="0" applyFont="1" applyBorder="1" applyAlignment="1">
      <alignment horizontal="center" vertical="center" wrapText="1"/>
    </xf>
    <xf numFmtId="0" fontId="108" fillId="0" borderId="155" xfId="0" applyFont="1" applyBorder="1" applyAlignment="1">
      <alignment horizontal="center" vertical="center" wrapText="1"/>
    </xf>
    <xf numFmtId="0" fontId="108" fillId="0" borderId="156" xfId="0" applyFont="1" applyBorder="1" applyAlignment="1">
      <alignment horizontal="center" vertical="center" wrapText="1"/>
    </xf>
    <xf numFmtId="0" fontId="108" fillId="0" borderId="0" xfId="0" applyFont="1" applyAlignment="1">
      <alignment horizontal="center" vertical="center" wrapText="1"/>
    </xf>
    <xf numFmtId="0" fontId="108" fillId="0" borderId="153" xfId="0" applyFont="1" applyBorder="1" applyAlignment="1">
      <alignment horizontal="center" vertical="center" wrapText="1"/>
    </xf>
    <xf numFmtId="0" fontId="108" fillId="0" borderId="152" xfId="0" applyFont="1" applyBorder="1" applyAlignment="1">
      <alignment horizontal="center" vertical="center" wrapText="1"/>
    </xf>
    <xf numFmtId="0" fontId="108" fillId="0" borderId="168" xfId="0" applyFont="1" applyBorder="1" applyAlignment="1">
      <alignment horizontal="center" vertical="center" wrapText="1"/>
    </xf>
    <xf numFmtId="0" fontId="108" fillId="0" borderId="4" xfId="0" applyFont="1" applyBorder="1" applyAlignment="1">
      <alignment horizontal="center" vertical="center" wrapText="1"/>
    </xf>
    <xf numFmtId="0" fontId="108" fillId="0" borderId="120" xfId="0" applyFont="1" applyBorder="1" applyAlignment="1">
      <alignment horizontal="center" vertical="center" wrapText="1"/>
    </xf>
    <xf numFmtId="0" fontId="108" fillId="0" borderId="174" xfId="0" applyFont="1" applyBorder="1" applyAlignment="1">
      <alignment horizontal="center" vertical="center" wrapText="1"/>
    </xf>
    <xf numFmtId="0" fontId="108" fillId="0" borderId="174" xfId="0" quotePrefix="1" applyFont="1" applyBorder="1" applyAlignment="1">
      <alignment horizontal="center" vertical="center" wrapText="1"/>
    </xf>
    <xf numFmtId="0" fontId="108" fillId="0" borderId="156" xfId="0" quotePrefix="1" applyFont="1" applyBorder="1" applyAlignment="1">
      <alignment horizontal="center" vertical="center" wrapText="1"/>
    </xf>
    <xf numFmtId="0" fontId="58" fillId="0" borderId="27" xfId="1" applyFont="1" applyBorder="1" applyAlignment="1">
      <alignment horizontal="left" vertical="center" wrapText="1" readingOrder="1"/>
    </xf>
    <xf numFmtId="0" fontId="58" fillId="0" borderId="21" xfId="1" applyFont="1" applyBorder="1" applyAlignment="1">
      <alignment horizontal="left" vertical="center" wrapText="1" readingOrder="1"/>
    </xf>
    <xf numFmtId="0" fontId="110" fillId="0" borderId="0" xfId="0" applyFont="1">
      <alignment vertical="center"/>
    </xf>
    <xf numFmtId="0" fontId="111" fillId="0" borderId="31" xfId="1" applyFont="1" applyBorder="1" applyAlignment="1">
      <alignment horizontal="center" vertical="center"/>
    </xf>
    <xf numFmtId="0" fontId="58" fillId="0" borderId="8" xfId="0" applyFont="1" applyBorder="1">
      <alignment vertical="center"/>
    </xf>
    <xf numFmtId="0" fontId="58" fillId="0" borderId="8" xfId="1" applyFont="1" applyBorder="1" applyAlignment="1">
      <alignment horizontal="center" vertical="center" wrapText="1"/>
    </xf>
    <xf numFmtId="0" fontId="36" fillId="0" borderId="27" xfId="1" applyFont="1" applyBorder="1" applyAlignment="1">
      <alignment horizontal="center" vertical="center" wrapText="1"/>
    </xf>
    <xf numFmtId="0" fontId="61" fillId="0" borderId="21" xfId="1" applyFont="1" applyBorder="1" applyAlignment="1">
      <alignment horizontal="left" vertical="center" wrapText="1" readingOrder="1"/>
    </xf>
    <xf numFmtId="0" fontId="61" fillId="0" borderId="8" xfId="1" applyFont="1" applyBorder="1" applyAlignment="1">
      <alignment horizontal="left" vertical="center" wrapText="1" readingOrder="1"/>
    </xf>
    <xf numFmtId="0" fontId="52" fillId="0" borderId="8" xfId="1" applyFont="1" applyBorder="1" applyAlignment="1">
      <alignment horizontal="left" vertical="center" wrapText="1" readingOrder="1"/>
    </xf>
    <xf numFmtId="0" fontId="52" fillId="0" borderId="7" xfId="1" applyFont="1" applyBorder="1" applyAlignment="1">
      <alignment horizontal="left" vertical="center" wrapText="1" readingOrder="1"/>
    </xf>
    <xf numFmtId="0" fontId="59" fillId="3" borderId="3" xfId="1" applyFont="1" applyFill="1" applyBorder="1" applyAlignment="1">
      <alignment horizontal="center" vertical="center" wrapText="1" readingOrder="1"/>
    </xf>
    <xf numFmtId="0" fontId="37" fillId="0" borderId="7" xfId="1" applyFont="1" applyBorder="1" applyAlignment="1">
      <alignment horizontal="center" vertical="center" wrapText="1" readingOrder="1"/>
    </xf>
    <xf numFmtId="0" fontId="52" fillId="0" borderId="9" xfId="15" applyFont="1" applyBorder="1" applyAlignment="1">
      <alignment horizontal="center" vertical="center"/>
    </xf>
    <xf numFmtId="0" fontId="10" fillId="0" borderId="0" xfId="15"/>
    <xf numFmtId="0" fontId="10" fillId="0" borderId="9" xfId="15" applyBorder="1" applyAlignment="1">
      <alignment horizontal="center"/>
    </xf>
    <xf numFmtId="0" fontId="10" fillId="0" borderId="9" xfId="15" applyBorder="1"/>
    <xf numFmtId="165" fontId="0" fillId="0" borderId="9" xfId="16" applyNumberFormat="1" applyFont="1" applyBorder="1"/>
    <xf numFmtId="0" fontId="51" fillId="3" borderId="9" xfId="15" applyFont="1" applyFill="1" applyBorder="1"/>
    <xf numFmtId="0" fontId="10" fillId="3" borderId="9" xfId="15" applyFill="1" applyBorder="1"/>
    <xf numFmtId="165" fontId="0" fillId="3" borderId="9" xfId="16" applyNumberFormat="1" applyFont="1" applyFill="1" applyBorder="1"/>
    <xf numFmtId="0" fontId="10" fillId="3" borderId="9" xfId="15" applyFill="1" applyBorder="1" applyAlignment="1">
      <alignment horizontal="center"/>
    </xf>
    <xf numFmtId="0" fontId="10" fillId="5" borderId="9" xfId="15" applyFill="1" applyBorder="1" applyAlignment="1">
      <alignment horizontal="center"/>
    </xf>
    <xf numFmtId="0" fontId="10" fillId="5" borderId="9" xfId="15" applyFill="1" applyBorder="1"/>
    <xf numFmtId="0" fontId="10" fillId="0" borderId="0" xfId="15" applyAlignment="1">
      <alignment horizontal="center"/>
    </xf>
    <xf numFmtId="0" fontId="51" fillId="3" borderId="9" xfId="15" applyFont="1" applyFill="1" applyBorder="1" applyAlignment="1">
      <alignment horizontal="center"/>
    </xf>
    <xf numFmtId="0" fontId="51" fillId="0" borderId="0" xfId="15" applyFont="1"/>
    <xf numFmtId="0" fontId="37" fillId="0" borderId="8" xfId="1" applyFont="1" applyBorder="1" applyAlignment="1">
      <alignment horizontal="center" vertical="center" readingOrder="1"/>
    </xf>
    <xf numFmtId="0" fontId="9" fillId="0" borderId="0" xfId="15" applyFont="1"/>
    <xf numFmtId="165" fontId="0" fillId="5" borderId="9" xfId="16" applyNumberFormat="1" applyFont="1" applyFill="1" applyBorder="1"/>
    <xf numFmtId="0" fontId="8" fillId="21" borderId="9" xfId="15" applyFont="1" applyFill="1" applyBorder="1"/>
    <xf numFmtId="0" fontId="8" fillId="22" borderId="9" xfId="15" applyFont="1" applyFill="1" applyBorder="1"/>
    <xf numFmtId="9" fontId="54" fillId="0" borderId="0" xfId="3" applyFont="1">
      <alignment vertical="center"/>
    </xf>
    <xf numFmtId="9" fontId="88" fillId="18" borderId="9" xfId="3" applyFont="1" applyFill="1" applyBorder="1" applyAlignment="1">
      <alignment horizontal="center" vertical="center" wrapText="1"/>
    </xf>
    <xf numFmtId="164" fontId="88" fillId="0" borderId="9" xfId="18" applyFont="1" applyBorder="1" applyAlignment="1">
      <alignment vertical="center"/>
    </xf>
    <xf numFmtId="9" fontId="88" fillId="0" borderId="9" xfId="3" applyFont="1" applyFill="1" applyBorder="1">
      <alignment vertical="center"/>
    </xf>
    <xf numFmtId="170" fontId="88" fillId="0" borderId="9" xfId="3" applyNumberFormat="1" applyFont="1" applyFill="1" applyBorder="1">
      <alignment vertical="center"/>
    </xf>
    <xf numFmtId="9" fontId="88" fillId="0" borderId="9" xfId="9" applyFont="1" applyBorder="1" applyAlignment="1">
      <alignment vertical="center"/>
    </xf>
    <xf numFmtId="170" fontId="88" fillId="0" borderId="9" xfId="3" applyNumberFormat="1" applyFont="1" applyBorder="1">
      <alignment vertical="center"/>
    </xf>
    <xf numFmtId="38" fontId="88" fillId="0" borderId="9" xfId="0" quotePrefix="1" applyNumberFormat="1" applyFont="1" applyBorder="1">
      <alignment vertical="center"/>
    </xf>
    <xf numFmtId="164" fontId="88" fillId="0" borderId="9" xfId="18" applyFont="1" applyFill="1" applyBorder="1" applyAlignment="1">
      <alignment vertical="center"/>
    </xf>
    <xf numFmtId="9" fontId="88" fillId="0" borderId="9" xfId="9" applyFont="1" applyFill="1" applyBorder="1" applyAlignment="1">
      <alignment vertical="center"/>
    </xf>
    <xf numFmtId="9" fontId="88" fillId="0" borderId="10" xfId="3" applyFont="1" applyFill="1" applyBorder="1">
      <alignment vertical="center"/>
    </xf>
    <xf numFmtId="170" fontId="88" fillId="0" borderId="10" xfId="3" applyNumberFormat="1" applyFont="1" applyBorder="1">
      <alignment vertical="center"/>
    </xf>
    <xf numFmtId="9" fontId="88" fillId="0" borderId="10" xfId="9" applyFont="1" applyBorder="1" applyAlignment="1">
      <alignment vertical="center"/>
    </xf>
    <xf numFmtId="170" fontId="54" fillId="0" borderId="9" xfId="3" applyNumberFormat="1" applyFont="1" applyBorder="1">
      <alignment vertical="center"/>
    </xf>
    <xf numFmtId="164" fontId="54" fillId="0" borderId="9" xfId="18" applyFont="1" applyFill="1" applyBorder="1" applyAlignment="1">
      <alignment vertical="center"/>
    </xf>
    <xf numFmtId="9" fontId="54" fillId="0" borderId="9" xfId="3" applyFont="1" applyFill="1" applyBorder="1">
      <alignment vertical="center"/>
    </xf>
    <xf numFmtId="170" fontId="54" fillId="0" borderId="9" xfId="3" applyNumberFormat="1" applyFont="1" applyFill="1" applyBorder="1">
      <alignment vertical="center"/>
    </xf>
    <xf numFmtId="164" fontId="54" fillId="0" borderId="9" xfId="18" applyFont="1" applyBorder="1" applyAlignment="1">
      <alignment vertical="center"/>
    </xf>
    <xf numFmtId="9" fontId="88" fillId="0" borderId="9" xfId="3" applyFont="1" applyBorder="1" applyAlignment="1">
      <alignment vertical="center"/>
    </xf>
    <xf numFmtId="0" fontId="60" fillId="0" borderId="8" xfId="1" applyFont="1" applyBorder="1" applyAlignment="1">
      <alignment horizontal="center" vertical="center" readingOrder="1"/>
    </xf>
    <xf numFmtId="0" fontId="49" fillId="0" borderId="55" xfId="1" applyFont="1" applyBorder="1" applyAlignment="1">
      <alignment vertical="center"/>
    </xf>
    <xf numFmtId="0" fontId="61" fillId="0" borderId="21" xfId="1" applyFont="1" applyBorder="1" applyAlignment="1">
      <alignment horizontal="center" vertical="center" wrapText="1" readingOrder="1"/>
    </xf>
    <xf numFmtId="0" fontId="7" fillId="0" borderId="0" xfId="0" applyFont="1" applyAlignment="1">
      <alignment horizontal="center" vertical="center"/>
    </xf>
    <xf numFmtId="0" fontId="60" fillId="0" borderId="66" xfId="1" applyFont="1" applyBorder="1" applyAlignment="1">
      <alignment horizontal="center" vertical="center" wrapText="1" readingOrder="1"/>
    </xf>
    <xf numFmtId="0" fontId="60" fillId="0" borderId="55" xfId="1" applyFont="1" applyBorder="1" applyAlignment="1">
      <alignment horizontal="center" vertical="center" wrapText="1" readingOrder="1"/>
    </xf>
    <xf numFmtId="0" fontId="61" fillId="0" borderId="8" xfId="1" applyFont="1" applyBorder="1" applyAlignment="1">
      <alignment horizontal="center" vertical="center" wrapText="1" readingOrder="1"/>
    </xf>
    <xf numFmtId="164" fontId="61" fillId="0" borderId="8" xfId="4" applyFont="1" applyBorder="1" applyAlignment="1">
      <alignment vertical="center"/>
    </xf>
    <xf numFmtId="0" fontId="59" fillId="0" borderId="8" xfId="1" applyFont="1" applyBorder="1" applyAlignment="1">
      <alignment horizontal="left" vertical="center" wrapText="1" readingOrder="1"/>
    </xf>
    <xf numFmtId="164" fontId="57" fillId="3" borderId="14" xfId="2" applyFont="1" applyFill="1" applyBorder="1" applyAlignment="1">
      <alignment horizontal="center" vertical="center" wrapText="1" readingOrder="1"/>
    </xf>
    <xf numFmtId="164" fontId="32" fillId="3" borderId="69" xfId="2" applyFont="1" applyFill="1" applyBorder="1" applyAlignment="1">
      <alignment horizontal="center" vertical="center" wrapText="1" readingOrder="1"/>
    </xf>
    <xf numFmtId="164" fontId="32" fillId="3" borderId="70" xfId="2" applyFont="1" applyFill="1" applyBorder="1" applyAlignment="1">
      <alignment horizontal="center" vertical="center" wrapText="1" readingOrder="1"/>
    </xf>
    <xf numFmtId="0" fontId="59" fillId="0" borderId="3" xfId="1" applyFont="1" applyBorder="1" applyAlignment="1">
      <alignment horizontal="center" vertical="center" wrapText="1" readingOrder="1"/>
    </xf>
    <xf numFmtId="0" fontId="59" fillId="0" borderId="6" xfId="1" applyFont="1" applyBorder="1" applyAlignment="1">
      <alignment horizontal="left" vertical="center" wrapText="1" readingOrder="1"/>
    </xf>
    <xf numFmtId="164" fontId="57" fillId="14" borderId="14" xfId="2" applyFont="1" applyFill="1" applyBorder="1" applyAlignment="1">
      <alignment horizontal="center" vertical="center" wrapText="1" readingOrder="1"/>
    </xf>
    <xf numFmtId="0" fontId="37" fillId="0" borderId="27" xfId="1" applyFont="1" applyBorder="1" applyAlignment="1">
      <alignment horizontal="center" vertical="center" wrapText="1" readingOrder="1"/>
    </xf>
    <xf numFmtId="164" fontId="58" fillId="3" borderId="81" xfId="2" applyFont="1" applyFill="1" applyBorder="1" applyAlignment="1">
      <alignment horizontal="center" vertical="center" wrapText="1" readingOrder="1"/>
    </xf>
    <xf numFmtId="164" fontId="58" fillId="3" borderId="136" xfId="2" applyFont="1" applyFill="1" applyBorder="1" applyAlignment="1">
      <alignment horizontal="center" vertical="center" wrapText="1" readingOrder="1"/>
    </xf>
    <xf numFmtId="164" fontId="58" fillId="3" borderId="103" xfId="2" applyFont="1" applyFill="1" applyBorder="1" applyAlignment="1">
      <alignment horizontal="center" vertical="center" wrapText="1" readingOrder="1"/>
    </xf>
    <xf numFmtId="164" fontId="58" fillId="3" borderId="89" xfId="2" applyFont="1" applyFill="1" applyBorder="1" applyAlignment="1">
      <alignment horizontal="center" vertical="center" wrapText="1" readingOrder="1"/>
    </xf>
    <xf numFmtId="164" fontId="55" fillId="0" borderId="102" xfId="2" applyFont="1" applyFill="1" applyBorder="1" applyAlignment="1">
      <alignment horizontal="center" vertical="center" wrapText="1" readingOrder="1"/>
    </xf>
    <xf numFmtId="164" fontId="61" fillId="0" borderId="36" xfId="2" applyFont="1" applyFill="1" applyBorder="1" applyAlignment="1">
      <alignment horizontal="center" vertical="center" wrapText="1" readingOrder="1"/>
    </xf>
    <xf numFmtId="164" fontId="55" fillId="0" borderId="97" xfId="2" applyFont="1" applyFill="1" applyBorder="1" applyAlignment="1">
      <alignment horizontal="center" vertical="center" wrapText="1" readingOrder="1"/>
    </xf>
    <xf numFmtId="164" fontId="63" fillId="3" borderId="81" xfId="2" applyFont="1" applyFill="1" applyBorder="1" applyAlignment="1">
      <alignment horizontal="center" vertical="center" wrapText="1" readingOrder="1"/>
    </xf>
    <xf numFmtId="164" fontId="63" fillId="3" borderId="139" xfId="2" applyFont="1" applyFill="1" applyBorder="1" applyAlignment="1">
      <alignment horizontal="center" vertical="center" wrapText="1" readingOrder="1"/>
    </xf>
    <xf numFmtId="164" fontId="63" fillId="3" borderId="105" xfId="2" applyFont="1" applyFill="1" applyBorder="1" applyAlignment="1">
      <alignment horizontal="center" vertical="center" wrapText="1" readingOrder="1"/>
    </xf>
    <xf numFmtId="164" fontId="63" fillId="3" borderId="83" xfId="2" applyFont="1" applyFill="1" applyBorder="1" applyAlignment="1">
      <alignment horizontal="center" vertical="center" wrapText="1" readingOrder="1"/>
    </xf>
    <xf numFmtId="164" fontId="63" fillId="3" borderId="143" xfId="2" applyFont="1" applyFill="1" applyBorder="1" applyAlignment="1">
      <alignment horizontal="center" vertical="center" wrapText="1" readingOrder="1"/>
    </xf>
    <xf numFmtId="164" fontId="63" fillId="3" borderId="80" xfId="2" applyFont="1" applyFill="1" applyBorder="1" applyAlignment="1">
      <alignment horizontal="center" vertical="center" wrapText="1" readingOrder="1"/>
    </xf>
    <xf numFmtId="164" fontId="63" fillId="3" borderId="125" xfId="2" applyFont="1" applyFill="1" applyBorder="1" applyAlignment="1">
      <alignment horizontal="center" vertical="center" wrapText="1" readingOrder="1"/>
    </xf>
    <xf numFmtId="0" fontId="58" fillId="3" borderId="124" xfId="0" applyFont="1" applyFill="1" applyBorder="1">
      <alignment vertical="center"/>
    </xf>
    <xf numFmtId="164" fontId="57" fillId="2" borderId="44" xfId="2" applyFont="1" applyFill="1" applyBorder="1" applyAlignment="1">
      <alignment horizontal="center" vertical="center" wrapText="1" readingOrder="1"/>
    </xf>
    <xf numFmtId="164" fontId="57" fillId="2" borderId="64" xfId="2" applyFont="1" applyFill="1" applyBorder="1" applyAlignment="1">
      <alignment horizontal="center" vertical="center" wrapText="1" readingOrder="1"/>
    </xf>
    <xf numFmtId="164" fontId="57" fillId="2" borderId="54" xfId="2" applyFont="1" applyFill="1" applyBorder="1" applyAlignment="1">
      <alignment horizontal="center" vertical="center" wrapText="1" readingOrder="1"/>
    </xf>
    <xf numFmtId="164" fontId="58" fillId="3" borderId="46" xfId="2" applyFont="1" applyFill="1" applyBorder="1" applyAlignment="1">
      <alignment horizontal="center" vertical="center" wrapText="1" readingOrder="1"/>
    </xf>
    <xf numFmtId="164" fontId="58" fillId="0" borderId="75" xfId="2" applyFont="1" applyFill="1" applyBorder="1" applyAlignment="1">
      <alignment horizontal="center" vertical="center" wrapText="1" readingOrder="1"/>
    </xf>
    <xf numFmtId="0" fontId="37" fillId="0" borderId="21" xfId="1" applyFont="1" applyBorder="1" applyAlignment="1">
      <alignment horizontal="center" vertical="center" wrapText="1" readingOrder="1"/>
    </xf>
    <xf numFmtId="164" fontId="61" fillId="3" borderId="8" xfId="2" applyFont="1" applyFill="1" applyBorder="1" applyAlignment="1">
      <alignment horizontal="center" vertical="center" wrapText="1" readingOrder="1"/>
    </xf>
    <xf numFmtId="0" fontId="54" fillId="0" borderId="0" xfId="14" applyFont="1">
      <alignment vertical="center"/>
    </xf>
    <xf numFmtId="0" fontId="54" fillId="0" borderId="9" xfId="14" applyFont="1" applyBorder="1">
      <alignment vertical="center"/>
    </xf>
    <xf numFmtId="9" fontId="54" fillId="0" borderId="9" xfId="14" applyNumberFormat="1" applyFont="1" applyBorder="1">
      <alignment vertical="center"/>
    </xf>
    <xf numFmtId="0" fontId="49" fillId="13" borderId="9" xfId="14" applyFont="1" applyFill="1" applyBorder="1">
      <alignment vertical="center"/>
    </xf>
    <xf numFmtId="9" fontId="49" fillId="13" borderId="9" xfId="14" applyNumberFormat="1" applyFont="1" applyFill="1" applyBorder="1">
      <alignment vertical="center"/>
    </xf>
    <xf numFmtId="0" fontId="54" fillId="18" borderId="9" xfId="14" applyFont="1" applyFill="1" applyBorder="1">
      <alignment vertical="center"/>
    </xf>
    <xf numFmtId="9" fontId="54" fillId="18" borderId="9" xfId="14" applyNumberFormat="1" applyFont="1" applyFill="1" applyBorder="1">
      <alignment vertical="center"/>
    </xf>
    <xf numFmtId="165" fontId="54" fillId="0" borderId="9" xfId="5" applyNumberFormat="1" applyFont="1" applyBorder="1" applyAlignment="1">
      <alignment vertical="center"/>
    </xf>
    <xf numFmtId="0" fontId="54" fillId="3" borderId="9" xfId="14" applyFont="1" applyFill="1" applyBorder="1">
      <alignment vertical="center"/>
    </xf>
    <xf numFmtId="9" fontId="54" fillId="3" borderId="9" xfId="14" applyNumberFormat="1" applyFont="1" applyFill="1" applyBorder="1">
      <alignment vertical="center"/>
    </xf>
    <xf numFmtId="0" fontId="54" fillId="8" borderId="9" xfId="14" applyFont="1" applyFill="1" applyBorder="1">
      <alignment vertical="center"/>
    </xf>
    <xf numFmtId="9" fontId="54" fillId="8" borderId="9" xfId="14" applyNumberFormat="1" applyFont="1" applyFill="1" applyBorder="1">
      <alignment vertical="center"/>
    </xf>
    <xf numFmtId="9" fontId="49" fillId="8" borderId="9" xfId="14" applyNumberFormat="1" applyFont="1" applyFill="1" applyBorder="1">
      <alignment vertical="center"/>
    </xf>
    <xf numFmtId="164" fontId="56" fillId="0" borderId="3" xfId="2" applyFont="1" applyFill="1" applyBorder="1" applyAlignment="1">
      <alignment vertical="center" wrapText="1" readingOrder="1"/>
    </xf>
    <xf numFmtId="164" fontId="61" fillId="3" borderId="21" xfId="4" applyFont="1" applyFill="1" applyBorder="1" applyAlignment="1">
      <alignment vertical="center"/>
    </xf>
    <xf numFmtId="164" fontId="61" fillId="3" borderId="27" xfId="4" applyFont="1" applyFill="1" applyBorder="1" applyAlignment="1">
      <alignment vertical="center"/>
    </xf>
    <xf numFmtId="164" fontId="61" fillId="3" borderId="8" xfId="4" applyFont="1" applyFill="1" applyBorder="1" applyAlignment="1">
      <alignment vertical="center"/>
    </xf>
    <xf numFmtId="164" fontId="61" fillId="3" borderId="7" xfId="4" applyFont="1" applyFill="1" applyBorder="1" applyAlignment="1">
      <alignment vertical="center"/>
    </xf>
    <xf numFmtId="164" fontId="116" fillId="0" borderId="9" xfId="18" applyFont="1" applyBorder="1" applyAlignment="1">
      <alignment vertical="center"/>
    </xf>
    <xf numFmtId="9" fontId="116" fillId="0" borderId="9" xfId="3" applyFont="1" applyBorder="1">
      <alignment vertical="center"/>
    </xf>
    <xf numFmtId="170" fontId="116" fillId="0" borderId="9" xfId="3" applyNumberFormat="1" applyFont="1" applyBorder="1">
      <alignment vertical="center"/>
    </xf>
    <xf numFmtId="9" fontId="116" fillId="0" borderId="9" xfId="9" applyFont="1" applyBorder="1">
      <alignment vertical="center"/>
    </xf>
    <xf numFmtId="38" fontId="116" fillId="0" borderId="9" xfId="0" applyNumberFormat="1" applyFont="1" applyBorder="1">
      <alignment vertical="center"/>
    </xf>
    <xf numFmtId="0" fontId="116" fillId="0" borderId="9" xfId="0" applyFont="1" applyBorder="1">
      <alignment vertical="center"/>
    </xf>
    <xf numFmtId="9" fontId="116" fillId="0" borderId="10" xfId="3" applyFont="1" applyBorder="1">
      <alignment vertical="center"/>
    </xf>
    <xf numFmtId="170" fontId="116" fillId="0" borderId="10" xfId="3" applyNumberFormat="1" applyFont="1" applyBorder="1">
      <alignment vertical="center"/>
    </xf>
    <xf numFmtId="9" fontId="116" fillId="0" borderId="10" xfId="9" applyFont="1" applyBorder="1">
      <alignment vertical="center"/>
    </xf>
    <xf numFmtId="0" fontId="119" fillId="0" borderId="0" xfId="0" applyFont="1">
      <alignment vertical="center"/>
    </xf>
    <xf numFmtId="0" fontId="119" fillId="0" borderId="176" xfId="0" applyFont="1" applyBorder="1">
      <alignment vertical="center"/>
    </xf>
    <xf numFmtId="164" fontId="58" fillId="3" borderId="51" xfId="2" applyFont="1" applyFill="1" applyBorder="1" applyAlignment="1">
      <alignment horizontal="center" vertical="center" wrapText="1" readingOrder="1"/>
    </xf>
    <xf numFmtId="164" fontId="58" fillId="3" borderId="80" xfId="2" applyFont="1" applyFill="1" applyBorder="1" applyAlignment="1">
      <alignment horizontal="center" vertical="center" wrapText="1" readingOrder="1"/>
    </xf>
    <xf numFmtId="164" fontId="58" fillId="3" borderId="0" xfId="2" applyFont="1" applyFill="1" applyBorder="1" applyAlignment="1">
      <alignment horizontal="center" vertical="center" wrapText="1" readingOrder="1"/>
    </xf>
    <xf numFmtId="164" fontId="57" fillId="17" borderId="18" xfId="2" applyFont="1" applyFill="1" applyBorder="1" applyAlignment="1">
      <alignment horizontal="center" vertical="center" wrapText="1" readingOrder="1"/>
    </xf>
    <xf numFmtId="0" fontId="54" fillId="0" borderId="0" xfId="21" applyFont="1" applyAlignment="1">
      <alignment horizontal="center" vertical="center"/>
    </xf>
    <xf numFmtId="0" fontId="54" fillId="0" borderId="0" xfId="21" applyFont="1" applyAlignment="1">
      <alignment vertical="center"/>
    </xf>
    <xf numFmtId="0" fontId="49" fillId="0" borderId="0" xfId="21" applyFont="1" applyAlignment="1">
      <alignment horizontal="center" vertical="center"/>
    </xf>
    <xf numFmtId="0" fontId="49" fillId="0" borderId="0" xfId="21" applyFont="1" applyAlignment="1">
      <alignment vertical="center"/>
    </xf>
    <xf numFmtId="9" fontId="94" fillId="0" borderId="0" xfId="21" applyNumberFormat="1" applyFont="1" applyAlignment="1">
      <alignment vertical="center"/>
    </xf>
    <xf numFmtId="9" fontId="54" fillId="0" borderId="0" xfId="21" applyNumberFormat="1" applyFont="1" applyAlignment="1">
      <alignment vertical="center"/>
    </xf>
    <xf numFmtId="0" fontId="88" fillId="18" borderId="5" xfId="21" applyFont="1" applyFill="1" applyBorder="1" applyAlignment="1">
      <alignment vertical="center"/>
    </xf>
    <xf numFmtId="0" fontId="88" fillId="18" borderId="36" xfId="21" applyFont="1" applyFill="1" applyBorder="1" applyAlignment="1">
      <alignment vertical="center"/>
    </xf>
    <xf numFmtId="0" fontId="70" fillId="18" borderId="36" xfId="21" applyFont="1" applyFill="1" applyBorder="1" applyAlignment="1">
      <alignment vertical="center"/>
    </xf>
    <xf numFmtId="0" fontId="88" fillId="23" borderId="9" xfId="21" applyFont="1" applyFill="1" applyBorder="1" applyAlignment="1">
      <alignment horizontal="center" vertical="center"/>
    </xf>
    <xf numFmtId="0" fontId="88" fillId="13" borderId="9" xfId="21" applyFont="1" applyFill="1" applyBorder="1" applyAlignment="1">
      <alignment horizontal="center" vertical="center" wrapText="1"/>
    </xf>
    <xf numFmtId="0" fontId="88" fillId="13" borderId="9" xfId="21" applyFont="1" applyFill="1" applyBorder="1" applyAlignment="1">
      <alignment horizontal="center" vertical="center"/>
    </xf>
    <xf numFmtId="0" fontId="88" fillId="0" borderId="0" xfId="21" applyFont="1" applyAlignment="1">
      <alignment vertical="center"/>
    </xf>
    <xf numFmtId="0" fontId="88" fillId="0" borderId="9" xfId="21" applyFont="1" applyBorder="1" applyAlignment="1">
      <alignment horizontal="center" vertical="center"/>
    </xf>
    <xf numFmtId="0" fontId="88" fillId="0" borderId="9" xfId="21" applyFont="1" applyBorder="1" applyAlignment="1">
      <alignment horizontal="center" vertical="center" wrapText="1"/>
    </xf>
    <xf numFmtId="0" fontId="88" fillId="18" borderId="9" xfId="21" applyFont="1" applyFill="1" applyBorder="1" applyAlignment="1">
      <alignment horizontal="center" vertical="center" wrapText="1"/>
    </xf>
    <xf numFmtId="0" fontId="88" fillId="18" borderId="9" xfId="21" applyFont="1" applyFill="1" applyBorder="1" applyAlignment="1">
      <alignment horizontal="center" vertical="center"/>
    </xf>
    <xf numFmtId="0" fontId="70" fillId="18" borderId="9" xfId="21" applyFont="1" applyFill="1" applyBorder="1" applyAlignment="1">
      <alignment horizontal="center" vertical="center"/>
    </xf>
    <xf numFmtId="0" fontId="70" fillId="23" borderId="9" xfId="21" applyFont="1" applyFill="1" applyBorder="1" applyAlignment="1">
      <alignment horizontal="center" vertical="center" wrapText="1"/>
    </xf>
    <xf numFmtId="0" fontId="88" fillId="23" borderId="9" xfId="21" applyFont="1" applyFill="1" applyBorder="1" applyAlignment="1">
      <alignment horizontal="center" vertical="center" wrapText="1"/>
    </xf>
    <xf numFmtId="0" fontId="70" fillId="13" borderId="9" xfId="21" applyFont="1" applyFill="1" applyBorder="1" applyAlignment="1">
      <alignment horizontal="center" vertical="center" wrapText="1"/>
    </xf>
    <xf numFmtId="9" fontId="88" fillId="13" borderId="9" xfId="21" applyNumberFormat="1" applyFont="1" applyFill="1" applyBorder="1" applyAlignment="1">
      <alignment horizontal="center" vertical="center" wrapText="1"/>
    </xf>
    <xf numFmtId="0" fontId="70" fillId="18" borderId="9" xfId="21" applyFont="1" applyFill="1" applyBorder="1" applyAlignment="1">
      <alignment horizontal="center" vertical="center" wrapText="1"/>
    </xf>
    <xf numFmtId="9" fontId="88" fillId="18" borderId="9" xfId="21" applyNumberFormat="1" applyFont="1" applyFill="1" applyBorder="1" applyAlignment="1">
      <alignment horizontal="center" vertical="center" wrapText="1"/>
    </xf>
    <xf numFmtId="9" fontId="88" fillId="23" borderId="9" xfId="21" applyNumberFormat="1" applyFont="1" applyFill="1" applyBorder="1" applyAlignment="1">
      <alignment horizontal="center" vertical="center" wrapText="1"/>
    </xf>
    <xf numFmtId="0" fontId="54" fillId="0" borderId="0" xfId="21" applyFont="1" applyAlignment="1">
      <alignment horizontal="center" vertical="center" wrapText="1"/>
    </xf>
    <xf numFmtId="0" fontId="88" fillId="0" borderId="8" xfId="21" applyFont="1" applyBorder="1" applyAlignment="1">
      <alignment horizontal="center" vertical="center"/>
    </xf>
    <xf numFmtId="0" fontId="88" fillId="0" borderId="8" xfId="21" applyFont="1" applyBorder="1" applyAlignment="1">
      <alignment vertical="center"/>
    </xf>
    <xf numFmtId="38" fontId="70" fillId="0" borderId="9" xfId="21" applyNumberFormat="1" applyFont="1" applyBorder="1" applyAlignment="1">
      <alignment vertical="center"/>
    </xf>
    <xf numFmtId="38" fontId="88" fillId="0" borderId="9" xfId="21" applyNumberFormat="1" applyFont="1" applyBorder="1" applyAlignment="1">
      <alignment vertical="center"/>
    </xf>
    <xf numFmtId="0" fontId="88" fillId="0" borderId="9" xfId="21" quotePrefix="1" applyFont="1" applyBorder="1" applyAlignment="1">
      <alignment vertical="center"/>
    </xf>
    <xf numFmtId="167" fontId="88" fillId="0" borderId="9" xfId="21" applyNumberFormat="1" applyFont="1" applyBorder="1" applyAlignment="1">
      <alignment vertical="center"/>
    </xf>
    <xf numFmtId="170" fontId="88" fillId="0" borderId="9" xfId="21" quotePrefix="1" applyNumberFormat="1" applyFont="1" applyBorder="1" applyAlignment="1">
      <alignment vertical="center"/>
    </xf>
    <xf numFmtId="9" fontId="88" fillId="0" borderId="9" xfId="21" quotePrefix="1" applyNumberFormat="1" applyFont="1" applyBorder="1" applyAlignment="1">
      <alignment vertical="center"/>
    </xf>
    <xf numFmtId="0" fontId="88" fillId="0" borderId="9" xfId="21" applyFont="1" applyBorder="1" applyAlignment="1">
      <alignment vertical="center"/>
    </xf>
    <xf numFmtId="9" fontId="88" fillId="0" borderId="9" xfId="21" applyNumberFormat="1" applyFont="1" applyBorder="1" applyAlignment="1">
      <alignment vertical="center"/>
    </xf>
    <xf numFmtId="0" fontId="92" fillId="0" borderId="0" xfId="21" applyFont="1" applyAlignment="1">
      <alignment vertical="center"/>
    </xf>
    <xf numFmtId="0" fontId="88" fillId="0" borderId="7" xfId="21" applyFont="1" applyBorder="1" applyAlignment="1">
      <alignment horizontal="center" vertical="center"/>
    </xf>
    <xf numFmtId="0" fontId="88" fillId="0" borderId="7" xfId="21" applyFont="1" applyBorder="1" applyAlignment="1">
      <alignment vertical="center"/>
    </xf>
    <xf numFmtId="0" fontId="102" fillId="0" borderId="8" xfId="21" applyFont="1" applyBorder="1" applyAlignment="1">
      <alignment vertical="center"/>
    </xf>
    <xf numFmtId="0" fontId="88" fillId="0" borderId="175" xfId="21" applyFont="1" applyBorder="1" applyAlignment="1">
      <alignment vertical="center"/>
    </xf>
    <xf numFmtId="0" fontId="102" fillId="0" borderId="7" xfId="21" applyFont="1" applyBorder="1" applyAlignment="1">
      <alignment vertical="center"/>
    </xf>
    <xf numFmtId="0" fontId="54" fillId="0" borderId="8" xfId="21" applyFont="1" applyBorder="1" applyAlignment="1">
      <alignment vertical="center"/>
    </xf>
    <xf numFmtId="0" fontId="54" fillId="0" borderId="7" xfId="21" applyFont="1" applyBorder="1" applyAlignment="1">
      <alignment vertical="center"/>
    </xf>
    <xf numFmtId="0" fontId="88" fillId="0" borderId="9" xfId="21" applyFont="1" applyBorder="1" applyAlignment="1">
      <alignment horizontal="left" vertical="center"/>
    </xf>
    <xf numFmtId="0" fontId="97" fillId="0" borderId="9" xfId="21" applyFont="1" applyBorder="1" applyAlignment="1">
      <alignment horizontal="center" vertical="center"/>
    </xf>
    <xf numFmtId="38" fontId="113" fillId="0" borderId="9" xfId="21" applyNumberFormat="1" applyFont="1" applyBorder="1" applyAlignment="1">
      <alignment vertical="center"/>
    </xf>
    <xf numFmtId="0" fontId="97" fillId="0" borderId="9" xfId="21" quotePrefix="1" applyFont="1" applyBorder="1" applyAlignment="1">
      <alignment vertical="center"/>
    </xf>
    <xf numFmtId="0" fontId="112" fillId="0" borderId="8" xfId="21" applyFont="1" applyBorder="1" applyAlignment="1">
      <alignment vertical="center"/>
    </xf>
    <xf numFmtId="0" fontId="112" fillId="0" borderId="7" xfId="21" applyFont="1" applyBorder="1" applyAlignment="1">
      <alignment vertical="center"/>
    </xf>
    <xf numFmtId="0" fontId="102" fillId="0" borderId="7" xfId="21" applyFont="1" applyBorder="1" applyAlignment="1">
      <alignment horizontal="center" vertical="center"/>
    </xf>
    <xf numFmtId="0" fontId="88" fillId="0" borderId="154" xfId="21" applyFont="1" applyBorder="1" applyAlignment="1">
      <alignment vertical="center"/>
    </xf>
    <xf numFmtId="0" fontId="88" fillId="0" borderId="152" xfId="21" applyFont="1" applyBorder="1" applyAlignment="1">
      <alignment vertical="center"/>
    </xf>
    <xf numFmtId="0" fontId="88" fillId="0" borderId="4" xfId="21" applyFont="1" applyBorder="1" applyAlignment="1">
      <alignment horizontal="center" vertical="center"/>
    </xf>
    <xf numFmtId="0" fontId="88" fillId="0" borderId="156" xfId="21" applyFont="1" applyBorder="1" applyAlignment="1">
      <alignment vertical="center"/>
    </xf>
    <xf numFmtId="0" fontId="88" fillId="0" borderId="58" xfId="21" applyFont="1" applyBorder="1" applyAlignment="1">
      <alignment horizontal="center" vertical="center"/>
    </xf>
    <xf numFmtId="0" fontId="88" fillId="0" borderId="10" xfId="21" applyFont="1" applyBorder="1" applyAlignment="1">
      <alignment horizontal="center" vertical="center"/>
    </xf>
    <xf numFmtId="38" fontId="70" fillId="0" borderId="10" xfId="21" applyNumberFormat="1" applyFont="1" applyBorder="1" applyAlignment="1">
      <alignment vertical="center"/>
    </xf>
    <xf numFmtId="38" fontId="88" fillId="0" borderId="10" xfId="21" applyNumberFormat="1" applyFont="1" applyBorder="1" applyAlignment="1">
      <alignment vertical="center"/>
    </xf>
    <xf numFmtId="0" fontId="88" fillId="0" borderId="10" xfId="21" quotePrefix="1" applyFont="1" applyBorder="1" applyAlignment="1">
      <alignment vertical="center"/>
    </xf>
    <xf numFmtId="167" fontId="88" fillId="0" borderId="10" xfId="21" applyNumberFormat="1" applyFont="1" applyBorder="1" applyAlignment="1">
      <alignment vertical="center"/>
    </xf>
    <xf numFmtId="9" fontId="88" fillId="0" borderId="10" xfId="21" quotePrefix="1" applyNumberFormat="1" applyFont="1" applyBorder="1" applyAlignment="1">
      <alignment vertical="center"/>
    </xf>
    <xf numFmtId="0" fontId="116" fillId="0" borderId="10" xfId="21" applyFont="1" applyBorder="1" applyAlignment="1">
      <alignment horizontal="center" vertical="center"/>
    </xf>
    <xf numFmtId="0" fontId="116" fillId="0" borderId="154" xfId="21" applyFont="1" applyBorder="1" applyAlignment="1">
      <alignment vertical="center"/>
    </xf>
    <xf numFmtId="0" fontId="116" fillId="0" borderId="10" xfId="21" applyFont="1" applyBorder="1" applyAlignment="1">
      <alignment vertical="center"/>
    </xf>
    <xf numFmtId="0" fontId="116" fillId="0" borderId="9" xfId="21" applyFont="1" applyBorder="1" applyAlignment="1">
      <alignment horizontal="center" vertical="center"/>
    </xf>
    <xf numFmtId="38" fontId="117" fillId="0" borderId="9" xfId="21" applyNumberFormat="1" applyFont="1" applyBorder="1" applyAlignment="1">
      <alignment vertical="center"/>
    </xf>
    <xf numFmtId="38" fontId="116" fillId="0" borderId="9" xfId="21" applyNumberFormat="1" applyFont="1" applyBorder="1" applyAlignment="1">
      <alignment vertical="center"/>
    </xf>
    <xf numFmtId="0" fontId="116" fillId="0" borderId="9" xfId="21" applyFont="1" applyBorder="1" applyAlignment="1">
      <alignment vertical="center"/>
    </xf>
    <xf numFmtId="167" fontId="116" fillId="0" borderId="9" xfId="21" applyNumberFormat="1" applyFont="1" applyBorder="1" applyAlignment="1">
      <alignment vertical="center"/>
    </xf>
    <xf numFmtId="170" fontId="116" fillId="0" borderId="9" xfId="21" applyNumberFormat="1" applyFont="1" applyBorder="1" applyAlignment="1">
      <alignment vertical="center"/>
    </xf>
    <xf numFmtId="9" fontId="116" fillId="0" borderId="9" xfId="21" quotePrefix="1" applyNumberFormat="1" applyFont="1" applyBorder="1" applyAlignment="1">
      <alignment vertical="center"/>
    </xf>
    <xf numFmtId="9" fontId="116" fillId="0" borderId="9" xfId="21" applyNumberFormat="1" applyFont="1" applyBorder="1" applyAlignment="1">
      <alignment vertical="center"/>
    </xf>
    <xf numFmtId="0" fontId="116" fillId="0" borderId="9" xfId="21" quotePrefix="1" applyFont="1" applyBorder="1" applyAlignment="1">
      <alignment vertical="center"/>
    </xf>
    <xf numFmtId="0" fontId="118" fillId="0" borderId="0" xfId="21" applyFont="1" applyAlignment="1">
      <alignment vertical="center"/>
    </xf>
    <xf numFmtId="0" fontId="116" fillId="0" borderId="8" xfId="21" applyFont="1" applyBorder="1" applyAlignment="1">
      <alignment horizontal="center" vertical="center"/>
    </xf>
    <xf numFmtId="0" fontId="116" fillId="0" borderId="152" xfId="21" applyFont="1" applyBorder="1" applyAlignment="1">
      <alignment vertical="center"/>
    </xf>
    <xf numFmtId="0" fontId="116" fillId="0" borderId="8" xfId="21" applyFont="1" applyBorder="1" applyAlignment="1">
      <alignment vertical="center"/>
    </xf>
    <xf numFmtId="0" fontId="116" fillId="0" borderId="156" xfId="21" applyFont="1" applyBorder="1" applyAlignment="1">
      <alignment vertical="center"/>
    </xf>
    <xf numFmtId="0" fontId="116" fillId="0" borderId="175" xfId="21" applyFont="1" applyBorder="1" applyAlignment="1">
      <alignment vertical="center"/>
    </xf>
    <xf numFmtId="38" fontId="117" fillId="0" borderId="10" xfId="21" applyNumberFormat="1" applyFont="1" applyBorder="1" applyAlignment="1">
      <alignment vertical="center"/>
    </xf>
    <xf numFmtId="38" fontId="116" fillId="0" borderId="10" xfId="21" applyNumberFormat="1" applyFont="1" applyBorder="1" applyAlignment="1">
      <alignment vertical="center"/>
    </xf>
    <xf numFmtId="167" fontId="116" fillId="0" borderId="10" xfId="21" applyNumberFormat="1" applyFont="1" applyBorder="1" applyAlignment="1">
      <alignment vertical="center"/>
    </xf>
    <xf numFmtId="9" fontId="116" fillId="0" borderId="10" xfId="21" quotePrefix="1" applyNumberFormat="1" applyFont="1" applyBorder="1" applyAlignment="1">
      <alignment vertical="center"/>
    </xf>
    <xf numFmtId="0" fontId="88" fillId="0" borderId="151" xfId="21" applyFont="1" applyBorder="1" applyAlignment="1">
      <alignment vertical="center"/>
    </xf>
    <xf numFmtId="0" fontId="54" fillId="0" borderId="10" xfId="21" applyFont="1" applyBorder="1" applyAlignment="1">
      <alignment vertical="center"/>
    </xf>
    <xf numFmtId="0" fontId="54" fillId="0" borderId="175" xfId="21" applyFont="1" applyBorder="1" applyAlignment="1">
      <alignment vertical="center"/>
    </xf>
    <xf numFmtId="0" fontId="54" fillId="0" borderId="9" xfId="21" quotePrefix="1" applyFont="1" applyBorder="1" applyAlignment="1">
      <alignment vertical="center"/>
    </xf>
    <xf numFmtId="0" fontId="54" fillId="0" borderId="9" xfId="21" applyFont="1" applyBorder="1" applyAlignment="1">
      <alignment horizontal="center" vertical="center"/>
    </xf>
    <xf numFmtId="0" fontId="54" fillId="0" borderId="9" xfId="21" applyFont="1" applyBorder="1" applyAlignment="1">
      <alignment vertical="center"/>
    </xf>
    <xf numFmtId="0" fontId="54" fillId="13" borderId="9" xfId="21" applyFont="1" applyFill="1" applyBorder="1" applyAlignment="1">
      <alignment horizontal="center" vertical="center"/>
    </xf>
    <xf numFmtId="38" fontId="49" fillId="0" borderId="9" xfId="21" applyNumberFormat="1" applyFont="1" applyBorder="1" applyAlignment="1">
      <alignment vertical="center"/>
    </xf>
    <xf numFmtId="38" fontId="54" fillId="0" borderId="9" xfId="21" applyNumberFormat="1" applyFont="1" applyBorder="1" applyAlignment="1">
      <alignment vertical="center"/>
    </xf>
    <xf numFmtId="38" fontId="96" fillId="0" borderId="9" xfId="21" applyNumberFormat="1" applyFont="1" applyBorder="1" applyAlignment="1">
      <alignment vertical="center"/>
    </xf>
    <xf numFmtId="167" fontId="96" fillId="0" borderId="9" xfId="21" applyNumberFormat="1" applyFont="1" applyBorder="1" applyAlignment="1">
      <alignment vertical="center"/>
    </xf>
    <xf numFmtId="0" fontId="54" fillId="0" borderId="7" xfId="21" applyFont="1" applyBorder="1" applyAlignment="1">
      <alignment horizontal="center" vertical="center"/>
    </xf>
    <xf numFmtId="0" fontId="97" fillId="0" borderId="9" xfId="21" applyFont="1" applyBorder="1" applyAlignment="1">
      <alignment vertical="center"/>
    </xf>
    <xf numFmtId="9" fontId="97" fillId="0" borderId="9" xfId="21" quotePrefix="1" applyNumberFormat="1" applyFont="1" applyBorder="1" applyAlignment="1">
      <alignment vertical="center"/>
    </xf>
    <xf numFmtId="0" fontId="54" fillId="0" borderId="5" xfId="21" applyFont="1" applyBorder="1" applyAlignment="1">
      <alignment vertical="center"/>
    </xf>
    <xf numFmtId="38" fontId="70" fillId="3" borderId="9" xfId="21" applyNumberFormat="1" applyFont="1" applyFill="1" applyBorder="1" applyAlignment="1">
      <alignment vertical="center"/>
    </xf>
    <xf numFmtId="170" fontId="88" fillId="0" borderId="9" xfId="21" applyNumberFormat="1" applyFont="1" applyBorder="1" applyAlignment="1">
      <alignment vertical="center"/>
    </xf>
    <xf numFmtId="0" fontId="88" fillId="0" borderId="10" xfId="21" applyFont="1" applyBorder="1" applyAlignment="1">
      <alignment vertical="center"/>
    </xf>
    <xf numFmtId="0" fontId="88" fillId="0" borderId="37" xfId="21" applyFont="1" applyBorder="1" applyAlignment="1">
      <alignment horizontal="center" vertical="center"/>
    </xf>
    <xf numFmtId="0" fontId="112" fillId="0" borderId="58" xfId="21" applyFont="1" applyBorder="1" applyAlignment="1">
      <alignment vertical="center"/>
    </xf>
    <xf numFmtId="0" fontId="88" fillId="0" borderId="3" xfId="21" applyFont="1" applyBorder="1" applyAlignment="1">
      <alignment horizontal="center" vertical="center"/>
    </xf>
    <xf numFmtId="0" fontId="112" fillId="0" borderId="6" xfId="21" applyFont="1" applyBorder="1" applyAlignment="1">
      <alignment vertical="center"/>
    </xf>
    <xf numFmtId="0" fontId="88" fillId="0" borderId="168" xfId="21" applyFont="1" applyBorder="1" applyAlignment="1">
      <alignment horizontal="center" vertical="center"/>
    </xf>
    <xf numFmtId="0" fontId="112" fillId="0" borderId="154" xfId="21" applyFont="1" applyBorder="1" applyAlignment="1">
      <alignment vertical="center"/>
    </xf>
    <xf numFmtId="0" fontId="88" fillId="0" borderId="174" xfId="21" applyFont="1" applyBorder="1" applyAlignment="1">
      <alignment horizontal="center" vertical="center"/>
    </xf>
    <xf numFmtId="0" fontId="88" fillId="0" borderId="36" xfId="21" applyFont="1" applyBorder="1" applyAlignment="1">
      <alignment vertical="center"/>
    </xf>
    <xf numFmtId="0" fontId="112" fillId="0" borderId="156" xfId="21" applyFont="1" applyBorder="1" applyAlignment="1">
      <alignment vertical="center"/>
    </xf>
    <xf numFmtId="0" fontId="88" fillId="0" borderId="3" xfId="21" applyFont="1" applyBorder="1" applyAlignment="1">
      <alignment vertical="center"/>
    </xf>
    <xf numFmtId="0" fontId="88" fillId="0" borderId="5" xfId="21" applyFont="1" applyBorder="1" applyAlignment="1">
      <alignment vertical="center"/>
    </xf>
    <xf numFmtId="0" fontId="112" fillId="0" borderId="9" xfId="21" applyFont="1" applyBorder="1" applyAlignment="1">
      <alignment vertical="center"/>
    </xf>
    <xf numFmtId="43" fontId="57" fillId="0" borderId="8" xfId="1" applyNumberFormat="1" applyFont="1" applyBorder="1" applyAlignment="1">
      <alignment horizontal="center" vertical="center" wrapText="1" readingOrder="1"/>
    </xf>
    <xf numFmtId="9" fontId="88" fillId="8" borderId="9" xfId="21" applyNumberFormat="1" applyFont="1" applyFill="1" applyBorder="1" applyAlignment="1">
      <alignment horizontal="center" vertical="center" wrapText="1"/>
    </xf>
    <xf numFmtId="0" fontId="88" fillId="8" borderId="9" xfId="0" quotePrefix="1" applyFont="1" applyFill="1" applyBorder="1">
      <alignment vertical="center"/>
    </xf>
    <xf numFmtId="0" fontId="112" fillId="8" borderId="8" xfId="21" applyFont="1" applyFill="1" applyBorder="1" applyAlignment="1">
      <alignment vertical="center"/>
    </xf>
    <xf numFmtId="0" fontId="112" fillId="8" borderId="7" xfId="21" applyFont="1" applyFill="1" applyBorder="1" applyAlignment="1">
      <alignment vertical="center"/>
    </xf>
    <xf numFmtId="0" fontId="70" fillId="0" borderId="8" xfId="1" applyFont="1" applyBorder="1" applyAlignment="1">
      <alignment horizontal="center" vertical="center" wrapText="1" readingOrder="1"/>
    </xf>
    <xf numFmtId="0" fontId="89" fillId="0" borderId="3" xfId="1" applyFont="1" applyBorder="1" applyAlignment="1">
      <alignment horizontal="center" vertical="center" wrapText="1" readingOrder="1"/>
    </xf>
    <xf numFmtId="164" fontId="58" fillId="0" borderId="51" xfId="2" applyFont="1" applyBorder="1" applyAlignment="1">
      <alignment horizontal="center" vertical="center" wrapText="1" readingOrder="1"/>
    </xf>
    <xf numFmtId="164" fontId="58" fillId="0" borderId="132" xfId="2" applyFont="1" applyBorder="1" applyAlignment="1">
      <alignment horizontal="center" vertical="center" wrapText="1" readingOrder="1"/>
    </xf>
    <xf numFmtId="164" fontId="61" fillId="0" borderId="54" xfId="2" applyFont="1" applyFill="1" applyBorder="1" applyAlignment="1">
      <alignment horizontal="center" vertical="center" wrapText="1" readingOrder="1"/>
    </xf>
    <xf numFmtId="164" fontId="58" fillId="0" borderId="133" xfId="2" applyFont="1" applyBorder="1" applyAlignment="1">
      <alignment horizontal="center" vertical="center" wrapText="1" readingOrder="1"/>
    </xf>
    <xf numFmtId="164" fontId="58" fillId="0" borderId="52" xfId="2" applyFont="1" applyBorder="1" applyAlignment="1">
      <alignment horizontal="center" vertical="center" wrapText="1" readingOrder="1"/>
    </xf>
    <xf numFmtId="0" fontId="60" fillId="0" borderId="27" xfId="1" applyFont="1" applyBorder="1" applyAlignment="1">
      <alignment horizontal="center" vertical="center" readingOrder="1"/>
    </xf>
    <xf numFmtId="164" fontId="58" fillId="3" borderId="132" xfId="2" applyFont="1" applyFill="1" applyBorder="1" applyAlignment="1">
      <alignment horizontal="center" vertical="center" wrapText="1" readingOrder="1"/>
    </xf>
    <xf numFmtId="0" fontId="57" fillId="0" borderId="21" xfId="1" applyFont="1" applyBorder="1" applyAlignment="1">
      <alignment horizontal="center" vertical="center" readingOrder="1"/>
    </xf>
    <xf numFmtId="164" fontId="61" fillId="9" borderId="96" xfId="2" applyFont="1" applyFill="1" applyBorder="1" applyAlignment="1">
      <alignment horizontal="center" vertical="center" wrapText="1" readingOrder="1"/>
    </xf>
    <xf numFmtId="164" fontId="55" fillId="0" borderId="22" xfId="2" applyFont="1" applyFill="1" applyBorder="1" applyAlignment="1">
      <alignment horizontal="center" vertical="center" wrapText="1" readingOrder="1"/>
    </xf>
    <xf numFmtId="164" fontId="55" fillId="0" borderId="23" xfId="2" applyFont="1" applyFill="1" applyBorder="1" applyAlignment="1">
      <alignment horizontal="center" vertical="center" wrapText="1" readingOrder="1"/>
    </xf>
    <xf numFmtId="164" fontId="61" fillId="3" borderId="20" xfId="2" applyFont="1" applyFill="1" applyBorder="1" applyAlignment="1">
      <alignment horizontal="center" vertical="center" wrapText="1" readingOrder="1"/>
    </xf>
    <xf numFmtId="164" fontId="61" fillId="5" borderId="21" xfId="2" applyFont="1" applyFill="1" applyBorder="1" applyAlignment="1">
      <alignment horizontal="center" vertical="center" wrapText="1" readingOrder="1"/>
    </xf>
    <xf numFmtId="0" fontId="63" fillId="0" borderId="37" xfId="1" applyFont="1" applyBorder="1" applyAlignment="1">
      <alignment horizontal="center" vertical="center" wrapText="1"/>
    </xf>
    <xf numFmtId="164" fontId="63" fillId="0" borderId="60" xfId="2" applyFont="1" applyFill="1" applyBorder="1" applyAlignment="1">
      <alignment horizontal="center" vertical="center" wrapText="1" readingOrder="1"/>
    </xf>
    <xf numFmtId="164" fontId="63" fillId="0" borderId="122" xfId="2" applyFont="1" applyFill="1" applyBorder="1" applyAlignment="1">
      <alignment horizontal="center" vertical="center" wrapText="1" readingOrder="1"/>
    </xf>
    <xf numFmtId="164" fontId="61" fillId="0" borderId="50" xfId="2" applyFont="1" applyBorder="1" applyAlignment="1">
      <alignment horizontal="center" vertical="center" wrapText="1" readingOrder="1"/>
    </xf>
    <xf numFmtId="0" fontId="16" fillId="0" borderId="8" xfId="0" applyFont="1" applyBorder="1" applyAlignment="1">
      <alignment horizontal="center" vertical="center"/>
    </xf>
    <xf numFmtId="164" fontId="63" fillId="0" borderId="13" xfId="2" applyFont="1" applyBorder="1" applyAlignment="1">
      <alignment horizontal="center" vertical="center" wrapText="1" readingOrder="1"/>
    </xf>
    <xf numFmtId="0" fontId="58" fillId="0" borderId="80" xfId="0" applyFont="1" applyBorder="1">
      <alignment vertical="center"/>
    </xf>
    <xf numFmtId="164" fontId="63" fillId="3" borderId="124" xfId="2" applyFont="1" applyFill="1" applyBorder="1" applyAlignment="1">
      <alignment horizontal="center" vertical="center" wrapText="1" readingOrder="1"/>
    </xf>
    <xf numFmtId="164" fontId="37" fillId="0" borderId="85" xfId="2" applyFont="1" applyFill="1" applyBorder="1" applyAlignment="1">
      <alignment horizontal="center" vertical="center" wrapText="1" readingOrder="1"/>
    </xf>
    <xf numFmtId="0" fontId="32" fillId="0" borderId="10" xfId="1" applyFont="1" applyBorder="1" applyAlignment="1">
      <alignment horizontal="left" vertical="center" readingOrder="1"/>
    </xf>
    <xf numFmtId="0" fontId="32" fillId="0" borderId="8" xfId="1" applyFont="1" applyBorder="1" applyAlignment="1">
      <alignment horizontal="left" vertical="center" readingOrder="1"/>
    </xf>
    <xf numFmtId="0" fontId="42" fillId="0" borderId="0" xfId="0" applyFont="1" applyAlignment="1">
      <alignment horizontal="left" vertical="center" wrapText="1"/>
    </xf>
    <xf numFmtId="0" fontId="35" fillId="0" borderId="7" xfId="1" applyFont="1" applyBorder="1" applyAlignment="1">
      <alignment horizontal="left" vertical="center" readingOrder="1"/>
    </xf>
    <xf numFmtId="0" fontId="59" fillId="0" borderId="3" xfId="1" applyFont="1" applyBorder="1" applyAlignment="1">
      <alignment horizontal="left" vertical="center" wrapText="1" readingOrder="1"/>
    </xf>
    <xf numFmtId="0" fontId="58" fillId="0" borderId="3" xfId="1" applyFont="1" applyBorder="1" applyAlignment="1">
      <alignment horizontal="left" vertical="center" wrapText="1" readingOrder="1"/>
    </xf>
    <xf numFmtId="0" fontId="64" fillId="0" borderId="3" xfId="1" applyFont="1" applyBorder="1" applyAlignment="1">
      <alignment horizontal="left" vertical="center" wrapText="1" readingOrder="1"/>
    </xf>
    <xf numFmtId="0" fontId="11" fillId="0" borderId="8" xfId="1" applyFont="1" applyBorder="1" applyAlignment="1">
      <alignment horizontal="left" vertical="center" wrapText="1" readingOrder="1"/>
    </xf>
    <xf numFmtId="0" fontId="64" fillId="0" borderId="8" xfId="1" applyFont="1" applyBorder="1" applyAlignment="1">
      <alignment horizontal="left" vertical="center" wrapText="1" readingOrder="1"/>
    </xf>
    <xf numFmtId="0" fontId="64" fillId="0" borderId="27" xfId="1" applyFont="1" applyBorder="1" applyAlignment="1">
      <alignment horizontal="left" vertical="center" wrapText="1" readingOrder="1"/>
    </xf>
    <xf numFmtId="0" fontId="115" fillId="0" borderId="66" xfId="1" applyFont="1" applyBorder="1" applyAlignment="1">
      <alignment horizontal="left" vertical="center" wrapText="1" readingOrder="1"/>
    </xf>
    <xf numFmtId="0" fontId="67" fillId="0" borderId="10" xfId="1" applyFont="1" applyBorder="1" applyAlignment="1">
      <alignment horizontal="left" vertical="center" wrapText="1" readingOrder="1"/>
    </xf>
    <xf numFmtId="0" fontId="71" fillId="0" borderId="134" xfId="1" applyFont="1" applyBorder="1" applyAlignment="1">
      <alignment horizontal="left" vertical="center" wrapText="1" readingOrder="1"/>
    </xf>
    <xf numFmtId="0" fontId="67" fillId="0" borderId="100" xfId="1" applyFont="1" applyBorder="1" applyAlignment="1">
      <alignment horizontal="left" vertical="center" wrapText="1" readingOrder="1"/>
    </xf>
    <xf numFmtId="0" fontId="71" fillId="0" borderId="7" xfId="1" applyFont="1" applyBorder="1" applyAlignment="1">
      <alignment horizontal="left" vertical="center" wrapText="1" readingOrder="1"/>
    </xf>
    <xf numFmtId="0" fontId="67" fillId="0" borderId="93" xfId="1" applyFont="1" applyBorder="1" applyAlignment="1">
      <alignment horizontal="left" vertical="center" wrapText="1" readingOrder="1"/>
    </xf>
    <xf numFmtId="0" fontId="59" fillId="0" borderId="8" xfId="0" applyFont="1" applyBorder="1">
      <alignment vertical="center"/>
    </xf>
    <xf numFmtId="0" fontId="64" fillId="0" borderId="8" xfId="0" applyFont="1" applyBorder="1">
      <alignment vertical="center"/>
    </xf>
    <xf numFmtId="0" fontId="120" fillId="0" borderId="0" xfId="0" applyFont="1" applyAlignment="1">
      <alignment horizontal="left" vertical="center"/>
    </xf>
    <xf numFmtId="0" fontId="120" fillId="0" borderId="0" xfId="0" applyFont="1">
      <alignment vertical="center"/>
    </xf>
    <xf numFmtId="0" fontId="120" fillId="0" borderId="0" xfId="0" applyFont="1" applyAlignment="1">
      <alignment horizontal="center" vertical="center"/>
    </xf>
    <xf numFmtId="0" fontId="120" fillId="0" borderId="9" xfId="0" applyFont="1" applyBorder="1" applyAlignment="1">
      <alignment horizontal="left" vertical="center"/>
    </xf>
    <xf numFmtId="0" fontId="120" fillId="0" borderId="9" xfId="0" applyFont="1" applyBorder="1" applyAlignment="1">
      <alignment vertical="center" wrapText="1"/>
    </xf>
    <xf numFmtId="0" fontId="121" fillId="0" borderId="9" xfId="0" applyFont="1" applyBorder="1" applyAlignment="1">
      <alignment vertical="center" wrapText="1"/>
    </xf>
    <xf numFmtId="0" fontId="123" fillId="24" borderId="0" xfId="0" applyFont="1" applyFill="1" applyAlignment="1">
      <alignment horizontal="left" vertical="center"/>
    </xf>
    <xf numFmtId="0" fontId="120" fillId="0" borderId="0" xfId="0" quotePrefix="1" applyFont="1">
      <alignment vertical="center"/>
    </xf>
    <xf numFmtId="0" fontId="123" fillId="24" borderId="176" xfId="0" quotePrefix="1" applyFont="1" applyFill="1" applyBorder="1" applyAlignment="1">
      <alignment horizontal="left" vertical="center"/>
    </xf>
    <xf numFmtId="0" fontId="120" fillId="0" borderId="177" xfId="0" applyFont="1" applyBorder="1">
      <alignment vertical="center"/>
    </xf>
    <xf numFmtId="17" fontId="120" fillId="0" borderId="178" xfId="0" applyNumberFormat="1" applyFont="1" applyBorder="1" applyAlignment="1">
      <alignment horizontal="center" vertical="center"/>
    </xf>
    <xf numFmtId="17" fontId="120" fillId="0" borderId="179" xfId="0" applyNumberFormat="1" applyFont="1" applyBorder="1" applyAlignment="1">
      <alignment horizontal="center" vertical="center"/>
    </xf>
    <xf numFmtId="0" fontId="123" fillId="0" borderId="2" xfId="0" applyFont="1" applyBorder="1" applyAlignment="1">
      <alignment vertical="center" wrapText="1"/>
    </xf>
    <xf numFmtId="0" fontId="123" fillId="0" borderId="36" xfId="0" applyFont="1" applyBorder="1" applyAlignment="1">
      <alignment vertical="center" wrapText="1"/>
    </xf>
    <xf numFmtId="0" fontId="123" fillId="0" borderId="0" xfId="0" applyFont="1" applyAlignment="1">
      <alignment vertical="center" wrapText="1"/>
    </xf>
    <xf numFmtId="0" fontId="123" fillId="0" borderId="176" xfId="0" quotePrefix="1" applyFont="1" applyBorder="1" applyAlignment="1">
      <alignment vertical="center" wrapText="1"/>
    </xf>
    <xf numFmtId="0" fontId="123" fillId="0" borderId="176" xfId="0" applyFont="1" applyBorder="1" applyAlignment="1">
      <alignment horizontal="center" vertical="center" wrapText="1"/>
    </xf>
    <xf numFmtId="0" fontId="123" fillId="0" borderId="176" xfId="0" applyFont="1" applyBorder="1" applyAlignment="1">
      <alignment vertical="center" wrapText="1"/>
    </xf>
    <xf numFmtId="0" fontId="120" fillId="0" borderId="176" xfId="0" applyFont="1" applyBorder="1" applyAlignment="1">
      <alignment horizontal="left" vertical="center"/>
    </xf>
    <xf numFmtId="0" fontId="123" fillId="0" borderId="156" xfId="0" applyFont="1" applyBorder="1" applyAlignment="1">
      <alignment vertical="center" wrapText="1"/>
    </xf>
    <xf numFmtId="0" fontId="125" fillId="0" borderId="156" xfId="22" applyFont="1" applyBorder="1" applyAlignment="1">
      <alignment horizontal="center" vertical="center"/>
    </xf>
    <xf numFmtId="0" fontId="120" fillId="0" borderId="156" xfId="0" applyFont="1" applyBorder="1" applyAlignment="1">
      <alignment horizontal="center" vertical="center"/>
    </xf>
    <xf numFmtId="0" fontId="125" fillId="0" borderId="176" xfId="22" applyFont="1" applyBorder="1" applyAlignment="1">
      <alignment horizontal="center" vertical="center"/>
    </xf>
    <xf numFmtId="0" fontId="120" fillId="0" borderId="176" xfId="0" applyFont="1" applyBorder="1" applyAlignment="1">
      <alignment horizontal="center" vertical="center"/>
    </xf>
    <xf numFmtId="0" fontId="120" fillId="0" borderId="176" xfId="0" applyFont="1" applyBorder="1" applyAlignment="1">
      <alignment vertical="center" wrapText="1"/>
    </xf>
    <xf numFmtId="0" fontId="123" fillId="0" borderId="154" xfId="0" applyFont="1" applyBorder="1" applyAlignment="1">
      <alignment horizontal="center" vertical="center" wrapText="1"/>
    </xf>
    <xf numFmtId="0" fontId="120" fillId="0" borderId="154" xfId="0" applyFont="1" applyBorder="1" applyAlignment="1">
      <alignment horizontal="left" vertical="center"/>
    </xf>
    <xf numFmtId="0" fontId="123" fillId="0" borderId="157" xfId="0" applyFont="1" applyBorder="1" applyAlignment="1">
      <alignment vertical="center" wrapText="1"/>
    </xf>
    <xf numFmtId="0" fontId="123" fillId="0" borderId="181" xfId="0" applyFont="1" applyBorder="1" applyAlignment="1">
      <alignment horizontal="center" vertical="center" wrapText="1"/>
    </xf>
    <xf numFmtId="0" fontId="123" fillId="0" borderId="180" xfId="0" applyFont="1" applyBorder="1" applyAlignment="1">
      <alignment vertical="center" wrapText="1"/>
    </xf>
    <xf numFmtId="0" fontId="123" fillId="0" borderId="155" xfId="0" applyFont="1" applyBorder="1" applyAlignment="1">
      <alignment vertical="center" wrapText="1"/>
    </xf>
    <xf numFmtId="0" fontId="123" fillId="0" borderId="181" xfId="0" applyFont="1" applyBorder="1" applyAlignment="1">
      <alignment vertical="center" wrapText="1"/>
    </xf>
    <xf numFmtId="0" fontId="123" fillId="0" borderId="157" xfId="0" quotePrefix="1" applyFont="1" applyBorder="1" applyAlignment="1">
      <alignment vertical="center" wrapText="1"/>
    </xf>
    <xf numFmtId="0" fontId="123" fillId="0" borderId="168" xfId="0" applyFont="1" applyBorder="1" applyAlignment="1">
      <alignment horizontal="center" vertical="center" wrapText="1"/>
    </xf>
    <xf numFmtId="0" fontId="120" fillId="0" borderId="157" xfId="0" quotePrefix="1" applyFont="1" applyBorder="1" applyAlignment="1">
      <alignment vertical="center" wrapText="1"/>
    </xf>
    <xf numFmtId="0" fontId="120" fillId="0" borderId="157" xfId="0" quotePrefix="1" applyFont="1" applyBorder="1">
      <alignment vertical="center"/>
    </xf>
    <xf numFmtId="0" fontId="120" fillId="0" borderId="156" xfId="0" applyFont="1" applyBorder="1" applyAlignment="1">
      <alignment horizontal="left" vertical="center"/>
    </xf>
    <xf numFmtId="0" fontId="123" fillId="0" borderId="155" xfId="0" applyFont="1" applyBorder="1">
      <alignment vertical="center"/>
    </xf>
    <xf numFmtId="0" fontId="123" fillId="0" borderId="174" xfId="0" applyFont="1" applyBorder="1">
      <alignment vertical="center"/>
    </xf>
    <xf numFmtId="0" fontId="65" fillId="0" borderId="22" xfId="1" applyFont="1" applyBorder="1" applyAlignment="1">
      <alignment horizontal="left" vertical="center" wrapText="1" readingOrder="1"/>
    </xf>
    <xf numFmtId="0" fontId="65" fillId="0" borderId="95" xfId="1" applyFont="1" applyBorder="1" applyAlignment="1">
      <alignment horizontal="left" vertical="center" wrapText="1" readingOrder="1"/>
    </xf>
    <xf numFmtId="0" fontId="65" fillId="0" borderId="5" xfId="1" applyFont="1" applyBorder="1" applyAlignment="1">
      <alignment horizontal="left" vertical="center" wrapText="1" readingOrder="1"/>
    </xf>
    <xf numFmtId="0" fontId="2" fillId="0" borderId="3" xfId="1" applyFont="1" applyBorder="1" applyAlignment="1">
      <alignment horizontal="left" vertical="center" wrapText="1" readingOrder="1"/>
    </xf>
    <xf numFmtId="164" fontId="62" fillId="0" borderId="24" xfId="2" applyFont="1" applyFill="1" applyBorder="1" applyAlignment="1">
      <alignment horizontal="center" vertical="center" wrapText="1" readingOrder="1"/>
    </xf>
    <xf numFmtId="0" fontId="51" fillId="0" borderId="3" xfId="1" applyFont="1" applyBorder="1" applyAlignment="1">
      <alignment horizontal="left" vertical="center" wrapText="1" readingOrder="1"/>
    </xf>
    <xf numFmtId="0" fontId="88" fillId="3" borderId="7" xfId="21" applyFont="1" applyFill="1" applyBorder="1" applyAlignment="1">
      <alignment vertical="center"/>
    </xf>
    <xf numFmtId="0" fontId="58" fillId="25" borderId="3" xfId="1" applyFont="1" applyFill="1" applyBorder="1" applyAlignment="1">
      <alignment horizontal="left" vertical="center" wrapText="1" readingOrder="1"/>
    </xf>
    <xf numFmtId="0" fontId="51" fillId="0" borderId="3" xfId="1" applyFont="1" applyBorder="1" applyAlignment="1">
      <alignment horizontal="left" vertical="center" readingOrder="1"/>
    </xf>
    <xf numFmtId="164" fontId="61" fillId="25" borderId="14" xfId="2" applyFont="1" applyFill="1" applyBorder="1" applyAlignment="1">
      <alignment horizontal="center" vertical="center" wrapText="1" readingOrder="1"/>
    </xf>
    <xf numFmtId="0" fontId="58" fillId="7" borderId="22" xfId="1" applyFont="1" applyFill="1" applyBorder="1" applyAlignment="1">
      <alignment horizontal="left" vertical="center" wrapText="1" readingOrder="1"/>
    </xf>
    <xf numFmtId="0" fontId="58" fillId="7" borderId="3" xfId="1" applyFont="1" applyFill="1" applyBorder="1" applyAlignment="1">
      <alignment horizontal="left" vertical="center" wrapText="1" readingOrder="1"/>
    </xf>
    <xf numFmtId="0" fontId="59" fillId="7" borderId="8" xfId="1" applyFont="1" applyFill="1" applyBorder="1" applyAlignment="1">
      <alignment horizontal="left" vertical="center" readingOrder="1"/>
    </xf>
    <xf numFmtId="164" fontId="61" fillId="7" borderId="24" xfId="2" applyFont="1" applyFill="1" applyBorder="1" applyAlignment="1">
      <alignment horizontal="center" vertical="center" wrapText="1" readingOrder="1"/>
    </xf>
    <xf numFmtId="164" fontId="61" fillId="7" borderId="14" xfId="2" applyFont="1" applyFill="1" applyBorder="1" applyAlignment="1">
      <alignment horizontal="center" vertical="center" wrapText="1" readingOrder="1"/>
    </xf>
    <xf numFmtId="164" fontId="61" fillId="25" borderId="24" xfId="2" applyFont="1" applyFill="1" applyBorder="1" applyAlignment="1">
      <alignment horizontal="center" vertical="center" wrapText="1" readingOrder="1"/>
    </xf>
    <xf numFmtId="164" fontId="61" fillId="25" borderId="16" xfId="2" applyFont="1" applyFill="1" applyBorder="1" applyAlignment="1">
      <alignment horizontal="center" vertical="center" wrapText="1" readingOrder="1"/>
    </xf>
    <xf numFmtId="164" fontId="61" fillId="25" borderId="85" xfId="2" applyFont="1" applyFill="1" applyBorder="1" applyAlignment="1">
      <alignment horizontal="center" vertical="center" wrapText="1" readingOrder="1"/>
    </xf>
    <xf numFmtId="0" fontId="95" fillId="0" borderId="21" xfId="1" applyFont="1" applyBorder="1" applyAlignment="1">
      <alignment horizontal="center" vertical="center" wrapText="1" readingOrder="1"/>
    </xf>
    <xf numFmtId="0" fontId="58" fillId="25" borderId="21" xfId="1" applyFont="1" applyFill="1" applyBorder="1" applyAlignment="1">
      <alignment horizontal="left" vertical="center" wrapText="1" readingOrder="1"/>
    </xf>
    <xf numFmtId="0" fontId="58" fillId="25" borderId="66" xfId="1" applyFont="1" applyFill="1" applyBorder="1" applyAlignment="1">
      <alignment horizontal="left" vertical="center" wrapText="1" readingOrder="1"/>
    </xf>
    <xf numFmtId="164" fontId="55" fillId="0" borderId="72" xfId="2" applyFont="1" applyFill="1" applyBorder="1" applyAlignment="1">
      <alignment horizontal="center" vertical="center" wrapText="1" readingOrder="1"/>
    </xf>
    <xf numFmtId="0" fontId="67" fillId="25" borderId="49" xfId="1" applyFont="1" applyFill="1" applyBorder="1" applyAlignment="1">
      <alignment horizontal="left" vertical="center" wrapText="1" readingOrder="1"/>
    </xf>
    <xf numFmtId="0" fontId="71" fillId="25" borderId="8" xfId="1" applyFont="1" applyFill="1" applyBorder="1" applyAlignment="1">
      <alignment horizontal="left" vertical="center" wrapText="1" readingOrder="1"/>
    </xf>
    <xf numFmtId="0" fontId="71" fillId="25" borderId="27" xfId="1" applyFont="1" applyFill="1" applyBorder="1" applyAlignment="1">
      <alignment horizontal="left" vertical="center" wrapText="1" readingOrder="1"/>
    </xf>
    <xf numFmtId="164" fontId="55" fillId="25" borderId="44" xfId="2" applyFont="1" applyFill="1" applyBorder="1" applyAlignment="1">
      <alignment horizontal="center" vertical="center" wrapText="1" readingOrder="1"/>
    </xf>
    <xf numFmtId="164" fontId="55" fillId="25" borderId="14" xfId="2" applyFont="1" applyFill="1" applyBorder="1" applyAlignment="1">
      <alignment horizontal="center" vertical="center" wrapText="1" readingOrder="1"/>
    </xf>
    <xf numFmtId="164" fontId="61" fillId="25" borderId="44" xfId="2" applyFont="1" applyFill="1" applyBorder="1" applyAlignment="1">
      <alignment horizontal="center" vertical="center" wrapText="1" readingOrder="1"/>
    </xf>
    <xf numFmtId="164" fontId="61" fillId="25" borderId="64" xfId="2" applyFont="1" applyFill="1" applyBorder="1" applyAlignment="1">
      <alignment horizontal="center" vertical="center" wrapText="1" readingOrder="1"/>
    </xf>
    <xf numFmtId="0" fontId="49" fillId="0" borderId="21" xfId="1" applyFont="1" applyBorder="1" applyAlignment="1">
      <alignment horizontal="center" vertical="center" wrapText="1"/>
    </xf>
    <xf numFmtId="0" fontId="66" fillId="0" borderId="23" xfId="1" applyFont="1" applyBorder="1" applyAlignment="1">
      <alignment horizontal="center" vertical="center" wrapText="1"/>
    </xf>
    <xf numFmtId="0" fontId="70" fillId="2" borderId="26" xfId="1" applyFont="1" applyFill="1" applyBorder="1" applyAlignment="1">
      <alignment horizontal="center" vertical="center" wrapText="1"/>
    </xf>
    <xf numFmtId="0" fontId="70" fillId="2" borderId="96" xfId="1" applyFont="1" applyFill="1" applyBorder="1" applyAlignment="1">
      <alignment horizontal="center" vertical="center" wrapText="1"/>
    </xf>
    <xf numFmtId="0" fontId="70" fillId="9" borderId="21" xfId="1" applyFont="1" applyFill="1" applyBorder="1" applyAlignment="1">
      <alignment horizontal="center" vertical="center" wrapText="1"/>
    </xf>
    <xf numFmtId="0" fontId="49" fillId="3" borderId="20" xfId="1" applyFont="1" applyFill="1" applyBorder="1" applyAlignment="1">
      <alignment horizontal="center" vertical="center" wrapText="1"/>
    </xf>
    <xf numFmtId="0" fontId="49" fillId="3" borderId="24" xfId="1" applyFont="1" applyFill="1" applyBorder="1" applyAlignment="1">
      <alignment horizontal="center" vertical="center" wrapText="1"/>
    </xf>
    <xf numFmtId="0" fontId="70" fillId="25" borderId="16" xfId="1" applyFont="1" applyFill="1" applyBorder="1" applyAlignment="1">
      <alignment horizontal="center" vertical="center" wrapText="1"/>
    </xf>
    <xf numFmtId="0" fontId="76" fillId="25" borderId="24" xfId="1" applyFont="1" applyFill="1" applyBorder="1" applyAlignment="1">
      <alignment horizontal="center" vertical="center" wrapText="1"/>
    </xf>
    <xf numFmtId="0" fontId="48" fillId="2" borderId="24" xfId="1" applyFont="1" applyFill="1" applyBorder="1" applyAlignment="1">
      <alignment horizontal="center" vertical="center" wrapText="1"/>
    </xf>
    <xf numFmtId="0" fontId="70" fillId="3" borderId="26" xfId="1" applyFont="1" applyFill="1" applyBorder="1" applyAlignment="1">
      <alignment horizontal="center" vertical="center" wrapText="1"/>
    </xf>
    <xf numFmtId="0" fontId="70" fillId="5" borderId="88" xfId="1" applyFont="1" applyFill="1" applyBorder="1" applyAlignment="1">
      <alignment horizontal="center" vertical="center" wrapText="1"/>
    </xf>
    <xf numFmtId="0" fontId="36" fillId="0" borderId="96" xfId="1" applyFont="1" applyBorder="1" applyAlignment="1">
      <alignment horizontal="center" vertical="center" wrapText="1"/>
    </xf>
    <xf numFmtId="164" fontId="36" fillId="0" borderId="20" xfId="4" applyFont="1" applyFill="1" applyBorder="1" applyAlignment="1">
      <alignment horizontal="left" vertical="center" wrapText="1" readingOrder="1"/>
    </xf>
    <xf numFmtId="0" fontId="27" fillId="3" borderId="22" xfId="1" applyFont="1" applyFill="1" applyBorder="1" applyAlignment="1">
      <alignment horizontal="center" vertical="center"/>
    </xf>
    <xf numFmtId="0" fontId="27" fillId="3" borderId="96" xfId="1" applyFont="1" applyFill="1" applyBorder="1" applyAlignment="1">
      <alignment horizontal="center" vertical="center"/>
    </xf>
    <xf numFmtId="0" fontId="27" fillId="0" borderId="21" xfId="1" applyFont="1" applyBorder="1" applyAlignment="1">
      <alignment horizontal="center" vertical="center"/>
    </xf>
    <xf numFmtId="0" fontId="27" fillId="0" borderId="22" xfId="1" applyFont="1" applyBorder="1" applyAlignment="1">
      <alignment horizontal="center" vertical="center" wrapText="1"/>
    </xf>
    <xf numFmtId="0" fontId="27" fillId="0" borderId="96" xfId="1" applyFont="1" applyBorder="1" applyAlignment="1">
      <alignment horizontal="center" vertical="center"/>
    </xf>
    <xf numFmtId="0" fontId="27" fillId="0" borderId="21" xfId="1" applyFont="1" applyBorder="1" applyAlignment="1">
      <alignment horizontal="center" vertical="center" wrapText="1"/>
    </xf>
    <xf numFmtId="0" fontId="85" fillId="0" borderId="23" xfId="1" applyFont="1" applyBorder="1" applyAlignment="1">
      <alignment horizontal="center" vertical="center" wrapText="1"/>
    </xf>
    <xf numFmtId="0" fontId="76" fillId="2" borderId="24" xfId="1" applyFont="1" applyFill="1" applyBorder="1" applyAlignment="1">
      <alignment horizontal="center" vertical="center" wrapText="1"/>
    </xf>
    <xf numFmtId="0" fontId="76" fillId="2" borderId="26" xfId="1" applyFont="1" applyFill="1" applyBorder="1" applyAlignment="1">
      <alignment horizontal="center" vertical="center" wrapText="1"/>
    </xf>
    <xf numFmtId="0" fontId="76" fillId="9" borderId="21" xfId="1" applyFont="1" applyFill="1" applyBorder="1" applyAlignment="1">
      <alignment horizontal="center" vertical="center" wrapText="1"/>
    </xf>
    <xf numFmtId="0" fontId="27" fillId="3" borderId="25" xfId="1" applyFont="1" applyFill="1" applyBorder="1" applyAlignment="1">
      <alignment horizontal="center" vertical="center" wrapText="1"/>
    </xf>
    <xf numFmtId="0" fontId="27" fillId="3" borderId="24" xfId="1" applyFont="1" applyFill="1" applyBorder="1" applyAlignment="1">
      <alignment horizontal="center" vertical="center" wrapText="1"/>
    </xf>
    <xf numFmtId="0" fontId="86" fillId="2" borderId="24" xfId="1" applyFont="1" applyFill="1" applyBorder="1" applyAlignment="1">
      <alignment horizontal="center" vertical="center" wrapText="1"/>
    </xf>
    <xf numFmtId="0" fontId="126" fillId="25" borderId="24" xfId="1" applyFont="1" applyFill="1" applyBorder="1" applyAlignment="1">
      <alignment horizontal="center" vertical="center" wrapText="1"/>
    </xf>
    <xf numFmtId="0" fontId="70" fillId="14" borderId="16" xfId="1" applyFont="1" applyFill="1" applyBorder="1" applyAlignment="1">
      <alignment horizontal="center" vertical="center" wrapText="1"/>
    </xf>
    <xf numFmtId="0" fontId="76" fillId="3" borderId="26" xfId="1" applyFont="1" applyFill="1" applyBorder="1" applyAlignment="1">
      <alignment horizontal="center" vertical="center" wrapText="1"/>
    </xf>
    <xf numFmtId="0" fontId="76" fillId="5" borderId="41" xfId="1" applyFont="1" applyFill="1" applyBorder="1" applyAlignment="1">
      <alignment horizontal="center" vertical="center" wrapText="1"/>
    </xf>
    <xf numFmtId="0" fontId="76" fillId="0" borderId="23" xfId="1" applyFont="1" applyBorder="1" applyAlignment="1">
      <alignment horizontal="center" vertical="center" wrapText="1"/>
    </xf>
    <xf numFmtId="0" fontId="76" fillId="2" borderId="20" xfId="1" applyFont="1" applyFill="1" applyBorder="1" applyAlignment="1">
      <alignment horizontal="center" vertical="center" wrapText="1"/>
    </xf>
    <xf numFmtId="0" fontId="76" fillId="2" borderId="88" xfId="1" applyFont="1" applyFill="1" applyBorder="1" applyAlignment="1">
      <alignment horizontal="center" vertical="center" wrapText="1"/>
    </xf>
    <xf numFmtId="0" fontId="27" fillId="3" borderId="26" xfId="1" applyFont="1" applyFill="1" applyBorder="1" applyAlignment="1">
      <alignment horizontal="center" vertical="center" wrapText="1"/>
    </xf>
    <xf numFmtId="0" fontId="76" fillId="5" borderId="26" xfId="1" applyFont="1" applyFill="1" applyBorder="1" applyAlignment="1">
      <alignment horizontal="center" vertical="center" wrapText="1"/>
    </xf>
    <xf numFmtId="0" fontId="76" fillId="0" borderId="81" xfId="1" applyFont="1" applyBorder="1" applyAlignment="1">
      <alignment horizontal="center" vertical="center" wrapText="1"/>
    </xf>
    <xf numFmtId="0" fontId="76" fillId="3" borderId="24" xfId="1" applyFont="1" applyFill="1" applyBorder="1" applyAlignment="1">
      <alignment horizontal="center" vertical="center" wrapText="1"/>
    </xf>
    <xf numFmtId="0" fontId="76" fillId="0" borderId="22" xfId="1" applyFont="1" applyBorder="1" applyAlignment="1">
      <alignment horizontal="center" vertical="center" wrapText="1"/>
    </xf>
    <xf numFmtId="0" fontId="76" fillId="3" borderId="25" xfId="1" applyFont="1" applyFill="1" applyBorder="1" applyAlignment="1">
      <alignment horizontal="center" vertical="center" wrapText="1"/>
    </xf>
    <xf numFmtId="0" fontId="76" fillId="5" borderId="21" xfId="1" applyFont="1" applyFill="1" applyBorder="1" applyAlignment="1">
      <alignment horizontal="center" vertical="center" wrapText="1"/>
    </xf>
    <xf numFmtId="0" fontId="55" fillId="0" borderId="10" xfId="1" applyFont="1" applyBorder="1" applyAlignment="1">
      <alignment horizontal="center" vertical="center" wrapText="1" readingOrder="1"/>
    </xf>
    <xf numFmtId="0" fontId="36" fillId="25" borderId="37" xfId="1" applyFont="1" applyFill="1" applyBorder="1" applyAlignment="1">
      <alignment horizontal="left" vertical="center" wrapText="1" readingOrder="1"/>
    </xf>
    <xf numFmtId="0" fontId="36" fillId="0" borderId="10" xfId="1" applyFont="1" applyBorder="1" applyAlignment="1">
      <alignment horizontal="left" vertical="center" wrapText="1" readingOrder="1"/>
    </xf>
    <xf numFmtId="0" fontId="36" fillId="0" borderId="37" xfId="1" applyFont="1" applyBorder="1" applyAlignment="1">
      <alignment horizontal="left" vertical="center" wrapText="1" readingOrder="1"/>
    </xf>
    <xf numFmtId="0" fontId="36" fillId="0" borderId="58" xfId="1" applyFont="1" applyBorder="1" applyAlignment="1">
      <alignment horizontal="left" vertical="center" wrapText="1" readingOrder="1"/>
    </xf>
    <xf numFmtId="0" fontId="36" fillId="0" borderId="10" xfId="1" applyFont="1" applyBorder="1" applyAlignment="1">
      <alignment horizontal="center" vertical="center" wrapText="1"/>
    </xf>
    <xf numFmtId="164" fontId="58" fillId="3" borderId="60" xfId="2" applyFont="1" applyFill="1" applyBorder="1" applyAlignment="1">
      <alignment horizontal="center" vertical="center" wrapText="1" readingOrder="1"/>
    </xf>
    <xf numFmtId="164" fontId="61" fillId="0" borderId="16" xfId="2" applyFont="1" applyBorder="1" applyAlignment="1">
      <alignment horizontal="center" vertical="center" wrapText="1" readingOrder="1"/>
    </xf>
    <xf numFmtId="164" fontId="61" fillId="2" borderId="39" xfId="2" applyFont="1" applyFill="1" applyBorder="1" applyAlignment="1">
      <alignment horizontal="center" vertical="center" wrapText="1" readingOrder="1"/>
    </xf>
    <xf numFmtId="164" fontId="61" fillId="9" borderId="10" xfId="2" applyFont="1" applyFill="1" applyBorder="1" applyAlignment="1">
      <alignment horizontal="center" vertical="center" wrapText="1" readingOrder="1"/>
    </xf>
    <xf numFmtId="164" fontId="55" fillId="0" borderId="50" xfId="2" applyFont="1" applyFill="1" applyBorder="1" applyAlignment="1">
      <alignment horizontal="center" vertical="center" wrapText="1" readingOrder="1"/>
    </xf>
    <xf numFmtId="164" fontId="55" fillId="4" borderId="16" xfId="2" applyFont="1" applyFill="1" applyBorder="1" applyAlignment="1">
      <alignment horizontal="center" vertical="center" wrapText="1" readingOrder="1"/>
    </xf>
    <xf numFmtId="164" fontId="61" fillId="3" borderId="39" xfId="2" applyFont="1" applyFill="1" applyBorder="1" applyAlignment="1">
      <alignment horizontal="center" vertical="center" wrapText="1" readingOrder="1"/>
    </xf>
    <xf numFmtId="164" fontId="58" fillId="0" borderId="122" xfId="2" applyFont="1" applyFill="1" applyBorder="1" applyAlignment="1">
      <alignment horizontal="center" vertical="center" wrapText="1" readingOrder="1"/>
    </xf>
    <xf numFmtId="164" fontId="61" fillId="0" borderId="38" xfId="2" applyFont="1" applyFill="1" applyBorder="1" applyAlignment="1">
      <alignment horizontal="center" vertical="center" wrapText="1" readingOrder="1"/>
    </xf>
    <xf numFmtId="164" fontId="61" fillId="0" borderId="106" xfId="2" applyFont="1" applyFill="1" applyBorder="1" applyAlignment="1">
      <alignment horizontal="center" vertical="center" wrapText="1" readingOrder="1"/>
    </xf>
    <xf numFmtId="164" fontId="55" fillId="0" borderId="39" xfId="2" applyFont="1" applyFill="1" applyBorder="1" applyAlignment="1">
      <alignment horizontal="center" vertical="center" wrapText="1" readingOrder="1"/>
    </xf>
    <xf numFmtId="164" fontId="61" fillId="0" borderId="50" xfId="2" applyFont="1" applyFill="1" applyBorder="1" applyAlignment="1">
      <alignment horizontal="center" vertical="center" wrapText="1" readingOrder="1"/>
    </xf>
    <xf numFmtId="164" fontId="61" fillId="0" borderId="39" xfId="2" applyFont="1" applyFill="1" applyBorder="1" applyAlignment="1">
      <alignment horizontal="center" vertical="center" wrapText="1" readingOrder="1"/>
    </xf>
    <xf numFmtId="164" fontId="58" fillId="3" borderId="182" xfId="2" applyFont="1" applyFill="1" applyBorder="1" applyAlignment="1">
      <alignment horizontal="center" vertical="center" wrapText="1" readingOrder="1"/>
    </xf>
    <xf numFmtId="164" fontId="61" fillId="2" borderId="38" xfId="2" applyFont="1" applyFill="1" applyBorder="1" applyAlignment="1">
      <alignment horizontal="center" vertical="center" wrapText="1" readingOrder="1"/>
    </xf>
    <xf numFmtId="164" fontId="58" fillId="0" borderId="38" xfId="2" applyFont="1" applyFill="1" applyBorder="1" applyAlignment="1">
      <alignment horizontal="center" vertical="center" wrapText="1" readingOrder="1"/>
    </xf>
    <xf numFmtId="164" fontId="61" fillId="0" borderId="16" xfId="2" applyFont="1" applyFill="1" applyBorder="1" applyAlignment="1">
      <alignment horizontal="center" vertical="center" wrapText="1" readingOrder="1"/>
    </xf>
    <xf numFmtId="164" fontId="61" fillId="0" borderId="10" xfId="2" applyFont="1" applyFill="1" applyBorder="1" applyAlignment="1">
      <alignment horizontal="center" vertical="center" wrapText="1" readingOrder="1"/>
    </xf>
    <xf numFmtId="0" fontId="81" fillId="8" borderId="2" xfId="1" applyFont="1" applyFill="1" applyBorder="1" applyAlignment="1">
      <alignment horizontal="center" vertical="center"/>
    </xf>
    <xf numFmtId="0" fontId="81" fillId="8" borderId="4" xfId="1" applyFont="1" applyFill="1" applyBorder="1" applyAlignment="1">
      <alignment horizontal="center" vertical="center"/>
    </xf>
    <xf numFmtId="0" fontId="76" fillId="0" borderId="10" xfId="1" applyFont="1" applyBorder="1" applyAlignment="1">
      <alignment horizontal="center" vertical="center" wrapText="1" readingOrder="1"/>
    </xf>
    <xf numFmtId="0" fontId="76" fillId="0" borderId="8" xfId="1" applyFont="1" applyBorder="1" applyAlignment="1">
      <alignment horizontal="center" vertical="center" wrapText="1" readingOrder="1"/>
    </xf>
    <xf numFmtId="0" fontId="76" fillId="0" borderId="7" xfId="1" applyFont="1" applyBorder="1" applyAlignment="1">
      <alignment horizontal="center" vertical="center" wrapText="1" readingOrder="1"/>
    </xf>
    <xf numFmtId="0" fontId="81" fillId="0" borderId="1" xfId="1" applyFont="1" applyBorder="1" applyAlignment="1">
      <alignment horizontal="center" vertical="center"/>
    </xf>
    <xf numFmtId="0" fontId="81" fillId="0" borderId="2" xfId="1" applyFont="1" applyBorder="1" applyAlignment="1">
      <alignment horizontal="center" vertical="center"/>
    </xf>
    <xf numFmtId="0" fontId="81" fillId="0" borderId="4" xfId="1" applyFont="1" applyBorder="1" applyAlignment="1">
      <alignment horizontal="center" vertical="center"/>
    </xf>
    <xf numFmtId="0" fontId="24" fillId="0" borderId="9" xfId="1" applyFont="1" applyBorder="1" applyAlignment="1">
      <alignment horizontal="center" vertical="center" wrapText="1"/>
    </xf>
    <xf numFmtId="0" fontId="24" fillId="0" borderId="10" xfId="1" applyFont="1" applyBorder="1" applyAlignment="1">
      <alignment horizontal="center" vertical="center"/>
    </xf>
    <xf numFmtId="0" fontId="81" fillId="10" borderId="37" xfId="1" applyFont="1" applyFill="1" applyBorder="1" applyAlignment="1">
      <alignment horizontal="center" vertical="center"/>
    </xf>
    <xf numFmtId="0" fontId="81" fillId="10" borderId="38" xfId="1" applyFont="1" applyFill="1" applyBorder="1" applyAlignment="1">
      <alignment horizontal="center" vertical="center"/>
    </xf>
    <xf numFmtId="0" fontId="81" fillId="10" borderId="2" xfId="1" applyFont="1" applyFill="1" applyBorder="1" applyAlignment="1">
      <alignment horizontal="center" vertical="center"/>
    </xf>
    <xf numFmtId="0" fontId="81" fillId="10" borderId="65" xfId="1" applyFont="1" applyFill="1" applyBorder="1" applyAlignment="1">
      <alignment horizontal="center" vertical="center"/>
    </xf>
    <xf numFmtId="0" fontId="81" fillId="10" borderId="1" xfId="1" applyFont="1" applyFill="1" applyBorder="1" applyAlignment="1">
      <alignment horizontal="center" vertical="center" wrapText="1"/>
    </xf>
    <xf numFmtId="0" fontId="81" fillId="10" borderId="2" xfId="1" applyFont="1" applyFill="1" applyBorder="1" applyAlignment="1">
      <alignment horizontal="center" vertical="center" wrapText="1"/>
    </xf>
    <xf numFmtId="0" fontId="81" fillId="10" borderId="65" xfId="1" applyFont="1" applyFill="1" applyBorder="1" applyAlignment="1">
      <alignment horizontal="center" vertical="center" wrapText="1"/>
    </xf>
    <xf numFmtId="0" fontId="81" fillId="10" borderId="113" xfId="1" applyFont="1" applyFill="1" applyBorder="1" applyAlignment="1">
      <alignment horizontal="center" vertical="center"/>
    </xf>
    <xf numFmtId="0" fontId="81" fillId="8" borderId="113" xfId="1" applyFont="1" applyFill="1" applyBorder="1" applyAlignment="1">
      <alignment horizontal="center" vertical="center"/>
    </xf>
    <xf numFmtId="0" fontId="81" fillId="8" borderId="65" xfId="1" applyFont="1" applyFill="1" applyBorder="1" applyAlignment="1">
      <alignment horizontal="center" vertical="center"/>
    </xf>
    <xf numFmtId="164" fontId="26" fillId="0" borderId="37" xfId="4" applyFont="1" applyBorder="1" applyAlignment="1">
      <alignment horizontal="center" vertical="center"/>
    </xf>
    <xf numFmtId="164" fontId="26" fillId="0" borderId="38" xfId="4" applyFont="1" applyBorder="1" applyAlignment="1">
      <alignment horizontal="center" vertical="center"/>
    </xf>
    <xf numFmtId="164" fontId="26" fillId="0" borderId="58" xfId="4" applyFont="1" applyBorder="1" applyAlignment="1">
      <alignment horizontal="center" vertical="center"/>
    </xf>
    <xf numFmtId="164" fontId="26" fillId="0" borderId="3" xfId="4" applyFont="1" applyBorder="1" applyAlignment="1">
      <alignment horizontal="center" vertical="center"/>
    </xf>
    <xf numFmtId="164" fontId="26" fillId="0" borderId="0" xfId="4" applyFont="1" applyBorder="1" applyAlignment="1">
      <alignment horizontal="center" vertical="center"/>
    </xf>
    <xf numFmtId="164" fontId="26" fillId="0" borderId="6" xfId="4" applyFont="1" applyBorder="1" applyAlignment="1">
      <alignment horizontal="center" vertical="center"/>
    </xf>
    <xf numFmtId="164" fontId="26" fillId="0" borderId="5" xfId="4" applyFont="1" applyBorder="1" applyAlignment="1">
      <alignment horizontal="center" vertical="center"/>
    </xf>
    <xf numFmtId="164" fontId="26" fillId="0" borderId="36" xfId="4" applyFont="1" applyBorder="1" applyAlignment="1">
      <alignment horizontal="center" vertical="center"/>
    </xf>
    <xf numFmtId="164" fontId="26" fillId="0" borderId="120" xfId="4" applyFont="1" applyBorder="1" applyAlignment="1">
      <alignment horizontal="center" vertical="center"/>
    </xf>
    <xf numFmtId="0" fontId="84" fillId="0" borderId="21" xfId="1" applyFont="1" applyBorder="1" applyAlignment="1">
      <alignment horizontal="center" vertical="center" wrapText="1" readingOrder="1"/>
    </xf>
    <xf numFmtId="0" fontId="84" fillId="0" borderId="27" xfId="1" applyFont="1" applyBorder="1" applyAlignment="1">
      <alignment horizontal="center" vertical="center" wrapText="1" readingOrder="1"/>
    </xf>
    <xf numFmtId="0" fontId="45" fillId="0" borderId="9" xfId="1" applyFont="1" applyBorder="1" applyAlignment="1">
      <alignment horizontal="center" vertical="center"/>
    </xf>
    <xf numFmtId="0" fontId="45" fillId="0" borderId="10" xfId="1" applyFont="1" applyBorder="1" applyAlignment="1">
      <alignment horizontal="center" vertical="center"/>
    </xf>
    <xf numFmtId="0" fontId="46" fillId="0" borderId="1" xfId="1" applyFont="1" applyBorder="1" applyAlignment="1">
      <alignment horizontal="center" vertical="center"/>
    </xf>
    <xf numFmtId="0" fontId="46" fillId="0" borderId="2" xfId="1" applyFont="1" applyBorder="1" applyAlignment="1">
      <alignment horizontal="center" vertical="center"/>
    </xf>
    <xf numFmtId="0" fontId="46" fillId="0" borderId="4" xfId="1" applyFont="1" applyBorder="1" applyAlignment="1">
      <alignment horizontal="center" vertical="center"/>
    </xf>
    <xf numFmtId="0" fontId="46" fillId="11" borderId="37" xfId="1" applyFont="1" applyFill="1" applyBorder="1" applyAlignment="1">
      <alignment horizontal="center" vertical="center"/>
    </xf>
    <xf numFmtId="0" fontId="46" fillId="11" borderId="38" xfId="1" applyFont="1" applyFill="1" applyBorder="1" applyAlignment="1">
      <alignment horizontal="center" vertical="center"/>
    </xf>
    <xf numFmtId="0" fontId="46" fillId="8" borderId="110" xfId="1" applyFont="1" applyFill="1" applyBorder="1" applyAlignment="1">
      <alignment horizontal="center" vertical="center"/>
    </xf>
    <xf numFmtId="0" fontId="46" fillId="8" borderId="10" xfId="1" applyFont="1" applyFill="1" applyBorder="1" applyAlignment="1">
      <alignment horizontal="center" vertical="center"/>
    </xf>
    <xf numFmtId="0" fontId="89" fillId="0" borderId="8" xfId="1" applyFont="1" applyBorder="1" applyAlignment="1">
      <alignment horizontal="center" vertical="center" wrapText="1" readingOrder="1"/>
    </xf>
    <xf numFmtId="0" fontId="70" fillId="0" borderId="8" xfId="1" applyFont="1" applyBorder="1" applyAlignment="1">
      <alignment horizontal="center" vertical="center" wrapText="1" readingOrder="1"/>
    </xf>
    <xf numFmtId="0" fontId="46" fillId="11" borderId="114" xfId="1" applyFont="1" applyFill="1" applyBorder="1" applyAlignment="1">
      <alignment horizontal="center" vertical="center"/>
    </xf>
    <xf numFmtId="0" fontId="46" fillId="11" borderId="115" xfId="1" applyFont="1" applyFill="1" applyBorder="1" applyAlignment="1">
      <alignment horizontal="center" vertical="center"/>
    </xf>
    <xf numFmtId="0" fontId="46" fillId="8" borderId="115" xfId="1" applyFont="1" applyFill="1" applyBorder="1" applyAlignment="1">
      <alignment horizontal="center" vertical="center"/>
    </xf>
    <xf numFmtId="0" fontId="46" fillId="8" borderId="116" xfId="1" applyFont="1" applyFill="1" applyBorder="1" applyAlignment="1">
      <alignment horizontal="center" vertical="center"/>
    </xf>
    <xf numFmtId="0" fontId="45" fillId="0" borderId="37" xfId="1" applyFont="1" applyBorder="1" applyAlignment="1">
      <alignment horizontal="center" vertical="center"/>
    </xf>
    <xf numFmtId="0" fontId="45" fillId="0" borderId="3" xfId="1" applyFont="1" applyBorder="1" applyAlignment="1">
      <alignment horizontal="center" vertical="center"/>
    </xf>
    <xf numFmtId="0" fontId="45" fillId="0" borderId="55" xfId="1" applyFont="1" applyBorder="1" applyAlignment="1">
      <alignment horizontal="center" vertical="center"/>
    </xf>
    <xf numFmtId="0" fontId="89" fillId="0" borderId="21" xfId="1" applyFont="1" applyBorder="1" applyAlignment="1">
      <alignment horizontal="center" vertical="center" wrapText="1" readingOrder="1"/>
    </xf>
    <xf numFmtId="0" fontId="45" fillId="0" borderId="8" xfId="1" applyFont="1" applyBorder="1" applyAlignment="1">
      <alignment horizontal="center" vertical="center"/>
    </xf>
    <xf numFmtId="0" fontId="46" fillId="11" borderId="1" xfId="1" applyFont="1" applyFill="1" applyBorder="1" applyAlignment="1">
      <alignment horizontal="center" vertical="center"/>
    </xf>
    <xf numFmtId="0" fontId="46" fillId="11" borderId="2" xfId="1" applyFont="1" applyFill="1" applyBorder="1" applyAlignment="1">
      <alignment horizontal="center" vertical="center"/>
    </xf>
    <xf numFmtId="0" fontId="46" fillId="11" borderId="4" xfId="1" applyFont="1" applyFill="1" applyBorder="1" applyAlignment="1">
      <alignment horizontal="center" vertical="center"/>
    </xf>
    <xf numFmtId="0" fontId="52" fillId="3" borderId="30" xfId="1" applyFont="1" applyFill="1" applyBorder="1" applyAlignment="1">
      <alignment horizontal="center" vertical="center"/>
    </xf>
    <xf numFmtId="0" fontId="46" fillId="11" borderId="117" xfId="1" applyFont="1" applyFill="1" applyBorder="1" applyAlignment="1">
      <alignment horizontal="center" vertical="center"/>
    </xf>
    <xf numFmtId="0" fontId="46" fillId="11" borderId="84" xfId="1" applyFont="1" applyFill="1" applyBorder="1" applyAlignment="1">
      <alignment horizontal="center" vertical="center"/>
    </xf>
    <xf numFmtId="0" fontId="46" fillId="11" borderId="119" xfId="1" applyFont="1" applyFill="1" applyBorder="1" applyAlignment="1">
      <alignment horizontal="center" vertical="center"/>
    </xf>
    <xf numFmtId="0" fontId="46" fillId="11" borderId="118" xfId="1" applyFont="1" applyFill="1" applyBorder="1" applyAlignment="1">
      <alignment horizontal="center" vertical="center"/>
    </xf>
    <xf numFmtId="0" fontId="45" fillId="0" borderId="27" xfId="1" applyFont="1" applyBorder="1" applyAlignment="1">
      <alignment horizontal="center" vertical="center"/>
    </xf>
    <xf numFmtId="0" fontId="70" fillId="0" borderId="21" xfId="1" applyFont="1" applyBorder="1" applyAlignment="1">
      <alignment horizontal="center" vertical="center" wrapText="1" readingOrder="1"/>
    </xf>
    <xf numFmtId="0" fontId="70" fillId="0" borderId="7" xfId="1" applyFont="1" applyBorder="1" applyAlignment="1">
      <alignment horizontal="center" vertical="center" wrapText="1" readingOrder="1"/>
    </xf>
    <xf numFmtId="0" fontId="36" fillId="0" borderId="21" xfId="1" applyFont="1" applyBorder="1" applyAlignment="1">
      <alignment horizontal="center" vertical="center" wrapText="1" readingOrder="1"/>
    </xf>
    <xf numFmtId="0" fontId="36" fillId="0" borderId="8" xfId="1" applyFont="1" applyBorder="1" applyAlignment="1">
      <alignment horizontal="center" vertical="center" wrapText="1" readingOrder="1"/>
    </xf>
    <xf numFmtId="0" fontId="36" fillId="0" borderId="27" xfId="1" applyFont="1" applyBorder="1" applyAlignment="1">
      <alignment horizontal="center" vertical="center" wrapText="1" readingOrder="1"/>
    </xf>
    <xf numFmtId="0" fontId="95" fillId="0" borderId="8" xfId="1" applyFont="1" applyBorder="1" applyAlignment="1">
      <alignment horizontal="center" vertical="center" wrapText="1" readingOrder="1"/>
    </xf>
    <xf numFmtId="0" fontId="49" fillId="3" borderId="30" xfId="1" applyFont="1" applyFill="1" applyBorder="1" applyAlignment="1">
      <alignment horizontal="center" vertical="center"/>
    </xf>
    <xf numFmtId="0" fontId="46" fillId="0" borderId="37" xfId="1" applyFont="1" applyBorder="1" applyAlignment="1">
      <alignment horizontal="center" vertical="center"/>
    </xf>
    <xf numFmtId="0" fontId="46" fillId="0" borderId="38" xfId="1" applyFont="1" applyBorder="1" applyAlignment="1">
      <alignment horizontal="center" vertical="center"/>
    </xf>
    <xf numFmtId="0" fontId="46" fillId="0" borderId="58" xfId="1" applyFont="1" applyBorder="1" applyAlignment="1">
      <alignment horizontal="center" vertical="center"/>
    </xf>
    <xf numFmtId="0" fontId="70" fillId="0" borderId="10" xfId="1" applyFont="1" applyBorder="1" applyAlignment="1">
      <alignment horizontal="center" vertical="center" wrapText="1" readingOrder="1"/>
    </xf>
    <xf numFmtId="0" fontId="70" fillId="0" borderId="27" xfId="1" applyFont="1" applyBorder="1" applyAlignment="1">
      <alignment horizontal="center" vertical="center" wrapText="1" readingOrder="1"/>
    </xf>
    <xf numFmtId="0" fontId="70" fillId="0" borderId="21" xfId="0" applyFont="1" applyBorder="1" applyAlignment="1">
      <alignment horizontal="center" vertical="center"/>
    </xf>
    <xf numFmtId="0" fontId="70" fillId="0" borderId="8" xfId="0" applyFont="1" applyBorder="1" applyAlignment="1">
      <alignment horizontal="center" vertical="center"/>
    </xf>
    <xf numFmtId="0" fontId="70" fillId="0" borderId="7" xfId="0" applyFont="1" applyBorder="1" applyAlignment="1">
      <alignment horizontal="center" vertical="center"/>
    </xf>
    <xf numFmtId="0" fontId="61" fillId="3" borderId="37" xfId="1" applyFont="1" applyFill="1" applyBorder="1" applyAlignment="1">
      <alignment horizontal="center" vertical="center" wrapText="1" readingOrder="1"/>
    </xf>
    <xf numFmtId="0" fontId="61" fillId="3" borderId="58" xfId="1" applyFont="1" applyFill="1" applyBorder="1" applyAlignment="1">
      <alignment horizontal="center" vertical="center" wrapText="1" readingOrder="1"/>
    </xf>
    <xf numFmtId="0" fontId="61" fillId="3" borderId="3" xfId="1" applyFont="1" applyFill="1" applyBorder="1" applyAlignment="1">
      <alignment horizontal="center" vertical="center" wrapText="1" readingOrder="1"/>
    </xf>
    <xf numFmtId="0" fontId="61" fillId="3" borderId="6" xfId="1" applyFont="1" applyFill="1" applyBorder="1" applyAlignment="1">
      <alignment horizontal="center" vertical="center" wrapText="1" readingOrder="1"/>
    </xf>
    <xf numFmtId="0" fontId="61" fillId="3" borderId="55" xfId="1" applyFont="1" applyFill="1" applyBorder="1" applyAlignment="1">
      <alignment horizontal="center" vertical="center" wrapText="1" readingOrder="1"/>
    </xf>
    <xf numFmtId="0" fontId="61" fillId="3" borderId="56" xfId="1" applyFont="1" applyFill="1" applyBorder="1" applyAlignment="1">
      <alignment horizontal="center" vertical="center" wrapText="1" readingOrder="1"/>
    </xf>
    <xf numFmtId="0" fontId="62" fillId="0" borderId="10" xfId="1" applyFont="1" applyBorder="1" applyAlignment="1">
      <alignment horizontal="center" vertical="center" wrapText="1"/>
    </xf>
    <xf numFmtId="0" fontId="62" fillId="0" borderId="8" xfId="1" applyFont="1" applyBorder="1" applyAlignment="1">
      <alignment horizontal="center" vertical="center" wrapText="1"/>
    </xf>
    <xf numFmtId="0" fontId="62" fillId="0" borderId="27" xfId="1" applyFont="1" applyBorder="1" applyAlignment="1">
      <alignment horizontal="center" vertical="center" wrapText="1"/>
    </xf>
    <xf numFmtId="164" fontId="62" fillId="0" borderId="10" xfId="2" applyFont="1" applyFill="1" applyBorder="1" applyAlignment="1">
      <alignment horizontal="center" vertical="center" wrapText="1" readingOrder="1"/>
    </xf>
    <xf numFmtId="164" fontId="62" fillId="0" borderId="8" xfId="2" applyFont="1" applyFill="1" applyBorder="1" applyAlignment="1">
      <alignment horizontal="center" vertical="center" wrapText="1" readingOrder="1"/>
    </xf>
    <xf numFmtId="164" fontId="62" fillId="0" borderId="27" xfId="2" applyFont="1" applyFill="1" applyBorder="1" applyAlignment="1">
      <alignment horizontal="center" vertical="center" wrapText="1" readingOrder="1"/>
    </xf>
    <xf numFmtId="164" fontId="56" fillId="0" borderId="58" xfId="2" applyFont="1" applyBorder="1" applyAlignment="1">
      <alignment horizontal="center" vertical="center" wrapText="1" readingOrder="1"/>
    </xf>
    <xf numFmtId="164" fontId="56" fillId="0" borderId="6" xfId="2" applyFont="1" applyBorder="1" applyAlignment="1">
      <alignment horizontal="center" vertical="center" wrapText="1" readingOrder="1"/>
    </xf>
    <xf numFmtId="164" fontId="56" fillId="0" borderId="56" xfId="2" applyFont="1" applyBorder="1" applyAlignment="1">
      <alignment horizontal="center" vertical="center" wrapText="1" readingOrder="1"/>
    </xf>
    <xf numFmtId="0" fontId="44" fillId="0" borderId="1" xfId="1" applyFont="1" applyBorder="1" applyAlignment="1">
      <alignment horizontal="center" vertical="center"/>
    </xf>
    <xf numFmtId="0" fontId="44" fillId="0" borderId="2" xfId="1" applyFont="1" applyBorder="1" applyAlignment="1">
      <alignment horizontal="center" vertical="center"/>
    </xf>
    <xf numFmtId="0" fontId="44" fillId="0" borderId="4" xfId="1" applyFont="1" applyBorder="1" applyAlignment="1">
      <alignment horizontal="center" vertical="center"/>
    </xf>
    <xf numFmtId="0" fontId="88" fillId="0" borderId="5" xfId="21" applyFont="1" applyBorder="1" applyAlignment="1">
      <alignment horizontal="center" vertical="center"/>
    </xf>
    <xf numFmtId="0" fontId="88" fillId="0" borderId="36" xfId="21" applyFont="1" applyBorder="1" applyAlignment="1">
      <alignment horizontal="center" vertical="center"/>
    </xf>
    <xf numFmtId="0" fontId="88" fillId="0" borderId="120" xfId="21" applyFont="1" applyBorder="1" applyAlignment="1">
      <alignment horizontal="center" vertical="center"/>
    </xf>
    <xf numFmtId="0" fontId="88" fillId="23" borderId="9" xfId="21" applyFont="1" applyFill="1" applyBorder="1" applyAlignment="1">
      <alignment horizontal="center" vertical="center"/>
    </xf>
    <xf numFmtId="0" fontId="88" fillId="13" borderId="9" xfId="21" applyFont="1" applyFill="1" applyBorder="1" applyAlignment="1">
      <alignment horizontal="center" vertical="center" wrapText="1"/>
    </xf>
    <xf numFmtId="0" fontId="88" fillId="13" borderId="9" xfId="21" applyFont="1" applyFill="1" applyBorder="1" applyAlignment="1">
      <alignment horizontal="center" vertical="center"/>
    </xf>
    <xf numFmtId="0" fontId="88" fillId="18" borderId="2" xfId="21" applyFont="1" applyFill="1" applyBorder="1" applyAlignment="1">
      <alignment horizontal="center" vertical="center"/>
    </xf>
    <xf numFmtId="9" fontId="88" fillId="18" borderId="2" xfId="21" applyNumberFormat="1" applyFont="1" applyFill="1" applyBorder="1" applyAlignment="1">
      <alignment horizontal="center" vertical="center"/>
    </xf>
    <xf numFmtId="0" fontId="88" fillId="18" borderId="4" xfId="21" applyFont="1" applyFill="1" applyBorder="1" applyAlignment="1">
      <alignment horizontal="center" vertical="center"/>
    </xf>
    <xf numFmtId="0" fontId="88" fillId="23" borderId="1" xfId="21" applyFont="1" applyFill="1" applyBorder="1" applyAlignment="1">
      <alignment horizontal="center" vertical="center"/>
    </xf>
    <xf numFmtId="0" fontId="88" fillId="23" borderId="2" xfId="21" applyFont="1" applyFill="1" applyBorder="1" applyAlignment="1">
      <alignment horizontal="center" vertical="center"/>
    </xf>
    <xf numFmtId="9" fontId="88" fillId="23" borderId="2" xfId="21" applyNumberFormat="1" applyFont="1" applyFill="1" applyBorder="1" applyAlignment="1">
      <alignment horizontal="center" vertical="center"/>
    </xf>
    <xf numFmtId="0" fontId="88" fillId="23" borderId="4" xfId="21" applyFont="1" applyFill="1" applyBorder="1" applyAlignment="1">
      <alignment horizontal="center" vertical="center"/>
    </xf>
    <xf numFmtId="0" fontId="120" fillId="0" borderId="151" xfId="0" applyFont="1" applyBorder="1" applyAlignment="1">
      <alignment horizontal="left" vertical="center" wrapText="1"/>
    </xf>
    <xf numFmtId="0" fontId="120" fillId="0" borderId="155" xfId="0" applyFont="1" applyBorder="1" applyAlignment="1">
      <alignment horizontal="left" vertical="center" wrapText="1"/>
    </xf>
    <xf numFmtId="0" fontId="120" fillId="0" borderId="176" xfId="0" applyFont="1" applyBorder="1" applyAlignment="1">
      <alignment horizontal="left" vertical="center"/>
    </xf>
    <xf numFmtId="0" fontId="123" fillId="0" borderId="157" xfId="0" applyFont="1" applyBorder="1" applyAlignment="1">
      <alignment horizontal="center" vertical="center" wrapText="1"/>
    </xf>
    <xf numFmtId="0" fontId="123" fillId="0" borderId="181" xfId="0" applyFont="1" applyBorder="1" applyAlignment="1">
      <alignment horizontal="center" vertical="center" wrapText="1"/>
    </xf>
    <xf numFmtId="0" fontId="120" fillId="0" borderId="154" xfId="0" applyFont="1" applyBorder="1" applyAlignment="1">
      <alignment horizontal="left" vertical="center"/>
    </xf>
    <xf numFmtId="0" fontId="120" fillId="0" borderId="151" xfId="0" applyFont="1" applyBorder="1" applyAlignment="1">
      <alignment horizontal="left" vertical="center"/>
    </xf>
    <xf numFmtId="0" fontId="120" fillId="0" borderId="155" xfId="0" applyFont="1" applyBorder="1" applyAlignment="1">
      <alignment horizontal="left" vertical="center"/>
    </xf>
    <xf numFmtId="0" fontId="120" fillId="0" borderId="10" xfId="0" applyFont="1" applyBorder="1" applyAlignment="1">
      <alignment horizontal="left" vertical="center"/>
    </xf>
    <xf numFmtId="0" fontId="120" fillId="0" borderId="7" xfId="0" applyFont="1" applyBorder="1" applyAlignment="1">
      <alignment horizontal="left" vertical="center"/>
    </xf>
    <xf numFmtId="0" fontId="120" fillId="0" borderId="10" xfId="0" applyFont="1" applyBorder="1" applyAlignment="1">
      <alignment horizontal="left" vertical="center" wrapText="1"/>
    </xf>
    <xf numFmtId="0" fontId="123" fillId="24" borderId="154" xfId="0" quotePrefix="1" applyFont="1" applyFill="1" applyBorder="1" applyAlignment="1">
      <alignment horizontal="left" vertical="center"/>
    </xf>
    <xf numFmtId="0" fontId="123" fillId="24" borderId="152" xfId="0" quotePrefix="1" applyFont="1" applyFill="1" applyBorder="1" applyAlignment="1">
      <alignment horizontal="left" vertical="center"/>
    </xf>
    <xf numFmtId="0" fontId="120" fillId="0" borderId="151" xfId="0" applyFont="1" applyBorder="1" applyAlignment="1">
      <alignment horizontal="center" vertical="center" wrapText="1"/>
    </xf>
    <xf numFmtId="0" fontId="120" fillId="0" borderId="170" xfId="0" applyFont="1" applyBorder="1" applyAlignment="1">
      <alignment horizontal="center" vertical="center" wrapText="1"/>
    </xf>
    <xf numFmtId="0" fontId="120" fillId="0" borderId="155" xfId="0" applyFont="1" applyBorder="1" applyAlignment="1">
      <alignment horizontal="center" vertical="center" wrapText="1"/>
    </xf>
    <xf numFmtId="0" fontId="120" fillId="0" borderId="174" xfId="0" applyFont="1" applyBorder="1" applyAlignment="1">
      <alignment horizontal="center" vertical="center" wrapText="1"/>
    </xf>
    <xf numFmtId="0" fontId="120" fillId="0" borderId="176" xfId="0" applyFont="1" applyBorder="1" applyAlignment="1">
      <alignment horizontal="left" vertical="center" wrapText="1"/>
    </xf>
    <xf numFmtId="0" fontId="123" fillId="0" borderId="176" xfId="0" applyFont="1" applyBorder="1" applyAlignment="1">
      <alignment horizontal="center" vertical="center"/>
    </xf>
    <xf numFmtId="165" fontId="54" fillId="0" borderId="1" xfId="5" applyNumberFormat="1" applyFont="1" applyBorder="1" applyAlignment="1">
      <alignment horizontal="left" vertical="center"/>
    </xf>
    <xf numFmtId="165" fontId="54" fillId="0" borderId="4" xfId="5" applyNumberFormat="1" applyFont="1" applyBorder="1" applyAlignment="1">
      <alignment horizontal="left" vertical="center"/>
    </xf>
    <xf numFmtId="0" fontId="54" fillId="0" borderId="155" xfId="0" applyFont="1" applyBorder="1" applyAlignment="1">
      <alignment horizontal="center" vertical="center" wrapText="1"/>
    </xf>
    <xf numFmtId="0" fontId="54" fillId="0" borderId="157" xfId="0" applyFont="1" applyBorder="1" applyAlignment="1">
      <alignment horizontal="center" vertical="center" wrapText="1"/>
    </xf>
    <xf numFmtId="0" fontId="54" fillId="0" borderId="152" xfId="0" applyFont="1" applyBorder="1" applyAlignment="1">
      <alignment horizontal="center" vertical="center"/>
    </xf>
    <xf numFmtId="0" fontId="54" fillId="0" borderId="151" xfId="0" applyFont="1" applyBorder="1" applyAlignment="1">
      <alignment horizontal="center" vertical="center"/>
    </xf>
    <xf numFmtId="0" fontId="54" fillId="0" borderId="155" xfId="0" applyFont="1" applyBorder="1" applyAlignment="1">
      <alignment horizontal="center" vertical="center"/>
    </xf>
    <xf numFmtId="0" fontId="54" fillId="0" borderId="154" xfId="0" applyFont="1" applyBorder="1" applyAlignment="1">
      <alignment horizontal="center" vertical="center"/>
    </xf>
    <xf numFmtId="0" fontId="54" fillId="0" borderId="156" xfId="0" applyFont="1" applyBorder="1" applyAlignment="1">
      <alignment horizontal="center" vertical="center"/>
    </xf>
    <xf numFmtId="0" fontId="108" fillId="0" borderId="151" xfId="0" applyFont="1" applyBorder="1" applyAlignment="1">
      <alignment horizontal="center" vertical="center"/>
    </xf>
    <xf numFmtId="0" fontId="108" fillId="0" borderId="170" xfId="0" applyFont="1" applyBorder="1" applyAlignment="1">
      <alignment horizontal="center" vertical="center"/>
    </xf>
    <xf numFmtId="0" fontId="108" fillId="0" borderId="155" xfId="0" applyFont="1" applyBorder="1" applyAlignment="1">
      <alignment horizontal="center" vertical="center"/>
    </xf>
    <xf numFmtId="0" fontId="108" fillId="0" borderId="174" xfId="0" applyFont="1" applyBorder="1" applyAlignment="1">
      <alignment horizontal="center" vertical="center"/>
    </xf>
    <xf numFmtId="0" fontId="54" fillId="0" borderId="10" xfId="0" applyFont="1" applyBorder="1" applyAlignment="1">
      <alignment horizontal="center" vertical="center"/>
    </xf>
    <xf numFmtId="0" fontId="54" fillId="0" borderId="7" xfId="0" applyFont="1" applyBorder="1" applyAlignment="1">
      <alignment horizontal="center" vertical="center"/>
    </xf>
    <xf numFmtId="0" fontId="54" fillId="0" borderId="10" xfId="0" applyFont="1" applyBorder="1" applyAlignment="1">
      <alignment horizontal="center" vertical="center" wrapText="1"/>
    </xf>
    <xf numFmtId="0" fontId="54" fillId="0" borderId="167" xfId="0" applyFont="1" applyBorder="1" applyAlignment="1">
      <alignment horizontal="center" vertical="center" wrapText="1"/>
    </xf>
    <xf numFmtId="0" fontId="54" fillId="0" borderId="169" xfId="0" applyFont="1" applyBorder="1" applyAlignment="1">
      <alignment horizontal="center" vertical="center"/>
    </xf>
    <xf numFmtId="0" fontId="108" fillId="0" borderId="153" xfId="0" applyFont="1" applyBorder="1" applyAlignment="1">
      <alignment horizontal="center" vertical="center"/>
    </xf>
    <xf numFmtId="0" fontId="108" fillId="0" borderId="168" xfId="0" applyFont="1" applyBorder="1" applyAlignment="1">
      <alignment horizontal="center" vertical="center"/>
    </xf>
    <xf numFmtId="0" fontId="54" fillId="0" borderId="169" xfId="0" applyFont="1" applyBorder="1" applyAlignment="1">
      <alignment horizontal="center" vertical="center" wrapText="1"/>
    </xf>
    <xf numFmtId="0" fontId="54" fillId="0" borderId="9" xfId="0" applyFont="1" applyBorder="1" applyAlignment="1">
      <alignment horizontal="center" vertical="center" wrapText="1"/>
    </xf>
    <xf numFmtId="0" fontId="108" fillId="0" borderId="1" xfId="0" applyFont="1" applyBorder="1" applyAlignment="1">
      <alignment horizontal="center" vertical="center"/>
    </xf>
    <xf numFmtId="0" fontId="108" fillId="0" borderId="4" xfId="0" applyFont="1" applyBorder="1" applyAlignment="1">
      <alignment horizontal="center" vertical="center"/>
    </xf>
    <xf numFmtId="0" fontId="88" fillId="2" borderId="36" xfId="0" applyFont="1" applyFill="1" applyBorder="1" applyAlignment="1">
      <alignment horizontal="center" vertical="center"/>
    </xf>
    <xf numFmtId="0" fontId="88" fillId="2" borderId="120" xfId="0" applyFont="1" applyFill="1" applyBorder="1" applyAlignment="1">
      <alignment horizontal="center" vertical="center"/>
    </xf>
    <xf numFmtId="0" fontId="88" fillId="8" borderId="1" xfId="0" applyFont="1" applyFill="1" applyBorder="1" applyAlignment="1">
      <alignment horizontal="center" vertical="center"/>
    </xf>
    <xf numFmtId="0" fontId="88" fillId="8" borderId="2" xfId="0" applyFont="1" applyFill="1" applyBorder="1" applyAlignment="1">
      <alignment horizontal="center" vertical="center"/>
    </xf>
    <xf numFmtId="9" fontId="88" fillId="8" borderId="2" xfId="0" applyNumberFormat="1" applyFont="1" applyFill="1" applyBorder="1" applyAlignment="1">
      <alignment horizontal="center" vertical="center"/>
    </xf>
    <xf numFmtId="0" fontId="88" fillId="8" borderId="4" xfId="0" applyFont="1" applyFill="1" applyBorder="1" applyAlignment="1">
      <alignment horizontal="center" vertical="center"/>
    </xf>
    <xf numFmtId="0" fontId="88" fillId="0" borderId="10" xfId="0" applyFont="1" applyBorder="1" applyAlignment="1">
      <alignment horizontal="center" vertical="center"/>
    </xf>
    <xf numFmtId="0" fontId="88" fillId="0" borderId="8" xfId="0" applyFont="1" applyBorder="1" applyAlignment="1">
      <alignment horizontal="center" vertical="center"/>
    </xf>
    <xf numFmtId="0" fontId="88" fillId="0" borderId="7" xfId="0" applyFont="1" applyBorder="1" applyAlignment="1">
      <alignment horizontal="center" vertical="center"/>
    </xf>
    <xf numFmtId="0" fontId="91" fillId="0" borderId="10" xfId="0" applyFont="1" applyBorder="1" applyAlignment="1">
      <alignment horizontal="center" vertical="center"/>
    </xf>
    <xf numFmtId="0" fontId="91" fillId="0" borderId="8" xfId="0" applyFont="1" applyBorder="1" applyAlignment="1">
      <alignment horizontal="center" vertical="center"/>
    </xf>
    <xf numFmtId="0" fontId="91" fillId="0" borderId="7" xfId="0" applyFont="1" applyBorder="1" applyAlignment="1">
      <alignment horizontal="center" vertical="center"/>
    </xf>
    <xf numFmtId="0" fontId="96" fillId="0" borderId="10" xfId="0" applyFont="1" applyBorder="1" applyAlignment="1">
      <alignment horizontal="center" vertical="center"/>
    </xf>
    <xf numFmtId="0" fontId="96" fillId="0" borderId="7" xfId="0" applyFont="1" applyBorder="1" applyAlignment="1">
      <alignment horizontal="center" vertical="center"/>
    </xf>
    <xf numFmtId="0" fontId="54" fillId="0" borderId="9" xfId="14" applyFont="1" applyBorder="1" applyAlignment="1">
      <alignment horizontal="center" vertical="center"/>
    </xf>
    <xf numFmtId="0" fontId="49" fillId="0" borderId="9" xfId="14" applyFont="1" applyBorder="1" applyAlignment="1">
      <alignment horizontal="center" vertical="center"/>
    </xf>
    <xf numFmtId="0" fontId="54" fillId="13" borderId="9" xfId="14" quotePrefix="1" applyFont="1" applyFill="1" applyBorder="1" applyAlignment="1">
      <alignment horizontal="center" vertical="center"/>
    </xf>
    <xf numFmtId="0" fontId="54" fillId="13" borderId="127" xfId="14" quotePrefix="1" applyFont="1" applyFill="1" applyBorder="1" applyAlignment="1">
      <alignment horizontal="center" vertical="center"/>
    </xf>
    <xf numFmtId="0" fontId="54" fillId="0" borderId="4" xfId="14" quotePrefix="1" applyFont="1" applyBorder="1" applyAlignment="1">
      <alignment horizontal="center" vertical="center"/>
    </xf>
    <xf numFmtId="0" fontId="54" fillId="0" borderId="9" xfId="14" quotePrefix="1" applyFont="1" applyBorder="1" applyAlignment="1">
      <alignment horizontal="center" vertical="center"/>
    </xf>
    <xf numFmtId="0" fontId="52" fillId="0" borderId="9" xfId="0" applyFont="1" applyBorder="1" applyAlignment="1">
      <alignment horizontal="center" vertical="center"/>
    </xf>
    <xf numFmtId="0" fontId="68" fillId="15" borderId="9" xfId="0" applyFont="1" applyFill="1" applyBorder="1" applyAlignment="1">
      <alignment horizontal="center" vertical="center"/>
    </xf>
    <xf numFmtId="0" fontId="67" fillId="15" borderId="10" xfId="1" applyFont="1" applyFill="1" applyBorder="1" applyAlignment="1">
      <alignment horizontal="center" vertical="center" wrapText="1" readingOrder="1"/>
    </xf>
    <xf numFmtId="0" fontId="67" fillId="15" borderId="7" xfId="1" applyFont="1" applyFill="1" applyBorder="1" applyAlignment="1">
      <alignment horizontal="center" vertical="center" wrapText="1" readingOrder="1"/>
    </xf>
    <xf numFmtId="0" fontId="68" fillId="8" borderId="9" xfId="0" applyFont="1" applyFill="1" applyBorder="1" applyAlignment="1">
      <alignment horizontal="center" vertical="center"/>
    </xf>
    <xf numFmtId="0" fontId="67" fillId="8" borderId="10" xfId="1" applyFont="1" applyFill="1" applyBorder="1" applyAlignment="1">
      <alignment horizontal="center" vertical="center" wrapText="1" readingOrder="1"/>
    </xf>
    <xf numFmtId="0" fontId="67" fillId="8" borderId="7" xfId="1" applyFont="1" applyFill="1" applyBorder="1" applyAlignment="1">
      <alignment horizontal="center" vertical="center" wrapText="1" readingOrder="1"/>
    </xf>
    <xf numFmtId="0" fontId="69" fillId="14" borderId="9" xfId="1" applyFont="1" applyFill="1" applyBorder="1" applyAlignment="1">
      <alignment horizontal="center" vertical="center" wrapText="1" readingOrder="1"/>
    </xf>
    <xf numFmtId="0" fontId="67" fillId="14" borderId="10" xfId="1" applyFont="1" applyFill="1" applyBorder="1" applyAlignment="1">
      <alignment horizontal="center" vertical="center" wrapText="1" readingOrder="1"/>
    </xf>
    <xf numFmtId="0" fontId="67" fillId="14" borderId="7" xfId="1" applyFont="1" applyFill="1" applyBorder="1" applyAlignment="1">
      <alignment horizontal="center" vertical="center" wrapText="1" readingOrder="1"/>
    </xf>
    <xf numFmtId="0" fontId="68" fillId="0" borderId="1" xfId="0" applyFont="1" applyBorder="1" applyAlignment="1">
      <alignment horizontal="center" vertical="center"/>
    </xf>
    <xf numFmtId="0" fontId="68" fillId="0" borderId="4" xfId="0" applyFont="1" applyBorder="1" applyAlignment="1">
      <alignment horizontal="center" vertical="center"/>
    </xf>
    <xf numFmtId="0" fontId="69" fillId="2" borderId="9" xfId="1" applyFont="1" applyFill="1" applyBorder="1" applyAlignment="1">
      <alignment horizontal="center" vertical="center" wrapText="1" readingOrder="1"/>
    </xf>
    <xf numFmtId="0" fontId="67" fillId="2" borderId="10" xfId="1" applyFont="1" applyFill="1" applyBorder="1" applyAlignment="1">
      <alignment horizontal="center" vertical="center" wrapText="1" readingOrder="1"/>
    </xf>
    <xf numFmtId="0" fontId="67" fillId="2" borderId="7" xfId="1" applyFont="1" applyFill="1" applyBorder="1" applyAlignment="1">
      <alignment horizontal="center" vertical="center" wrapText="1" readingOrder="1"/>
    </xf>
    <xf numFmtId="0" fontId="1" fillId="7" borderId="8" xfId="1" applyFont="1" applyFill="1" applyBorder="1" applyAlignment="1">
      <alignment horizontal="left" vertical="center" wrapText="1" readingOrder="1"/>
    </xf>
  </cellXfs>
  <cellStyles count="23">
    <cellStyle name="Comma" xfId="5" builtinId="3"/>
    <cellStyle name="Comma [0]" xfId="4" builtinId="6"/>
    <cellStyle name="Comma [0] 2" xfId="18" xr:uid="{EFEB7C85-F647-423C-8FF8-A436D3AD69D0}"/>
    <cellStyle name="Comma 2" xfId="7" xr:uid="{00000000-0005-0000-0000-000002000000}"/>
    <cellStyle name="Comma 3" xfId="10" xr:uid="{00000000-0005-0000-0000-000003000000}"/>
    <cellStyle name="Comma 4" xfId="16" xr:uid="{1ADFB06A-6030-46E9-8654-773A61ECECCC}"/>
    <cellStyle name="Normal" xfId="0" builtinId="0"/>
    <cellStyle name="Normal 19" xfId="11" xr:uid="{00000000-0005-0000-0000-000005000000}"/>
    <cellStyle name="Normal 2" xfId="6" xr:uid="{00000000-0005-0000-0000-000006000000}"/>
    <cellStyle name="Normal 3" xfId="15" xr:uid="{6D366616-5271-4613-9799-3E60FE693126}"/>
    <cellStyle name="Percent" xfId="9" builtinId="5"/>
    <cellStyle name="백분율 2" xfId="3" xr:uid="{00000000-0005-0000-0000-000008000000}"/>
    <cellStyle name="쉼표 [0] 2" xfId="2" xr:uid="{00000000-0005-0000-0000-000009000000}"/>
    <cellStyle name="쉼표 [0] 2 2" xfId="13" xr:uid="{C7E29BB8-FF28-44B4-B119-09A16844E82C}"/>
    <cellStyle name="표준 2" xfId="1" xr:uid="{00000000-0005-0000-0000-00000A000000}"/>
    <cellStyle name="표준 2 2" xfId="8" xr:uid="{00000000-0005-0000-0000-00000B000000}"/>
    <cellStyle name="표준 2 3" xfId="12" xr:uid="{582E2D9E-917C-4C0A-B160-6A2B56EBC68D}"/>
    <cellStyle name="표준 2 4" xfId="17" xr:uid="{F7C3B4A2-8B51-4646-A9E1-EB8CE6E4E0C2}"/>
    <cellStyle name="표준 2 5" xfId="19" xr:uid="{DE362DD3-5CD7-435A-96C4-3C8824AAE7D8}"/>
    <cellStyle name="표준 2 6" xfId="20" xr:uid="{2B58F1D2-D954-4A54-AE5F-A1041CDFF008}"/>
    <cellStyle name="표준 2 7" xfId="21" xr:uid="{7EFE5DA3-0039-405D-9428-C2C0EDA210AC}"/>
    <cellStyle name="표준 2 8" xfId="22" xr:uid="{3C328B7C-767D-48CB-AE75-22BDED2F57B7}"/>
    <cellStyle name="표준 3" xfId="14" xr:uid="{24D50BB9-5C33-4602-919D-578854B045D2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28A03F"/>
      <color rgb="FF3333FF"/>
      <color rgb="FFFF00FF"/>
      <color rgb="FF34CC51"/>
      <color rgb="FFF7FED2"/>
      <color rgb="FFF7FED6"/>
      <color rgb="FFABFFEF"/>
      <color rgb="FFCCFFFF"/>
      <color rgb="FF185E25"/>
      <color rgb="FF70E0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29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7.xml"/><Relationship Id="rId28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6.xml"/><Relationship Id="rId27" Type="http://schemas.openxmlformats.org/officeDocument/2006/relationships/sheetMetadata" Target="metadata.xml"/><Relationship Id="rId30" Type="http://schemas.microsoft.com/office/2017/06/relationships/rdRichValueTypes" Target="richData/rdRichValueTypes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571500</xdr:colOff>
      <xdr:row>1</xdr:row>
      <xdr:rowOff>0</xdr:rowOff>
    </xdr:from>
    <xdr:to>
      <xdr:col>43</xdr:col>
      <xdr:colOff>295275</xdr:colOff>
      <xdr:row>3</xdr:row>
      <xdr:rowOff>168670</xdr:rowOff>
    </xdr:to>
    <xdr:sp macro="" textlink="">
      <xdr:nvSpPr>
        <xdr:cNvPr id="2" name="AutoShape 3" descr="http://lgeapazms24.lge.com/mail3/TH220113.nsf/0/771cf0cc46a0303f48258b380013b1a5/Body/M2?OpenElemen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16611600" y="152400"/>
          <a:ext cx="295275" cy="749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27</xdr:col>
      <xdr:colOff>0</xdr:colOff>
      <xdr:row>1</xdr:row>
      <xdr:rowOff>0</xdr:rowOff>
    </xdr:from>
    <xdr:ext cx="304800" cy="304800"/>
    <xdr:sp macro="" textlink="">
      <xdr:nvSpPr>
        <xdr:cNvPr id="3" name="AutoShape 3" descr="http://lgeapazms24.lge.com/mail3/TH220113.nsf/0/771cf0cc46a0303f48258b380013b1a5/Body/M2?OpenElemen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353663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27</xdr:col>
      <xdr:colOff>0</xdr:colOff>
      <xdr:row>14</xdr:row>
      <xdr:rowOff>0</xdr:rowOff>
    </xdr:from>
    <xdr:to>
      <xdr:col>27</xdr:col>
      <xdr:colOff>295275</xdr:colOff>
      <xdr:row>15</xdr:row>
      <xdr:rowOff>112634</xdr:rowOff>
    </xdr:to>
    <xdr:sp macro="" textlink="">
      <xdr:nvSpPr>
        <xdr:cNvPr id="4" name="AutoShape 3" descr="http://lgeapazms24.lge.com/mail3/TH220113.nsf/0/771cf0cc46a0303f48258b380013b1a5/Body/M2?OpenElemen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35366325" y="6353175"/>
          <a:ext cx="304800" cy="3126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27</xdr:col>
      <xdr:colOff>0</xdr:colOff>
      <xdr:row>14</xdr:row>
      <xdr:rowOff>0</xdr:rowOff>
    </xdr:from>
    <xdr:ext cx="304800" cy="304800"/>
    <xdr:sp macro="" textlink="">
      <xdr:nvSpPr>
        <xdr:cNvPr id="5" name="AutoShape 3" descr="http://lgeapazms24.lge.com/mail3/TH220113.nsf/0/771cf0cc46a0303f48258b380013b1a5/Body/M2?OpenElemen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35366325" y="63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36</xdr:col>
      <xdr:colOff>409575</xdr:colOff>
      <xdr:row>0</xdr:row>
      <xdr:rowOff>114300</xdr:rowOff>
    </xdr:from>
    <xdr:ext cx="295275" cy="749695"/>
    <xdr:sp macro="" textlink="">
      <xdr:nvSpPr>
        <xdr:cNvPr id="6" name="AutoShape 3" descr="http://lgeapazms24.lge.com/mail3/TH220113.nsf/0/771cf0cc46a0303f48258b380013b1a5/Body/M2?OpenElemen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17068800" y="114300"/>
          <a:ext cx="295275" cy="749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75</xdr:col>
      <xdr:colOff>0</xdr:colOff>
      <xdr:row>0</xdr:row>
      <xdr:rowOff>0</xdr:rowOff>
    </xdr:from>
    <xdr:to>
      <xdr:col>75</xdr:col>
      <xdr:colOff>319928</xdr:colOff>
      <xdr:row>2</xdr:row>
      <xdr:rowOff>155783</xdr:rowOff>
    </xdr:to>
    <xdr:sp macro="" textlink="">
      <xdr:nvSpPr>
        <xdr:cNvPr id="2" name="AutoShape 3" descr="http://lgeapazms24.lge.com/mail3/TH220113.nsf/0/771cf0cc46a0303f48258b380013b1a5/Body/M2?OpenElemen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54883050" y="0"/>
          <a:ext cx="319928" cy="751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75</xdr:col>
      <xdr:colOff>0</xdr:colOff>
      <xdr:row>0</xdr:row>
      <xdr:rowOff>0</xdr:rowOff>
    </xdr:from>
    <xdr:ext cx="304800" cy="304800"/>
    <xdr:sp macro="" textlink="">
      <xdr:nvSpPr>
        <xdr:cNvPr id="3" name="AutoShape 3" descr="http://lgeapazms24.lge.com/mail3/TH220113.nsf/0/771cf0cc46a0303f48258b380013b1a5/Body/M2?OpenElemen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548830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75</xdr:col>
      <xdr:colOff>0</xdr:colOff>
      <xdr:row>28</xdr:row>
      <xdr:rowOff>0</xdr:rowOff>
    </xdr:from>
    <xdr:to>
      <xdr:col>75</xdr:col>
      <xdr:colOff>319928</xdr:colOff>
      <xdr:row>28</xdr:row>
      <xdr:rowOff>312659</xdr:rowOff>
    </xdr:to>
    <xdr:sp macro="" textlink="">
      <xdr:nvSpPr>
        <xdr:cNvPr id="4" name="AutoShape 3" descr="http://lgeapazms24.lge.com/mail3/TH220113.nsf/0/771cf0cc46a0303f48258b380013b1a5/Body/M2?OpenElemen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54883050" y="10048875"/>
          <a:ext cx="319928" cy="3165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75</xdr:col>
      <xdr:colOff>0</xdr:colOff>
      <xdr:row>28</xdr:row>
      <xdr:rowOff>0</xdr:rowOff>
    </xdr:from>
    <xdr:ext cx="304800" cy="304800"/>
    <xdr:sp macro="" textlink="">
      <xdr:nvSpPr>
        <xdr:cNvPr id="5" name="AutoShape 3" descr="http://lgeapazms24.lge.com/mail3/TH220113.nsf/0/771cf0cc46a0303f48258b380013b1a5/Body/M2?OpenElemen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54883050" y="1004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75</xdr:col>
      <xdr:colOff>0</xdr:colOff>
      <xdr:row>28</xdr:row>
      <xdr:rowOff>0</xdr:rowOff>
    </xdr:from>
    <xdr:ext cx="319928" cy="312659"/>
    <xdr:sp macro="" textlink="">
      <xdr:nvSpPr>
        <xdr:cNvPr id="6" name="AutoShape 3" descr="http://lgeapazms24.lge.com/mail3/TH220113.nsf/0/771cf0cc46a0303f48258b380013b1a5/Body/M2?OpenElement">
          <a:extLst>
            <a:ext uri="{FF2B5EF4-FFF2-40B4-BE49-F238E27FC236}">
              <a16:creationId xmlns:a16="http://schemas.microsoft.com/office/drawing/2014/main" id="{72EB9416-DAA3-4CBE-BBAE-8244C52081E9}"/>
            </a:ext>
          </a:extLst>
        </xdr:cNvPr>
        <xdr:cNvSpPr>
          <a:spLocks noChangeAspect="1" noChangeArrowheads="1"/>
        </xdr:cNvSpPr>
      </xdr:nvSpPr>
      <xdr:spPr bwMode="auto">
        <a:xfrm>
          <a:off x="54883050" y="10048875"/>
          <a:ext cx="319928" cy="3126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75</xdr:col>
      <xdr:colOff>0</xdr:colOff>
      <xdr:row>28</xdr:row>
      <xdr:rowOff>0</xdr:rowOff>
    </xdr:from>
    <xdr:ext cx="304800" cy="304800"/>
    <xdr:sp macro="" textlink="">
      <xdr:nvSpPr>
        <xdr:cNvPr id="7" name="AutoShape 3" descr="http://lgeapazms24.lge.com/mail3/TH220113.nsf/0/771cf0cc46a0303f48258b380013b1a5/Body/M2?OpenElement">
          <a:extLst>
            <a:ext uri="{FF2B5EF4-FFF2-40B4-BE49-F238E27FC236}">
              <a16:creationId xmlns:a16="http://schemas.microsoft.com/office/drawing/2014/main" id="{8A47296B-02B9-4124-AB82-836B96C97FA4}"/>
            </a:ext>
          </a:extLst>
        </xdr:cNvPr>
        <xdr:cNvSpPr>
          <a:spLocks noChangeAspect="1" noChangeArrowheads="1"/>
        </xdr:cNvSpPr>
      </xdr:nvSpPr>
      <xdr:spPr bwMode="auto">
        <a:xfrm>
          <a:off x="54883050" y="1004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75</xdr:col>
      <xdr:colOff>0</xdr:colOff>
      <xdr:row>31</xdr:row>
      <xdr:rowOff>0</xdr:rowOff>
    </xdr:from>
    <xdr:ext cx="319928" cy="312659"/>
    <xdr:sp macro="" textlink="">
      <xdr:nvSpPr>
        <xdr:cNvPr id="8" name="AutoShape 3" descr="http://lgeapazms24.lge.com/mail3/TH220113.nsf/0/771cf0cc46a0303f48258b380013b1a5/Body/M2?OpenElement">
          <a:extLst>
            <a:ext uri="{FF2B5EF4-FFF2-40B4-BE49-F238E27FC236}">
              <a16:creationId xmlns:a16="http://schemas.microsoft.com/office/drawing/2014/main" id="{A6041209-C59E-46E1-973C-615B89AC02E8}"/>
            </a:ext>
          </a:extLst>
        </xdr:cNvPr>
        <xdr:cNvSpPr>
          <a:spLocks noChangeAspect="1" noChangeArrowheads="1"/>
        </xdr:cNvSpPr>
      </xdr:nvSpPr>
      <xdr:spPr bwMode="auto">
        <a:xfrm>
          <a:off x="48499059" y="9554882"/>
          <a:ext cx="319928" cy="3126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75</xdr:col>
      <xdr:colOff>0</xdr:colOff>
      <xdr:row>31</xdr:row>
      <xdr:rowOff>0</xdr:rowOff>
    </xdr:from>
    <xdr:ext cx="304800" cy="304800"/>
    <xdr:sp macro="" textlink="">
      <xdr:nvSpPr>
        <xdr:cNvPr id="9" name="AutoShape 3" descr="http://lgeapazms24.lge.com/mail3/TH220113.nsf/0/771cf0cc46a0303f48258b380013b1a5/Body/M2?OpenElement">
          <a:extLst>
            <a:ext uri="{FF2B5EF4-FFF2-40B4-BE49-F238E27FC236}">
              <a16:creationId xmlns:a16="http://schemas.microsoft.com/office/drawing/2014/main" id="{DE7CF735-DC72-43AA-99DE-A81F66D5C297}"/>
            </a:ext>
          </a:extLst>
        </xdr:cNvPr>
        <xdr:cNvSpPr>
          <a:spLocks noChangeAspect="1" noChangeArrowheads="1"/>
        </xdr:cNvSpPr>
      </xdr:nvSpPr>
      <xdr:spPr bwMode="auto">
        <a:xfrm>
          <a:off x="48499059" y="9554882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75</xdr:col>
      <xdr:colOff>0</xdr:colOff>
      <xdr:row>31</xdr:row>
      <xdr:rowOff>0</xdr:rowOff>
    </xdr:from>
    <xdr:ext cx="319928" cy="312659"/>
    <xdr:sp macro="" textlink="">
      <xdr:nvSpPr>
        <xdr:cNvPr id="10" name="AutoShape 3" descr="http://lgeapazms24.lge.com/mail3/TH220113.nsf/0/771cf0cc46a0303f48258b380013b1a5/Body/M2?OpenElement">
          <a:extLst>
            <a:ext uri="{FF2B5EF4-FFF2-40B4-BE49-F238E27FC236}">
              <a16:creationId xmlns:a16="http://schemas.microsoft.com/office/drawing/2014/main" id="{D2A993C9-FCA0-4392-9EC6-F77165574C26}"/>
            </a:ext>
          </a:extLst>
        </xdr:cNvPr>
        <xdr:cNvSpPr>
          <a:spLocks noChangeAspect="1" noChangeArrowheads="1"/>
        </xdr:cNvSpPr>
      </xdr:nvSpPr>
      <xdr:spPr bwMode="auto">
        <a:xfrm>
          <a:off x="48499059" y="9554882"/>
          <a:ext cx="319928" cy="3126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75</xdr:col>
      <xdr:colOff>0</xdr:colOff>
      <xdr:row>31</xdr:row>
      <xdr:rowOff>0</xdr:rowOff>
    </xdr:from>
    <xdr:ext cx="304800" cy="304800"/>
    <xdr:sp macro="" textlink="">
      <xdr:nvSpPr>
        <xdr:cNvPr id="11" name="AutoShape 3" descr="http://lgeapazms24.lge.com/mail3/TH220113.nsf/0/771cf0cc46a0303f48258b380013b1a5/Body/M2?OpenElement">
          <a:extLst>
            <a:ext uri="{FF2B5EF4-FFF2-40B4-BE49-F238E27FC236}">
              <a16:creationId xmlns:a16="http://schemas.microsoft.com/office/drawing/2014/main" id="{282897F0-E634-4E36-8916-BA2E6DE07020}"/>
            </a:ext>
          </a:extLst>
        </xdr:cNvPr>
        <xdr:cNvSpPr>
          <a:spLocks noChangeAspect="1" noChangeArrowheads="1"/>
        </xdr:cNvSpPr>
      </xdr:nvSpPr>
      <xdr:spPr bwMode="auto">
        <a:xfrm>
          <a:off x="48499059" y="9554882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0</xdr:colOff>
      <xdr:row>0</xdr:row>
      <xdr:rowOff>0</xdr:rowOff>
    </xdr:from>
    <xdr:to>
      <xdr:col>32</xdr:col>
      <xdr:colOff>319928</xdr:colOff>
      <xdr:row>2</xdr:row>
      <xdr:rowOff>88548</xdr:rowOff>
    </xdr:to>
    <xdr:sp macro="" textlink="">
      <xdr:nvSpPr>
        <xdr:cNvPr id="2" name="AutoShape 3" descr="http://lgeapazms24.lge.com/mail3/TH220113.nsf/0/771cf0cc46a0303f48258b380013b1a5/Body/M2?OpenElemen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54883050" y="0"/>
          <a:ext cx="319928" cy="751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32</xdr:col>
      <xdr:colOff>0</xdr:colOff>
      <xdr:row>0</xdr:row>
      <xdr:rowOff>0</xdr:rowOff>
    </xdr:from>
    <xdr:ext cx="304800" cy="304800"/>
    <xdr:sp macro="" textlink="">
      <xdr:nvSpPr>
        <xdr:cNvPr id="3" name="AutoShape 3" descr="http://lgeapazms24.lge.com/mail3/TH220113.nsf/0/771cf0cc46a0303f48258b380013b1a5/Body/M2?OpenElemen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548830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32</xdr:col>
      <xdr:colOff>0</xdr:colOff>
      <xdr:row>4</xdr:row>
      <xdr:rowOff>0</xdr:rowOff>
    </xdr:from>
    <xdr:to>
      <xdr:col>32</xdr:col>
      <xdr:colOff>319928</xdr:colOff>
      <xdr:row>4</xdr:row>
      <xdr:rowOff>312659</xdr:rowOff>
    </xdr:to>
    <xdr:sp macro="" textlink="">
      <xdr:nvSpPr>
        <xdr:cNvPr id="4" name="AutoShape 3" descr="http://lgeapazms24.lge.com/mail3/TH220113.nsf/0/771cf0cc46a0303f48258b380013b1a5/Body/M2?OpenElemen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54883050" y="10048875"/>
          <a:ext cx="319928" cy="3165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32</xdr:col>
      <xdr:colOff>0</xdr:colOff>
      <xdr:row>4</xdr:row>
      <xdr:rowOff>0</xdr:rowOff>
    </xdr:from>
    <xdr:ext cx="304800" cy="304800"/>
    <xdr:sp macro="" textlink="">
      <xdr:nvSpPr>
        <xdr:cNvPr id="5" name="AutoShape 3" descr="http://lgeapazms24.lge.com/mail3/TH220113.nsf/0/771cf0cc46a0303f48258b380013b1a5/Body/M2?OpenElemen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54883050" y="1004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4</xdr:row>
      <xdr:rowOff>0</xdr:rowOff>
    </xdr:from>
    <xdr:ext cx="319928" cy="312659"/>
    <xdr:sp macro="" textlink="">
      <xdr:nvSpPr>
        <xdr:cNvPr id="6" name="AutoShape 3" descr="http://lgeapazms24.lge.com/mail3/TH220113.nsf/0/771cf0cc46a0303f48258b380013b1a5/Body/M2?OpenElement">
          <a:extLst>
            <a:ext uri="{FF2B5EF4-FFF2-40B4-BE49-F238E27FC236}">
              <a16:creationId xmlns:a16="http://schemas.microsoft.com/office/drawing/2014/main" id="{72EB9416-DAA3-4CBE-BBAE-8244C52081E9}"/>
            </a:ext>
          </a:extLst>
        </xdr:cNvPr>
        <xdr:cNvSpPr>
          <a:spLocks noChangeAspect="1" noChangeArrowheads="1"/>
        </xdr:cNvSpPr>
      </xdr:nvSpPr>
      <xdr:spPr bwMode="auto">
        <a:xfrm>
          <a:off x="54883050" y="10048875"/>
          <a:ext cx="319928" cy="3126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32</xdr:col>
      <xdr:colOff>0</xdr:colOff>
      <xdr:row>4</xdr:row>
      <xdr:rowOff>0</xdr:rowOff>
    </xdr:from>
    <xdr:ext cx="304800" cy="304800"/>
    <xdr:sp macro="" textlink="">
      <xdr:nvSpPr>
        <xdr:cNvPr id="7" name="AutoShape 3" descr="http://lgeapazms24.lge.com/mail3/TH220113.nsf/0/771cf0cc46a0303f48258b380013b1a5/Body/M2?OpenElement">
          <a:extLst>
            <a:ext uri="{FF2B5EF4-FFF2-40B4-BE49-F238E27FC236}">
              <a16:creationId xmlns:a16="http://schemas.microsoft.com/office/drawing/2014/main" id="{8A47296B-02B9-4124-AB82-836B96C97FA4}"/>
            </a:ext>
          </a:extLst>
        </xdr:cNvPr>
        <xdr:cNvSpPr>
          <a:spLocks noChangeAspect="1" noChangeArrowheads="1"/>
        </xdr:cNvSpPr>
      </xdr:nvSpPr>
      <xdr:spPr bwMode="auto">
        <a:xfrm>
          <a:off x="54883050" y="1004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0</xdr:row>
      <xdr:rowOff>0</xdr:rowOff>
    </xdr:from>
    <xdr:to>
      <xdr:col>25</xdr:col>
      <xdr:colOff>319928</xdr:colOff>
      <xdr:row>2</xdr:row>
      <xdr:rowOff>189401</xdr:rowOff>
    </xdr:to>
    <xdr:sp macro="" textlink="">
      <xdr:nvSpPr>
        <xdr:cNvPr id="2" name="AutoShape 3" descr="http://lgeapazms24.lge.com/mail3/TH220113.nsf/0/771cf0cc46a0303f48258b380013b1a5/Body/M2?OpenElemen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54883050" y="0"/>
          <a:ext cx="319928" cy="751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25</xdr:col>
      <xdr:colOff>0</xdr:colOff>
      <xdr:row>0</xdr:row>
      <xdr:rowOff>0</xdr:rowOff>
    </xdr:from>
    <xdr:ext cx="304800" cy="304800"/>
    <xdr:sp macro="" textlink="">
      <xdr:nvSpPr>
        <xdr:cNvPr id="3" name="AutoShape 3" descr="http://lgeapazms24.lge.com/mail3/TH220113.nsf/0/771cf0cc46a0303f48258b380013b1a5/Body/M2?OpenElemen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548830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25</xdr:col>
      <xdr:colOff>0</xdr:colOff>
      <xdr:row>3</xdr:row>
      <xdr:rowOff>0</xdr:rowOff>
    </xdr:from>
    <xdr:to>
      <xdr:col>25</xdr:col>
      <xdr:colOff>319928</xdr:colOff>
      <xdr:row>3</xdr:row>
      <xdr:rowOff>312659</xdr:rowOff>
    </xdr:to>
    <xdr:sp macro="" textlink="">
      <xdr:nvSpPr>
        <xdr:cNvPr id="4" name="AutoShape 3" descr="http://lgeapazms24.lge.com/mail3/TH220113.nsf/0/771cf0cc46a0303f48258b380013b1a5/Body/M2?OpenElemen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54883050" y="10048875"/>
          <a:ext cx="319928" cy="3165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25</xdr:col>
      <xdr:colOff>0</xdr:colOff>
      <xdr:row>3</xdr:row>
      <xdr:rowOff>0</xdr:rowOff>
    </xdr:from>
    <xdr:ext cx="304800" cy="304800"/>
    <xdr:sp macro="" textlink="">
      <xdr:nvSpPr>
        <xdr:cNvPr id="5" name="AutoShape 3" descr="http://lgeapazms24.lge.com/mail3/TH220113.nsf/0/771cf0cc46a0303f48258b380013b1a5/Body/M2?OpenElemen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54883050" y="1004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3</xdr:row>
      <xdr:rowOff>0</xdr:rowOff>
    </xdr:from>
    <xdr:ext cx="319928" cy="312659"/>
    <xdr:sp macro="" textlink="">
      <xdr:nvSpPr>
        <xdr:cNvPr id="6" name="AutoShape 3" descr="http://lgeapazms24.lge.com/mail3/TH220113.nsf/0/771cf0cc46a0303f48258b380013b1a5/Body/M2?OpenElement">
          <a:extLst>
            <a:ext uri="{FF2B5EF4-FFF2-40B4-BE49-F238E27FC236}">
              <a16:creationId xmlns:a16="http://schemas.microsoft.com/office/drawing/2014/main" id="{72EB9416-DAA3-4CBE-BBAE-8244C52081E9}"/>
            </a:ext>
          </a:extLst>
        </xdr:cNvPr>
        <xdr:cNvSpPr>
          <a:spLocks noChangeAspect="1" noChangeArrowheads="1"/>
        </xdr:cNvSpPr>
      </xdr:nvSpPr>
      <xdr:spPr bwMode="auto">
        <a:xfrm>
          <a:off x="54883050" y="10048875"/>
          <a:ext cx="319928" cy="3126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25</xdr:col>
      <xdr:colOff>0</xdr:colOff>
      <xdr:row>3</xdr:row>
      <xdr:rowOff>0</xdr:rowOff>
    </xdr:from>
    <xdr:ext cx="304800" cy="304800"/>
    <xdr:sp macro="" textlink="">
      <xdr:nvSpPr>
        <xdr:cNvPr id="7" name="AutoShape 3" descr="http://lgeapazms24.lge.com/mail3/TH220113.nsf/0/771cf0cc46a0303f48258b380013b1a5/Body/M2?OpenElement">
          <a:extLst>
            <a:ext uri="{FF2B5EF4-FFF2-40B4-BE49-F238E27FC236}">
              <a16:creationId xmlns:a16="http://schemas.microsoft.com/office/drawing/2014/main" id="{8A47296B-02B9-4124-AB82-836B96C97FA4}"/>
            </a:ext>
          </a:extLst>
        </xdr:cNvPr>
        <xdr:cNvSpPr>
          <a:spLocks noChangeAspect="1" noChangeArrowheads="1"/>
        </xdr:cNvSpPr>
      </xdr:nvSpPr>
      <xdr:spPr bwMode="auto">
        <a:xfrm>
          <a:off x="54883050" y="1004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0</xdr:row>
      <xdr:rowOff>0</xdr:rowOff>
    </xdr:from>
    <xdr:to>
      <xdr:col>26</xdr:col>
      <xdr:colOff>319928</xdr:colOff>
      <xdr:row>2</xdr:row>
      <xdr:rowOff>189401</xdr:rowOff>
    </xdr:to>
    <xdr:sp macro="" textlink="">
      <xdr:nvSpPr>
        <xdr:cNvPr id="2" name="AutoShape 3" descr="http://lgeapazms24.lge.com/mail3/TH220113.nsf/0/771cf0cc46a0303f48258b380013b1a5/Body/M2?OpenElemen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33508950" y="0"/>
          <a:ext cx="319928" cy="751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26</xdr:col>
      <xdr:colOff>0</xdr:colOff>
      <xdr:row>0</xdr:row>
      <xdr:rowOff>0</xdr:rowOff>
    </xdr:from>
    <xdr:ext cx="304800" cy="304800"/>
    <xdr:sp macro="" textlink="">
      <xdr:nvSpPr>
        <xdr:cNvPr id="3" name="AutoShape 3" descr="http://lgeapazms24.lge.com/mail3/TH220113.nsf/0/771cf0cc46a0303f48258b380013b1a5/Body/M2?OpenElemen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335089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26</xdr:col>
      <xdr:colOff>0</xdr:colOff>
      <xdr:row>3</xdr:row>
      <xdr:rowOff>0</xdr:rowOff>
    </xdr:from>
    <xdr:to>
      <xdr:col>26</xdr:col>
      <xdr:colOff>319928</xdr:colOff>
      <xdr:row>3</xdr:row>
      <xdr:rowOff>312659</xdr:rowOff>
    </xdr:to>
    <xdr:sp macro="" textlink="">
      <xdr:nvSpPr>
        <xdr:cNvPr id="4" name="AutoShape 3" descr="http://lgeapazms24.lge.com/mail3/TH220113.nsf/0/771cf0cc46a0303f48258b380013b1a5/Body/M2?OpenElemen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33508950" y="6276975"/>
          <a:ext cx="319928" cy="3137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26</xdr:col>
      <xdr:colOff>0</xdr:colOff>
      <xdr:row>3</xdr:row>
      <xdr:rowOff>0</xdr:rowOff>
    </xdr:from>
    <xdr:ext cx="304800" cy="304800"/>
    <xdr:sp macro="" textlink="">
      <xdr:nvSpPr>
        <xdr:cNvPr id="5" name="AutoShape 3" descr="http://lgeapazms24.lge.com/mail3/TH220113.nsf/0/771cf0cc46a0303f48258b380013b1a5/Body/M2?OpenElemen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335089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3</xdr:row>
      <xdr:rowOff>0</xdr:rowOff>
    </xdr:from>
    <xdr:ext cx="319928" cy="312659"/>
    <xdr:sp macro="" textlink="">
      <xdr:nvSpPr>
        <xdr:cNvPr id="6" name="AutoShape 3" descr="http://lgeapazms24.lge.com/mail3/TH220113.nsf/0/771cf0cc46a0303f48258b380013b1a5/Body/M2?OpenElement">
          <a:extLst>
            <a:ext uri="{FF2B5EF4-FFF2-40B4-BE49-F238E27FC236}">
              <a16:creationId xmlns:a16="http://schemas.microsoft.com/office/drawing/2014/main" id="{72EB9416-DAA3-4CBE-BBAE-8244C52081E9}"/>
            </a:ext>
          </a:extLst>
        </xdr:cNvPr>
        <xdr:cNvSpPr>
          <a:spLocks noChangeAspect="1" noChangeArrowheads="1"/>
        </xdr:cNvSpPr>
      </xdr:nvSpPr>
      <xdr:spPr bwMode="auto">
        <a:xfrm>
          <a:off x="33508950" y="6276975"/>
          <a:ext cx="319928" cy="3126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26</xdr:col>
      <xdr:colOff>0</xdr:colOff>
      <xdr:row>3</xdr:row>
      <xdr:rowOff>0</xdr:rowOff>
    </xdr:from>
    <xdr:ext cx="304800" cy="304800"/>
    <xdr:sp macro="" textlink="">
      <xdr:nvSpPr>
        <xdr:cNvPr id="7" name="AutoShape 3" descr="http://lgeapazms24.lge.com/mail3/TH220113.nsf/0/771cf0cc46a0303f48258b380013b1a5/Body/M2?OpenElement">
          <a:extLst>
            <a:ext uri="{FF2B5EF4-FFF2-40B4-BE49-F238E27FC236}">
              <a16:creationId xmlns:a16="http://schemas.microsoft.com/office/drawing/2014/main" id="{8A47296B-02B9-4124-AB82-836B96C97FA4}"/>
            </a:ext>
          </a:extLst>
        </xdr:cNvPr>
        <xdr:cNvSpPr>
          <a:spLocks noChangeAspect="1" noChangeArrowheads="1"/>
        </xdr:cNvSpPr>
      </xdr:nvSpPr>
      <xdr:spPr bwMode="auto">
        <a:xfrm>
          <a:off x="33508950" y="62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571500</xdr:colOff>
      <xdr:row>64</xdr:row>
      <xdr:rowOff>38100</xdr:rowOff>
    </xdr:from>
    <xdr:to>
      <xdr:col>39</xdr:col>
      <xdr:colOff>190216</xdr:colOff>
      <xdr:row>73</xdr:row>
      <xdr:rowOff>63584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8229984-4A7F-43CA-B4E2-829DF334B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49800" y="11582400"/>
          <a:ext cx="6813266" cy="1625684"/>
        </a:xfrm>
        <a:prstGeom prst="rect">
          <a:avLst/>
        </a:prstGeom>
      </xdr:spPr>
    </xdr:pic>
    <xdr:clientData/>
  </xdr:twoCellAnchor>
  <xdr:twoCellAnchor editAs="oneCell">
    <xdr:from>
      <xdr:col>27</xdr:col>
      <xdr:colOff>100159</xdr:colOff>
      <xdr:row>90</xdr:row>
      <xdr:rowOff>104455</xdr:rowOff>
    </xdr:from>
    <xdr:to>
      <xdr:col>44</xdr:col>
      <xdr:colOff>512808</xdr:colOff>
      <xdr:row>127</xdr:row>
      <xdr:rowOff>135179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02FB716-BDFB-4049-AF58-87393A7DC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24409" y="16271555"/>
          <a:ext cx="11531499" cy="660932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18</xdr:row>
      <xdr:rowOff>19050</xdr:rowOff>
    </xdr:from>
    <xdr:to>
      <xdr:col>11</xdr:col>
      <xdr:colOff>931402</xdr:colOff>
      <xdr:row>39</xdr:row>
      <xdr:rowOff>47121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3590925"/>
          <a:ext cx="16380952" cy="402857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easonal%20illustrated%20any%20year%20calendar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OP%20UP%20Store%20Mgt/&#48373;&#49324;&#48376;%20240619_&#49444;&#47928;&#51312;&#49324;&#44208;&#44284;&#48516;&#49437;_&#44396;&#46021;&#54016;_v1%20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geteams-my.sharepoint.com/personal/yejin123_kim_lge_com/Documents/Subscription%20PD%20Shared%20Folder/Price%20and%20Promotion/202606/260514%20PRM%20&#48143;%20&#44032;&#44201;&#51064;&#49345;&#50504;%20&#48372;&#44256;%20v2.2.xlsx" TargetMode="External"/><Relationship Id="rId1" Type="http://schemas.openxmlformats.org/officeDocument/2006/relationships/externalLinkPath" Target="https://lgeteams-my.sharepoint.com/personal/yejin123_kim_lge_com/Documents/Subscription%20PD%20Shared%20Folder/Price%20and%20Promotion/202606/260514%20PRM%20&#48143;%20&#44032;&#44201;&#51064;&#49345;&#50504;%20&#48372;&#44256;%20v2.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geteams-my.sharepoint.com/personal/yejin123_kim_lge_com/Documents/Subscription%20CM/Sales%20Revenue/&#9733;%202603%20Subscription%20Sales%20Revenue%20(Revised).xlsx" TargetMode="External"/><Relationship Id="rId1" Type="http://schemas.openxmlformats.org/officeDocument/2006/relationships/externalLinkPath" Target="https://lgeteams-my.sharepoint.com/personal/yejin123_kim_lge_com/Documents/Subscription%20CM/Sales%20Revenue/&#9733;%202603%20Subscription%20Sales%20Revenue%20(Revised)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geteams-my.sharepoint.com/personal/yejin123_kim_lge_com/Documents/2602%20&#44396;&#46021;%20&#47588;&#52636;%20&#47560;&#44048;.xlsx" TargetMode="External"/><Relationship Id="rId1" Type="http://schemas.openxmlformats.org/officeDocument/2006/relationships/externalLinkPath" Target="https://lgeteams-my.sharepoint.com/personal/yejin123_kim_lge_com/Documents/2602%20&#44396;&#46021;%20&#47588;&#52636;%20&#47560;&#44048;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geteams-my.sharepoint.com/personal/yejin123_kim_lge_com/Documents/Attachments/Daily%20LTI%20report_&#51068;&#48324;%20&#46020;&#47000;%20&#50629;&#45936;&#51060;&#53944;%20&#44148;%20all%20product%2020260312.xlsb" TargetMode="External"/><Relationship Id="rId1" Type="http://schemas.openxmlformats.org/officeDocument/2006/relationships/externalLinkPath" Target="https://lgeteams-my.sharepoint.com/personal/yejin123_kim_lge_com/Documents/Attachments/Daily%20LTI%20report_&#51068;&#48324;%20&#46020;&#47000;%20&#50629;&#45936;&#51060;&#53944;%20&#44148;%20all%20product%2020260312.xlsb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Subscription\Promotion\Y2026\2026_05_May\Update\260421%20May%20Promotion%20and%20Price%20%20V1.0%20(3).xlsx" TargetMode="External"/><Relationship Id="rId1" Type="http://schemas.openxmlformats.org/officeDocument/2006/relationships/externalLinkPath" Target="/Subscription/Promotion/Y2026/2026_05_May/Update/260421%20May%20Promotion%20and%20Price%20%20V1.0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</sheetNames>
    <sheetDataSet>
      <sheetData sheetId="0">
        <row r="5">
          <cell r="K5">
            <v>2024</v>
          </cell>
          <cell r="L5" t="str">
            <v>Sunday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로데이터"/>
      <sheetName val="설문조사결과"/>
      <sheetName val="복사본 240619_설문조사결과분석_구독팀_v1 2"/>
    </sheetNames>
    <sheetDataSet>
      <sheetData sheetId="0"/>
      <sheetData sheetId="1">
        <row r="1">
          <cell r="A1" t="str">
            <v>ประทับเวลา</v>
          </cell>
          <cell r="B1" t="str">
            <v>ข้อมูลนี้ถูกจัดเก็บเพื่อติดต่อผู้ที่สนใจซื้อสินค้าแบบ Subscription กับ LG Electronics (Thailand) Co.,Ltd. หรือ ตัวแทนขายที่ได้รับอนญาตระยะเวลาการจัดเก็บข้อมูล 1 ปี หลังจากนี้ LG จะทำการลบข้อมูลออกจากระบบมีการส่งต่อข้อมูลให้กับฝ่ายการตลาด และฝ่ายขาย และ ตัวแทนขายที่ได้รับอนญาต เพื่อให้ทางแผนกติดต่อผู้ที่สนใจหากท่านใดมีข้อสงสัยเกี่ยวกับการจัดเก็บ หรือปกป้องความเป็นส่วนตัว โปรดศึกษาเพิ่มเติมได้ที่ https://www.lg.com/th/privacy/ หรืออีเมลมาที่ lg.marketinginfo@lge.com เพื่อขอให้ลบข้อมูล</v>
          </cell>
          <cell r="C1" t="str">
            <v>ชื่อ-นามสกุล</v>
          </cell>
          <cell r="D1" t="str">
            <v>อีเมล(ถ้ามี)</v>
          </cell>
          <cell r="E1" t="str">
            <v>เพศ</v>
          </cell>
          <cell r="F1" t="str">
            <v>เบอร์โทรศัพท์</v>
          </cell>
          <cell r="G1" t="str">
            <v>Line ID(ถ้ามี)</v>
          </cell>
          <cell r="H1" t="str">
            <v>จังหวัด</v>
          </cell>
          <cell r="I1" t="str">
            <v>รหัสตัวแทนผู้แนะนำ(ขอรหัสจากตัวแทนประจำบูธ)</v>
          </cell>
          <cell r="J1" t="str">
            <v>1. โปรดเลือกประเภทผลิตภัณฑ์อิเล็กทรอนิกส์ที่คุณใช้อยู่ (เลือกได้หลายข้อ)</v>
          </cell>
          <cell r="K1" t="str">
            <v xml:space="preserve">
2. โปรดเลือกผลิตภัณฑ์ของยี่ห้อ LG ที่คุณกำลังใช้อยู่ (เลือกได้หลายข้อ) </v>
          </cell>
          <cell r="L1" t="str">
            <v xml:space="preserve">3. หากมีผลิตภัณฑ์ที่คุณวางแผนจะซื้อในอนาคต โปรดเลือกผลิตภัณฑ์นั้น (เลือกได้หลายข้อ) </v>
          </cell>
          <cell r="M1" t="str">
            <v>4.ในบรรดาผลิตภัณฑ์ที่คุณสนใจที่จะซื้อ โปรดเลือกรายการหากคุณสนใจที่จะซื้อด้วยการ Subscribe (เลือกได้หลายข้อ)</v>
          </cell>
          <cell r="N1" t="str">
            <v xml:space="preserve">5. คุณยินดีทดลองใช้ผลิตภัณฑ์ LG ฟรีเป็นเวลาสองเดือนหรือไม่? </v>
          </cell>
          <cell r="O1" t="str">
            <v xml:space="preserve">6. หากคุณสนใจ คุณอยากลองใช้ผลิตภัณฑ์ใด? </v>
          </cell>
          <cell r="P1" t="str">
            <v xml:space="preserve">7. สมาชิกจำนวนครอบครัวของคุณก็คน </v>
          </cell>
          <cell r="Q1" t="str">
            <v>8. คุณดื่มน้ำแบบใดมากที่สุด</v>
          </cell>
          <cell r="R1" t="str">
            <v xml:space="preserve">9. แต่ละเดือนคุณมีค่าใช้จายสำหรับน้ำดื่มเท่าไร? </v>
          </cell>
          <cell r="S1" t="str">
            <v xml:space="preserve">10. สิ่งใดที่คุณคิดว่าสำคัญที่สุดเมื่อซื้อผลิตภัณฑ์? </v>
          </cell>
          <cell r="T1" t="str">
            <v xml:space="preserve">11. สถานที่ปัจจุบันคุณอาศัยอยู่เป็นประเภทไหน? </v>
          </cell>
          <cell r="U1" t="str">
            <v>สาขาที่ทำแบบสำรวจ</v>
          </cell>
        </row>
        <row r="2">
          <cell r="A2">
            <v>0</v>
          </cell>
        </row>
        <row r="3">
          <cell r="A3" t="str">
            <v>제출일</v>
          </cell>
        </row>
        <row r="4">
          <cell r="A4">
            <v>45460.464961342594</v>
          </cell>
        </row>
        <row r="5">
          <cell r="A5">
            <v>45460.490879224541</v>
          </cell>
        </row>
        <row r="6">
          <cell r="A6">
            <v>45460.509495879625</v>
          </cell>
        </row>
        <row r="7">
          <cell r="A7">
            <v>45460.526193726851</v>
          </cell>
        </row>
        <row r="8">
          <cell r="A8">
            <v>45460.526244259258</v>
          </cell>
        </row>
        <row r="9">
          <cell r="A9">
            <v>45460.527101134256</v>
          </cell>
        </row>
        <row r="10">
          <cell r="A10">
            <v>45460.535869722225</v>
          </cell>
        </row>
        <row r="11">
          <cell r="A11">
            <v>45460.573657719906</v>
          </cell>
        </row>
        <row r="12">
          <cell r="A12">
            <v>45460.577840787038</v>
          </cell>
        </row>
        <row r="13">
          <cell r="A13">
            <v>45460.581975300927</v>
          </cell>
        </row>
        <row r="14">
          <cell r="A14">
            <v>45460.582440347222</v>
          </cell>
        </row>
        <row r="15">
          <cell r="A15">
            <v>45460.582448275462</v>
          </cell>
        </row>
        <row r="16">
          <cell r="A16">
            <v>45460.588028194441</v>
          </cell>
        </row>
        <row r="17">
          <cell r="A17">
            <v>45460.589468240738</v>
          </cell>
        </row>
        <row r="18">
          <cell r="A18">
            <v>45460.594959537033</v>
          </cell>
        </row>
        <row r="19">
          <cell r="A19">
            <v>45460.596435416664</v>
          </cell>
        </row>
        <row r="20">
          <cell r="A20">
            <v>45460.599479895835</v>
          </cell>
        </row>
        <row r="21">
          <cell r="A21">
            <v>45460.601670601856</v>
          </cell>
        </row>
        <row r="22">
          <cell r="A22">
            <v>45460.603818125004</v>
          </cell>
        </row>
        <row r="23">
          <cell r="A23">
            <v>45460.606716041671</v>
          </cell>
        </row>
        <row r="24">
          <cell r="A24">
            <v>45460.608502453702</v>
          </cell>
        </row>
        <row r="25">
          <cell r="A25">
            <v>45460.614023078699</v>
          </cell>
        </row>
        <row r="26">
          <cell r="A26">
            <v>45460.615286423606</v>
          </cell>
        </row>
        <row r="27">
          <cell r="A27">
            <v>45460.61801395833</v>
          </cell>
        </row>
        <row r="28">
          <cell r="A28">
            <v>45460.619204930554</v>
          </cell>
        </row>
        <row r="29">
          <cell r="A29">
            <v>45460.621573321754</v>
          </cell>
        </row>
        <row r="30">
          <cell r="A30">
            <v>45460.623568402778</v>
          </cell>
        </row>
        <row r="31">
          <cell r="A31">
            <v>45460.624552384259</v>
          </cell>
        </row>
        <row r="32">
          <cell r="A32">
            <v>45460.625335231482</v>
          </cell>
        </row>
        <row r="33">
          <cell r="A33">
            <v>45460.628585092592</v>
          </cell>
        </row>
        <row r="34">
          <cell r="A34">
            <v>45460.644564212962</v>
          </cell>
        </row>
        <row r="35">
          <cell r="A35">
            <v>45460.65555899305</v>
          </cell>
        </row>
        <row r="36">
          <cell r="A36">
            <v>45460.66274861111</v>
          </cell>
        </row>
        <row r="37">
          <cell r="A37">
            <v>45460.665889780095</v>
          </cell>
        </row>
        <row r="38">
          <cell r="A38">
            <v>45460.666646562502</v>
          </cell>
        </row>
        <row r="39">
          <cell r="A39">
            <v>45460.674304895831</v>
          </cell>
        </row>
        <row r="40">
          <cell r="A40">
            <v>45460.695764745367</v>
          </cell>
        </row>
        <row r="41">
          <cell r="A41">
            <v>45460.701936817131</v>
          </cell>
        </row>
        <row r="42">
          <cell r="A42">
            <v>45460.740930891203</v>
          </cell>
        </row>
        <row r="43">
          <cell r="A43">
            <v>45460.750670706024</v>
          </cell>
        </row>
        <row r="44">
          <cell r="A44">
            <v>45460.788011990742</v>
          </cell>
        </row>
        <row r="45">
          <cell r="A45">
            <v>45460.796263657408</v>
          </cell>
        </row>
        <row r="46">
          <cell r="A46">
            <v>45460.817879247683</v>
          </cell>
        </row>
        <row r="47">
          <cell r="A47">
            <v>45460.817945694449</v>
          </cell>
        </row>
        <row r="48">
          <cell r="A48">
            <v>45460.821103344904</v>
          </cell>
        </row>
        <row r="49">
          <cell r="A49">
            <v>45460.838599270835</v>
          </cell>
        </row>
        <row r="50">
          <cell r="A50">
            <v>45460.851720497682</v>
          </cell>
        </row>
        <row r="51">
          <cell r="A51">
            <v>45460.862811956016</v>
          </cell>
        </row>
        <row r="52">
          <cell r="A52">
            <v>45460.869292719908</v>
          </cell>
        </row>
        <row r="53">
          <cell r="A53">
            <v>45460.874192083334</v>
          </cell>
        </row>
        <row r="54">
          <cell r="A54">
            <v>45460.874640775466</v>
          </cell>
        </row>
        <row r="55">
          <cell r="A55">
            <v>45460.889888402773</v>
          </cell>
        </row>
        <row r="56">
          <cell r="A56">
            <v>45460.894391539347</v>
          </cell>
        </row>
        <row r="57">
          <cell r="A57">
            <v>45460.897317881943</v>
          </cell>
        </row>
        <row r="58">
          <cell r="A58">
            <v>45460.89920162037</v>
          </cell>
        </row>
        <row r="59">
          <cell r="A59">
            <v>45460.901136782406</v>
          </cell>
        </row>
        <row r="60">
          <cell r="A60">
            <v>45460.912553622686</v>
          </cell>
        </row>
        <row r="61">
          <cell r="A61">
            <v>45460.914787326386</v>
          </cell>
        </row>
        <row r="62">
          <cell r="A62">
            <v>45460.916435659718</v>
          </cell>
        </row>
        <row r="63">
          <cell r="A63">
            <v>45460.921351770834</v>
          </cell>
        </row>
        <row r="64">
          <cell r="A64">
            <v>45460.924496226857</v>
          </cell>
        </row>
        <row r="65">
          <cell r="A65">
            <v>45460.929150497686</v>
          </cell>
        </row>
        <row r="66">
          <cell r="A66">
            <v>45461.031084606482</v>
          </cell>
        </row>
        <row r="67">
          <cell r="A67">
            <v>45461.341038692131</v>
          </cell>
        </row>
        <row r="68">
          <cell r="A68">
            <v>45461.374240277779</v>
          </cell>
        </row>
        <row r="69">
          <cell r="A69">
            <v>45461.38508738426</v>
          </cell>
        </row>
        <row r="70">
          <cell r="A70">
            <v>45461.386997685186</v>
          </cell>
        </row>
        <row r="71">
          <cell r="A71">
            <v>45461.40592153935</v>
          </cell>
        </row>
        <row r="72">
          <cell r="A72">
            <v>45461.468686261578</v>
          </cell>
        </row>
        <row r="73">
          <cell r="A73">
            <v>45461.513159270835</v>
          </cell>
        </row>
        <row r="74">
          <cell r="A74">
            <v>45461.551343611107</v>
          </cell>
        </row>
        <row r="75">
          <cell r="A75">
            <v>45461.554423553243</v>
          </cell>
        </row>
        <row r="76">
          <cell r="A76">
            <v>45461.623544004629</v>
          </cell>
        </row>
        <row r="77">
          <cell r="A77">
            <v>45461.674735833338</v>
          </cell>
        </row>
        <row r="78">
          <cell r="A78">
            <v>45461.693117650459</v>
          </cell>
        </row>
        <row r="79">
          <cell r="A79">
            <v>45461.770408206023</v>
          </cell>
        </row>
        <row r="80">
          <cell r="A80">
            <v>45461.88149900463</v>
          </cell>
        </row>
        <row r="81">
          <cell r="A81">
            <v>45462.492041192134</v>
          </cell>
        </row>
        <row r="82">
          <cell r="A82">
            <v>45462.49537232639</v>
          </cell>
        </row>
        <row r="83">
          <cell r="A83">
            <v>45462.549902361112</v>
          </cell>
        </row>
        <row r="84">
          <cell r="A84">
            <v>45462.550653726852</v>
          </cell>
        </row>
        <row r="85">
          <cell r="A85">
            <v>45462.618271527783</v>
          </cell>
        </row>
        <row r="86">
          <cell r="A86">
            <v>45462.688422291671</v>
          </cell>
        </row>
        <row r="87">
          <cell r="A87">
            <v>45462.77380362268</v>
          </cell>
        </row>
        <row r="88">
          <cell r="A88">
            <v>45462.873391527777</v>
          </cell>
        </row>
        <row r="89">
          <cell r="A89">
            <v>45462.887058437496</v>
          </cell>
        </row>
        <row r="90">
          <cell r="A90">
            <v>45462.961405671296</v>
          </cell>
        </row>
        <row r="91">
          <cell r="A91">
            <v>45463.316763287032</v>
          </cell>
        </row>
        <row r="92">
          <cell r="A92">
            <v>45463.474547245365</v>
          </cell>
        </row>
        <row r="93">
          <cell r="A93">
            <v>45463.54086494213</v>
          </cell>
        </row>
        <row r="94">
          <cell r="A94">
            <v>45463.608326030095</v>
          </cell>
        </row>
        <row r="95">
          <cell r="A95">
            <v>45463.645130266203</v>
          </cell>
        </row>
        <row r="96">
          <cell r="A96">
            <v>45463.65148695602</v>
          </cell>
        </row>
        <row r="97">
          <cell r="A97">
            <v>45463.688489062501</v>
          </cell>
        </row>
        <row r="98">
          <cell r="A98">
            <v>45463.80350775463</v>
          </cell>
        </row>
        <row r="99">
          <cell r="A99">
            <v>45463.813669837968</v>
          </cell>
        </row>
        <row r="100">
          <cell r="A100">
            <v>45463.870581111114</v>
          </cell>
        </row>
        <row r="101">
          <cell r="A101">
            <v>45463.874003645833</v>
          </cell>
        </row>
        <row r="102">
          <cell r="A102">
            <v>45464.364838819442</v>
          </cell>
        </row>
        <row r="103">
          <cell r="A103">
            <v>45464.365246851856</v>
          </cell>
        </row>
        <row r="104">
          <cell r="A104">
            <v>45464.365996111112</v>
          </cell>
        </row>
        <row r="105">
          <cell r="A105">
            <v>45464.366512615743</v>
          </cell>
        </row>
        <row r="106">
          <cell r="A106">
            <v>45464.368229768515</v>
          </cell>
        </row>
        <row r="107">
          <cell r="A107">
            <v>45464.486171469907</v>
          </cell>
        </row>
        <row r="108">
          <cell r="A108">
            <v>45464.502462013887</v>
          </cell>
        </row>
        <row r="109">
          <cell r="A109">
            <v>45464.52407929398</v>
          </cell>
        </row>
        <row r="110">
          <cell r="A110">
            <v>45464.52929392361</v>
          </cell>
        </row>
        <row r="111">
          <cell r="A111">
            <v>45464.558131631944</v>
          </cell>
        </row>
        <row r="112">
          <cell r="A112">
            <v>45464.628057916663</v>
          </cell>
        </row>
        <row r="113">
          <cell r="A113">
            <v>45464.632728831013</v>
          </cell>
        </row>
        <row r="114">
          <cell r="A114">
            <v>45464.636700486109</v>
          </cell>
        </row>
        <row r="115">
          <cell r="A115">
            <v>45464.727847928239</v>
          </cell>
        </row>
        <row r="116">
          <cell r="A116">
            <v>45464.737246331017</v>
          </cell>
        </row>
        <row r="117">
          <cell r="A117">
            <v>45464.747826331019</v>
          </cell>
        </row>
        <row r="118">
          <cell r="A118">
            <v>45464.748304803245</v>
          </cell>
        </row>
        <row r="119">
          <cell r="A119">
            <v>45464.840502268518</v>
          </cell>
        </row>
        <row r="120">
          <cell r="A120">
            <v>45464.8593277662</v>
          </cell>
        </row>
        <row r="121">
          <cell r="A121">
            <v>45464.968322824076</v>
          </cell>
        </row>
        <row r="122">
          <cell r="A122">
            <v>45465.379178807867</v>
          </cell>
        </row>
        <row r="123">
          <cell r="A123">
            <v>45465.469405729164</v>
          </cell>
        </row>
        <row r="124">
          <cell r="A124">
            <v>45465.475072303241</v>
          </cell>
        </row>
        <row r="125">
          <cell r="A125">
            <v>45465.716637766207</v>
          </cell>
        </row>
        <row r="126">
          <cell r="A126">
            <v>45465.825272118054</v>
          </cell>
        </row>
        <row r="127">
          <cell r="A127">
            <v>45466.496331250004</v>
          </cell>
        </row>
        <row r="128">
          <cell r="A128">
            <v>45466.52712510417</v>
          </cell>
        </row>
        <row r="129">
          <cell r="A129">
            <v>45466.586683263886</v>
          </cell>
        </row>
        <row r="130">
          <cell r="A130">
            <v>45466.652139062498</v>
          </cell>
        </row>
        <row r="131">
          <cell r="A131">
            <v>45466.705400902778</v>
          </cell>
        </row>
        <row r="132">
          <cell r="A132">
            <v>45466.725520914348</v>
          </cell>
        </row>
        <row r="133">
          <cell r="A133">
            <v>45466.753828935187</v>
          </cell>
        </row>
        <row r="134">
          <cell r="A134">
            <v>45466.87659965278</v>
          </cell>
        </row>
        <row r="135">
          <cell r="A135">
            <v>45467.650029062497</v>
          </cell>
        </row>
        <row r="136">
          <cell r="A136">
            <v>45468.493287974532</v>
          </cell>
        </row>
        <row r="137">
          <cell r="A137">
            <v>45468.547211053243</v>
          </cell>
        </row>
        <row r="138">
          <cell r="A138">
            <v>45468.836072337959</v>
          </cell>
        </row>
        <row r="139">
          <cell r="A139">
            <v>45468.836611805556</v>
          </cell>
        </row>
        <row r="140">
          <cell r="A140">
            <v>45468.878408935183</v>
          </cell>
        </row>
        <row r="141">
          <cell r="A141">
            <v>45469.48159408565</v>
          </cell>
        </row>
        <row r="142">
          <cell r="A142">
            <v>45469.549919768513</v>
          </cell>
        </row>
        <row r="143">
          <cell r="A143">
            <v>45469.719084780096</v>
          </cell>
        </row>
        <row r="144">
          <cell r="A144">
            <v>45469.722457824071</v>
          </cell>
        </row>
        <row r="145">
          <cell r="A145">
            <v>45470.749848576394</v>
          </cell>
        </row>
        <row r="146">
          <cell r="A146">
            <v>45470.762340185189</v>
          </cell>
        </row>
        <row r="147">
          <cell r="A147">
            <v>45470.790832604165</v>
          </cell>
        </row>
        <row r="148">
          <cell r="A148">
            <v>45471.64286983796</v>
          </cell>
        </row>
        <row r="149">
          <cell r="A149">
            <v>45471.664004444443</v>
          </cell>
        </row>
        <row r="150">
          <cell r="A150">
            <v>45471.718366365742</v>
          </cell>
        </row>
        <row r="151">
          <cell r="A151">
            <v>45471.721458553242</v>
          </cell>
        </row>
        <row r="152">
          <cell r="A152">
            <v>45471.731235393519</v>
          </cell>
        </row>
        <row r="153">
          <cell r="A153">
            <v>45471.746095694441</v>
          </cell>
        </row>
        <row r="154">
          <cell r="A154">
            <v>45471.747513194445</v>
          </cell>
        </row>
        <row r="155">
          <cell r="A155">
            <v>45471.76744019676</v>
          </cell>
        </row>
        <row r="156">
          <cell r="A156">
            <v>45471.767770624996</v>
          </cell>
        </row>
        <row r="157">
          <cell r="A157">
            <v>45471.8168453588</v>
          </cell>
        </row>
        <row r="158">
          <cell r="A158">
            <v>45471.825691585647</v>
          </cell>
        </row>
        <row r="159">
          <cell r="A159">
            <v>45471.829942303244</v>
          </cell>
        </row>
        <row r="160">
          <cell r="A160">
            <v>45472.436444016203</v>
          </cell>
        </row>
        <row r="161">
          <cell r="A161">
            <v>45472.437049189815</v>
          </cell>
        </row>
        <row r="162">
          <cell r="A162">
            <v>45472.445109525463</v>
          </cell>
        </row>
        <row r="163">
          <cell r="A163">
            <v>45472.470154988427</v>
          </cell>
        </row>
        <row r="164">
          <cell r="A164">
            <v>45472.470829733793</v>
          </cell>
        </row>
        <row r="165">
          <cell r="A165">
            <v>45472.480842847217</v>
          </cell>
        </row>
        <row r="166">
          <cell r="A166">
            <v>45472.499094050931</v>
          </cell>
        </row>
        <row r="167">
          <cell r="A167">
            <v>45472.560426111115</v>
          </cell>
        </row>
        <row r="168">
          <cell r="A168">
            <v>45472.591335949073</v>
          </cell>
        </row>
        <row r="169">
          <cell r="A169">
            <v>45472.59682446759</v>
          </cell>
        </row>
        <row r="170">
          <cell r="A170">
            <v>45472.598197881947</v>
          </cell>
        </row>
        <row r="171">
          <cell r="A171">
            <v>45472.598438425921</v>
          </cell>
        </row>
        <row r="172">
          <cell r="A172">
            <v>45472.605698194442</v>
          </cell>
        </row>
        <row r="173">
          <cell r="A173">
            <v>45472.67040664352</v>
          </cell>
        </row>
        <row r="174">
          <cell r="A174">
            <v>45472.671174884264</v>
          </cell>
        </row>
        <row r="175">
          <cell r="A175">
            <v>45472.701061064814</v>
          </cell>
        </row>
        <row r="176">
          <cell r="A176">
            <v>45472.704192604171</v>
          </cell>
        </row>
        <row r="177">
          <cell r="A177">
            <v>45472.704594907409</v>
          </cell>
        </row>
        <row r="178">
          <cell r="A178">
            <v>45473.47075025463</v>
          </cell>
        </row>
        <row r="179">
          <cell r="A179">
            <v>45473.512460763886</v>
          </cell>
        </row>
        <row r="180">
          <cell r="A180">
            <v>45473.512546145837</v>
          </cell>
        </row>
        <row r="181">
          <cell r="A181">
            <v>45473.548513020833</v>
          </cell>
        </row>
        <row r="182">
          <cell r="A182">
            <v>45473.598450439815</v>
          </cell>
        </row>
        <row r="183">
          <cell r="A183">
            <v>45473.599272523148</v>
          </cell>
        </row>
        <row r="184">
          <cell r="A184">
            <v>45473.60537863426</v>
          </cell>
        </row>
        <row r="185">
          <cell r="A185">
            <v>45473.619240011569</v>
          </cell>
        </row>
        <row r="186">
          <cell r="A186">
            <v>45473.694436898149</v>
          </cell>
        </row>
        <row r="187">
          <cell r="A187">
            <v>45473.745594282409</v>
          </cell>
        </row>
        <row r="188">
          <cell r="A188">
            <v>45473.768069594909</v>
          </cell>
        </row>
        <row r="189">
          <cell r="A189">
            <v>45473.812169618061</v>
          </cell>
        </row>
        <row r="190">
          <cell r="A190">
            <v>45473.885519166666</v>
          </cell>
        </row>
        <row r="191">
          <cell r="A191">
            <v>45473.894866979172</v>
          </cell>
        </row>
      </sheetData>
      <sheetData sheetId="2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SecXKBwUjUmKalQ4MIXb2jt9KDG2zrhCiE6yeY9odrqlIpbhF_1GQYe2tLtWKV3b" itemId="01ODVWKBGMGQVPNCXXQNELA6G34L5RYPGI">
      <xxl21:absoluteUrl r:id="rId2"/>
    </xxl21:alternateUrls>
    <sheetNames>
      <sheetName val="PRM 피벗"/>
      <sheetName val="PRM List"/>
      <sheetName val="PRM Raw"/>
      <sheetName val="손익"/>
      <sheetName val="채널"/>
      <sheetName val="가격인상"/>
      <sheetName val="2606_Jang"/>
      <sheetName val="Pivot"/>
      <sheetName val="프로모션"/>
      <sheetName val="목표"/>
      <sheetName val="Combo"/>
      <sheetName val="TV"/>
      <sheetName val="Simulation RAW"/>
      <sheetName val="판매량 (2)"/>
      <sheetName val="K-House"/>
      <sheetName val="전용"/>
      <sheetName val="Sheet1"/>
      <sheetName val="PRM Raw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E2" t="str">
            <v>제품군</v>
          </cell>
          <cell r="F2" t="str">
            <v>모델명</v>
          </cell>
          <cell r="G2" t="str">
            <v>툴명</v>
          </cell>
          <cell r="H2" t="str">
            <v>출시일정</v>
          </cell>
          <cell r="I2" t="str">
            <v>장기재고 유예</v>
          </cell>
          <cell r="J2" t="str">
            <v>REMARK</v>
          </cell>
        </row>
        <row r="3">
          <cell r="E3" t="str">
            <v>정수기</v>
          </cell>
          <cell r="F3" t="str">
            <v>WD110MN.ABGPLMT</v>
          </cell>
          <cell r="G3"/>
          <cell r="H3"/>
          <cell r="I3" t="str">
            <v>`25년 4월~</v>
          </cell>
          <cell r="J3"/>
        </row>
        <row r="4">
          <cell r="E4" t="str">
            <v>정수기</v>
          </cell>
          <cell r="F4" t="str">
            <v>WD516AN.ACNPLMT</v>
          </cell>
          <cell r="G4"/>
          <cell r="H4"/>
          <cell r="I4" t="str">
            <v>`25년 4월~</v>
          </cell>
          <cell r="J4"/>
        </row>
        <row r="5">
          <cell r="E5" t="str">
            <v>정수기</v>
          </cell>
          <cell r="F5" t="str">
            <v>WD516AN.AEWPLMT</v>
          </cell>
          <cell r="G5"/>
          <cell r="H5"/>
          <cell r="I5" t="str">
            <v>`25년 4월~</v>
          </cell>
          <cell r="J5"/>
        </row>
        <row r="6">
          <cell r="E6" t="str">
            <v>정수기</v>
          </cell>
          <cell r="F6" t="str">
            <v>WD516AN.ASLPLMT</v>
          </cell>
          <cell r="G6"/>
          <cell r="H6"/>
          <cell r="I6" t="str">
            <v>`25년 4월~</v>
          </cell>
          <cell r="J6"/>
        </row>
        <row r="7">
          <cell r="E7" t="str">
            <v>정수기</v>
          </cell>
          <cell r="F7" t="str">
            <v>WD518AN.ABGPLMT</v>
          </cell>
          <cell r="G7"/>
          <cell r="H7"/>
          <cell r="I7" t="str">
            <v>`25년 4월~</v>
          </cell>
          <cell r="J7"/>
        </row>
        <row r="8">
          <cell r="E8" t="str">
            <v>정수기</v>
          </cell>
          <cell r="F8" t="str">
            <v>WD518AN.ACGPLMT</v>
          </cell>
          <cell r="G8"/>
          <cell r="H8"/>
          <cell r="I8" t="str">
            <v>`25년 4월~</v>
          </cell>
          <cell r="J8"/>
        </row>
        <row r="9">
          <cell r="E9" t="str">
            <v>정수기</v>
          </cell>
          <cell r="F9" t="str">
            <v>WD518AN.AWHPLMT</v>
          </cell>
          <cell r="G9"/>
          <cell r="H9"/>
          <cell r="I9" t="str">
            <v>`25년 4월~</v>
          </cell>
          <cell r="J9"/>
        </row>
        <row r="10">
          <cell r="E10" t="str">
            <v>정수기</v>
          </cell>
          <cell r="F10" t="str">
            <v>WS510SN.AWHPLMT</v>
          </cell>
          <cell r="G10"/>
          <cell r="H10"/>
          <cell r="I10" t="str">
            <v>`25년 4월~</v>
          </cell>
          <cell r="J10"/>
        </row>
        <row r="11">
          <cell r="E11" t="str">
            <v>정수기</v>
          </cell>
          <cell r="F11" t="str">
            <v>WD516ANWS.ACNPLMT</v>
          </cell>
          <cell r="G11"/>
          <cell r="H11"/>
          <cell r="I11" t="str">
            <v>`25년 4월~</v>
          </cell>
          <cell r="J11" t="str">
            <v>목업</v>
          </cell>
        </row>
        <row r="12">
          <cell r="E12" t="str">
            <v>정수기</v>
          </cell>
          <cell r="F12" t="str">
            <v>WD516ANWS.AEWPLMT</v>
          </cell>
          <cell r="G12"/>
          <cell r="H12"/>
          <cell r="I12" t="str">
            <v>`25년 4월~</v>
          </cell>
          <cell r="J12" t="str">
            <v>목업</v>
          </cell>
        </row>
        <row r="13">
          <cell r="E13" t="str">
            <v>정수기</v>
          </cell>
          <cell r="F13" t="str">
            <v>WD516ANWS.ASLPLMT</v>
          </cell>
          <cell r="G13"/>
          <cell r="H13"/>
          <cell r="I13" t="str">
            <v>`25년 4월~</v>
          </cell>
          <cell r="J13" t="str">
            <v>목업</v>
          </cell>
        </row>
        <row r="14">
          <cell r="E14" t="str">
            <v>정수기</v>
          </cell>
          <cell r="F14" t="str">
            <v>WD518ANWS.ABGPLMT</v>
          </cell>
          <cell r="G14"/>
          <cell r="H14"/>
          <cell r="I14" t="str">
            <v>`25년 4월~</v>
          </cell>
          <cell r="J14" t="str">
            <v>목업</v>
          </cell>
        </row>
        <row r="15">
          <cell r="E15" t="str">
            <v>정수기</v>
          </cell>
          <cell r="F15" t="str">
            <v>WD518ANWS.AWHPLMT</v>
          </cell>
          <cell r="G15"/>
          <cell r="H15"/>
          <cell r="I15" t="str">
            <v>`25년 4월~</v>
          </cell>
          <cell r="J15" t="str">
            <v>목업</v>
          </cell>
        </row>
        <row r="16">
          <cell r="E16" t="str">
            <v>정수기</v>
          </cell>
          <cell r="F16" t="str">
            <v>WD518ANWS.ACGPLMT</v>
          </cell>
          <cell r="G16"/>
          <cell r="H16"/>
          <cell r="I16" t="str">
            <v>`25년 4월~</v>
          </cell>
          <cell r="J16" t="str">
            <v>목업</v>
          </cell>
        </row>
        <row r="17">
          <cell r="E17" t="str">
            <v>냉장고</v>
          </cell>
          <cell r="F17" t="str">
            <v>GC-B257SQYL.AMCPLMT</v>
          </cell>
          <cell r="G17"/>
          <cell r="H17"/>
          <cell r="I17" t="str">
            <v>`25년 4월~</v>
          </cell>
          <cell r="J17"/>
        </row>
        <row r="18">
          <cell r="E18" t="str">
            <v>냉장고</v>
          </cell>
          <cell r="F18" t="str">
            <v>GC-J257SQZW.AEPPLMT</v>
          </cell>
          <cell r="G18"/>
          <cell r="H18"/>
          <cell r="I18" t="str">
            <v>`25년 4월~</v>
          </cell>
          <cell r="J18"/>
        </row>
        <row r="19">
          <cell r="E19" t="str">
            <v>냉장고</v>
          </cell>
          <cell r="F19" t="str">
            <v>GC-L257KQKW.AEPPLMT</v>
          </cell>
          <cell r="G19"/>
          <cell r="H19"/>
          <cell r="I19" t="str">
            <v>`25년 4월~</v>
          </cell>
          <cell r="J19"/>
        </row>
        <row r="20">
          <cell r="E20" t="str">
            <v>냉장고</v>
          </cell>
          <cell r="F20" t="str">
            <v>GC-V22FFQMB.AEPPLMT</v>
          </cell>
          <cell r="G20"/>
          <cell r="H20"/>
          <cell r="I20" t="str">
            <v>`25년 4월~</v>
          </cell>
          <cell r="J20"/>
        </row>
        <row r="21">
          <cell r="E21" t="str">
            <v>냉장고</v>
          </cell>
          <cell r="F21" t="str">
            <v>GN-F392PQAK.AEPPLM1</v>
          </cell>
          <cell r="G21"/>
          <cell r="H21"/>
          <cell r="I21" t="str">
            <v>`25년 4월~</v>
          </cell>
          <cell r="J21"/>
        </row>
        <row r="22">
          <cell r="E22" t="str">
            <v>전자레인지</v>
          </cell>
          <cell r="F22" t="str">
            <v>MS4295DIS.BBKPETH</v>
          </cell>
          <cell r="G22"/>
          <cell r="H22"/>
          <cell r="I22" t="str">
            <v>`25년 4월~</v>
          </cell>
          <cell r="J22"/>
        </row>
        <row r="23">
          <cell r="E23" t="str">
            <v>식세기</v>
          </cell>
          <cell r="F23" t="str">
            <v>DFC335HM.ABMPETH</v>
          </cell>
          <cell r="G23"/>
          <cell r="H23"/>
          <cell r="I23" t="str">
            <v>`25년 4월~</v>
          </cell>
          <cell r="J23"/>
        </row>
        <row r="24">
          <cell r="E24" t="str">
            <v>냉장고</v>
          </cell>
          <cell r="F24" t="str">
            <v>GV-V25FFGRB.ABMPLMT</v>
          </cell>
          <cell r="G24" t="str">
            <v>T-VN6</v>
          </cell>
          <cell r="H24" t="str">
            <v>`25년 6월</v>
          </cell>
          <cell r="I24" t="str">
            <v>`25년 6월~</v>
          </cell>
          <cell r="J24"/>
        </row>
        <row r="25">
          <cell r="E25" t="str">
            <v>냉장고</v>
          </cell>
          <cell r="F25" t="str">
            <v>GC-X24FFCRB.AEVPLM1</v>
          </cell>
          <cell r="G25" t="str">
            <v>F-Next 6 X</v>
          </cell>
          <cell r="H25" t="str">
            <v>`25년 8월</v>
          </cell>
          <cell r="I25" t="str">
            <v>`25년 7월~</v>
          </cell>
          <cell r="J25"/>
        </row>
        <row r="26">
          <cell r="E26" t="str">
            <v>냉장고</v>
          </cell>
          <cell r="F26" t="str">
            <v>GC-L24FFCBB.AEVPLM1</v>
          </cell>
          <cell r="G26" t="str">
            <v>F-Next 6 L</v>
          </cell>
          <cell r="H26" t="str">
            <v>`25년 8월</v>
          </cell>
          <cell r="I26" t="str">
            <v>`25년 7월~</v>
          </cell>
          <cell r="J26"/>
        </row>
        <row r="27">
          <cell r="E27" t="str">
            <v>세탁기</v>
          </cell>
          <cell r="F27" t="str">
            <v>TX2725AT9G.AEGPETH</v>
          </cell>
          <cell r="G27"/>
          <cell r="H27"/>
          <cell r="I27" t="str">
            <v>`25년 4월~</v>
          </cell>
          <cell r="J27"/>
        </row>
        <row r="28">
          <cell r="E28" t="str">
            <v>세탁기</v>
          </cell>
          <cell r="F28" t="str">
            <v>S5GOC.ALGPETH</v>
          </cell>
          <cell r="G28"/>
          <cell r="H28"/>
          <cell r="I28" t="str">
            <v>`25년 4월~</v>
          </cell>
          <cell r="J28"/>
        </row>
        <row r="29">
          <cell r="E29" t="str">
            <v>세탁기</v>
          </cell>
          <cell r="F29" t="str">
            <v>TV2723SV9J.APBPETH</v>
          </cell>
          <cell r="G29"/>
          <cell r="H29"/>
          <cell r="I29" t="str">
            <v>`25년 4월~</v>
          </cell>
          <cell r="J29"/>
        </row>
        <row r="30">
          <cell r="E30" t="str">
            <v>청소기</v>
          </cell>
          <cell r="F30" t="str">
            <v>A9T-CORE.DCGPETH</v>
          </cell>
          <cell r="G30"/>
          <cell r="H30"/>
          <cell r="I30" t="str">
            <v>`25년 4월~</v>
          </cell>
          <cell r="J30"/>
        </row>
        <row r="31">
          <cell r="E31" t="str">
            <v>청소기</v>
          </cell>
          <cell r="F31" t="str">
            <v>A9T-ULTRA.DCBPETH</v>
          </cell>
          <cell r="G31"/>
          <cell r="H31"/>
          <cell r="I31" t="str">
            <v>`25년 4월~</v>
          </cell>
          <cell r="J31"/>
        </row>
        <row r="32">
          <cell r="E32" t="str">
            <v>세탁기</v>
          </cell>
          <cell r="F32" t="str">
            <v>FV1413S4M.AMBPETH</v>
          </cell>
          <cell r="G32"/>
          <cell r="H32"/>
          <cell r="I32" t="str">
            <v>`25년 4월~</v>
          </cell>
          <cell r="J32"/>
        </row>
        <row r="33">
          <cell r="E33" t="str">
            <v>세탁기</v>
          </cell>
          <cell r="F33" t="str">
            <v>TX2723ST5J.APBPETH</v>
          </cell>
          <cell r="G33" t="str">
            <v>TX X500</v>
          </cell>
          <cell r="H33" t="str">
            <v>`25년 7월~</v>
          </cell>
          <cell r="I33" t="str">
            <v>`25년 7월~</v>
          </cell>
          <cell r="J33"/>
        </row>
        <row r="34">
          <cell r="E34" t="str">
            <v>세탁기</v>
          </cell>
          <cell r="F34" t="str">
            <v>WT1410NHEN.ABNPPTH</v>
          </cell>
          <cell r="G34"/>
          <cell r="H34" t="str">
            <v>`25년 9월~</v>
          </cell>
          <cell r="I34" t="str">
            <v>`25년 7월~</v>
          </cell>
          <cell r="J34"/>
        </row>
        <row r="35">
          <cell r="E35" t="str">
            <v>냉장고</v>
          </cell>
          <cell r="F35" t="str">
            <v>PTOX24FFCRB.APTO</v>
          </cell>
          <cell r="G35"/>
          <cell r="H35"/>
          <cell r="I35" t="str">
            <v>`25년 9월~</v>
          </cell>
          <cell r="J35"/>
        </row>
        <row r="36">
          <cell r="E36" t="str">
            <v>냉장고</v>
          </cell>
          <cell r="F36" t="str">
            <v>PTOL24FFCBB.APTO</v>
          </cell>
          <cell r="G36"/>
          <cell r="H36"/>
          <cell r="I36" t="str">
            <v>`25년 9월~</v>
          </cell>
          <cell r="J36"/>
        </row>
        <row r="37">
          <cell r="E37" t="str">
            <v>냉장고</v>
          </cell>
          <cell r="F37" t="str">
            <v>PTOK25FFGEB.APTO</v>
          </cell>
          <cell r="G37"/>
          <cell r="H37"/>
          <cell r="I37" t="str">
            <v>`25년 9월~</v>
          </cell>
          <cell r="J37"/>
        </row>
        <row r="38">
          <cell r="E38" t="str">
            <v>냉장고</v>
          </cell>
          <cell r="F38" t="str">
            <v>PTOV25FFGRB.APTO</v>
          </cell>
          <cell r="G38"/>
          <cell r="H38"/>
          <cell r="I38" t="str">
            <v>`25년 9월~</v>
          </cell>
          <cell r="J38"/>
        </row>
        <row r="39">
          <cell r="E39" t="str">
            <v>전자레인지</v>
          </cell>
          <cell r="F39" t="str">
            <v>MS2535GIK.BSEPETH</v>
          </cell>
          <cell r="G39"/>
          <cell r="H39"/>
          <cell r="I39" t="str">
            <v>`25년 9월~</v>
          </cell>
          <cell r="J39"/>
        </row>
        <row r="40">
          <cell r="E40" t="str">
            <v>세탁기</v>
          </cell>
          <cell r="F40" t="str">
            <v>F2520RNTB.AEBPETH</v>
          </cell>
          <cell r="H40"/>
          <cell r="I40" t="str">
            <v>`25년 9월~</v>
          </cell>
          <cell r="J40"/>
        </row>
        <row r="41">
          <cell r="E41" t="str">
            <v>냉장고</v>
          </cell>
          <cell r="F41" t="str">
            <v>GN-304SLBR.APYPLMT</v>
          </cell>
          <cell r="H41"/>
          <cell r="I41" t="str">
            <v>`25년 10월~</v>
          </cell>
          <cell r="J41"/>
        </row>
        <row r="42">
          <cell r="E42" t="str">
            <v>냉장고</v>
          </cell>
          <cell r="F42" t="str">
            <v>REF3FILTER2.AETC</v>
          </cell>
          <cell r="H42"/>
          <cell r="I42" t="str">
            <v>`25년 10월~</v>
          </cell>
          <cell r="J42"/>
        </row>
        <row r="43">
          <cell r="E43" t="str">
            <v>냉장고</v>
          </cell>
          <cell r="F43" t="str">
            <v>GC-L257SFZW.APYPLMT</v>
          </cell>
          <cell r="H43"/>
          <cell r="I43" t="str">
            <v>`25년 10월~</v>
          </cell>
          <cell r="J43"/>
        </row>
        <row r="44">
          <cell r="E44" t="str">
            <v>냉장고</v>
          </cell>
          <cell r="F44" t="str">
            <v>GC-X257CMHW.AEEPLMT</v>
          </cell>
          <cell r="H44"/>
          <cell r="I44" t="str">
            <v>`25년 10월~</v>
          </cell>
          <cell r="J44"/>
        </row>
        <row r="45">
          <cell r="E45" t="str">
            <v>청소기</v>
          </cell>
          <cell r="F45" t="str">
            <v>A9T-LITE.DCGPETH</v>
          </cell>
          <cell r="H45"/>
          <cell r="I45" t="str">
            <v>`25년 10월~</v>
          </cell>
          <cell r="J45"/>
        </row>
        <row r="46">
          <cell r="E46" t="str">
            <v>식세기</v>
          </cell>
          <cell r="F46" t="str">
            <v>DFC533FV.APYPETH</v>
          </cell>
          <cell r="H46"/>
          <cell r="I46" t="str">
            <v>`25년 11월~</v>
          </cell>
          <cell r="J46"/>
        </row>
        <row r="47">
          <cell r="E47" t="str">
            <v>냉장고</v>
          </cell>
          <cell r="F47" t="str">
            <v>GV-K25FFGEB.ABMPLMT</v>
          </cell>
          <cell r="H47"/>
          <cell r="I47" t="str">
            <v>`25년 11월~</v>
          </cell>
          <cell r="J47"/>
        </row>
        <row r="48">
          <cell r="E48" t="str">
            <v>제습기</v>
          </cell>
          <cell r="F48" t="str">
            <v>DD23GMWE1.ATH</v>
          </cell>
          <cell r="H48"/>
          <cell r="I48" t="str">
            <v>`26년 1월~</v>
          </cell>
          <cell r="J48"/>
        </row>
        <row r="49">
          <cell r="E49" t="str">
            <v>공청기</v>
          </cell>
          <cell r="F49" t="str">
            <v>AS25GCBY0.ABAE</v>
          </cell>
          <cell r="H49"/>
          <cell r="I49" t="str">
            <v>`26년 1월~</v>
          </cell>
          <cell r="J49"/>
        </row>
        <row r="50">
          <cell r="E50" t="str">
            <v>RAC</v>
          </cell>
          <cell r="F50" t="str">
            <v>SAQ18BN.S21</v>
          </cell>
          <cell r="H50"/>
          <cell r="I50" t="str">
            <v>`26년 4월~</v>
          </cell>
          <cell r="J50"/>
        </row>
        <row r="51">
          <cell r="E51" t="str">
            <v>RAC</v>
          </cell>
          <cell r="F51" t="str">
            <v>SAQ18BU.S21</v>
          </cell>
          <cell r="H51"/>
          <cell r="I51" t="str">
            <v>`26년 4월~</v>
          </cell>
          <cell r="J51"/>
        </row>
        <row r="52">
          <cell r="E52" t="str">
            <v>RAC</v>
          </cell>
          <cell r="F52" t="str">
            <v>SAQ24BN.S21</v>
          </cell>
          <cell r="H52"/>
          <cell r="I52" t="str">
            <v>`26년 4월~</v>
          </cell>
          <cell r="J52"/>
        </row>
        <row r="53">
          <cell r="E53" t="str">
            <v>RAC</v>
          </cell>
          <cell r="F53" t="str">
            <v>SAQ24BU.S21</v>
          </cell>
          <cell r="H53"/>
          <cell r="I53" t="str">
            <v>`26년 4월~</v>
          </cell>
          <cell r="J53"/>
        </row>
        <row r="54">
          <cell r="E54" t="str">
            <v>RAC</v>
          </cell>
          <cell r="F54" t="str">
            <v>SIQ11BN.S01</v>
          </cell>
          <cell r="H54"/>
          <cell r="I54" t="str">
            <v>`26년 4월~</v>
          </cell>
          <cell r="J54"/>
        </row>
        <row r="55">
          <cell r="E55" t="str">
            <v>RAC</v>
          </cell>
          <cell r="F55" t="str">
            <v>SIQ11BU.S01</v>
          </cell>
          <cell r="H55"/>
          <cell r="I55" t="str">
            <v>`26년 4월~</v>
          </cell>
          <cell r="J55"/>
        </row>
        <row r="56">
          <cell r="E56" t="str">
            <v>RAC</v>
          </cell>
          <cell r="F56" t="str">
            <v>SIQ13BN.S01</v>
          </cell>
          <cell r="H56"/>
          <cell r="I56" t="str">
            <v>`26년 4월~</v>
          </cell>
          <cell r="J56"/>
        </row>
        <row r="57">
          <cell r="E57" t="str">
            <v>RAC</v>
          </cell>
          <cell r="F57" t="str">
            <v>SIQ13BU.S01</v>
          </cell>
          <cell r="H57"/>
          <cell r="I57" t="str">
            <v>`26년 4월~</v>
          </cell>
          <cell r="J57"/>
        </row>
        <row r="58">
          <cell r="E58" t="str">
            <v>RAC</v>
          </cell>
          <cell r="F58" t="str">
            <v>SIQ18BN.S11</v>
          </cell>
          <cell r="H58"/>
          <cell r="I58" t="str">
            <v>`26년 4월~</v>
          </cell>
          <cell r="J58"/>
        </row>
        <row r="59">
          <cell r="E59" t="str">
            <v>RAC</v>
          </cell>
          <cell r="F59" t="str">
            <v>SIQ18BU.S11</v>
          </cell>
          <cell r="H59"/>
          <cell r="I59" t="str">
            <v>`26년 4월~</v>
          </cell>
          <cell r="J59"/>
        </row>
        <row r="60">
          <cell r="E60" t="str">
            <v>RAC</v>
          </cell>
          <cell r="F60" t="str">
            <v>SIQ24BN.S11</v>
          </cell>
          <cell r="H60"/>
          <cell r="I60" t="str">
            <v>`26년 4월~</v>
          </cell>
          <cell r="J60"/>
        </row>
        <row r="61">
          <cell r="E61" t="str">
            <v>RAC</v>
          </cell>
          <cell r="F61" t="str">
            <v>SIQ24BU.S11</v>
          </cell>
          <cell r="H61"/>
          <cell r="I61" t="str">
            <v>`26년 4월~</v>
          </cell>
          <cell r="J61"/>
        </row>
        <row r="62">
          <cell r="E62" t="str">
            <v>공청기</v>
          </cell>
          <cell r="F62" t="str">
            <v>AS30GGW10.ABAE</v>
          </cell>
          <cell r="H62"/>
          <cell r="I62" t="str">
            <v>`26년 4월~</v>
          </cell>
          <cell r="J62"/>
        </row>
        <row r="63">
          <cell r="E63"/>
          <cell r="F63" t="str">
            <v>SIQ13B.S01</v>
          </cell>
          <cell r="H63"/>
          <cell r="I63"/>
          <cell r="J63"/>
        </row>
        <row r="64">
          <cell r="E64"/>
          <cell r="F64" t="str">
            <v>SIQ11B.S01</v>
          </cell>
          <cell r="H64"/>
          <cell r="I64"/>
          <cell r="J64"/>
        </row>
        <row r="65">
          <cell r="E65"/>
          <cell r="F65" t="str">
            <v>SIQ18B.S11</v>
          </cell>
          <cell r="H65"/>
          <cell r="I65"/>
          <cell r="J65"/>
        </row>
        <row r="66">
          <cell r="E66"/>
          <cell r="F66" t="str">
            <v>SIQ24B.S11</v>
          </cell>
          <cell r="H66"/>
          <cell r="I66"/>
          <cell r="J66"/>
        </row>
        <row r="67">
          <cell r="E67"/>
          <cell r="F67" t="str">
            <v>SAQ11A.S11</v>
          </cell>
          <cell r="H67"/>
          <cell r="I67"/>
          <cell r="J67"/>
        </row>
        <row r="68">
          <cell r="E68"/>
          <cell r="F68" t="str">
            <v>SAQ18B.S21</v>
          </cell>
          <cell r="H68"/>
          <cell r="I68"/>
          <cell r="J68"/>
        </row>
      </sheetData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GETH"/>
      <sheetName val="Subscription"/>
      <sheetName val="REF"/>
      <sheetName val="DW"/>
      <sheetName val="Cooking"/>
      <sheetName val="WP"/>
      <sheetName val="WM"/>
      <sheetName val="VCC"/>
      <sheetName val="RAC"/>
      <sheetName val="AP"/>
      <sheetName val="SAC"/>
      <sheetName val="TV"/>
      <sheetName val="AV"/>
      <sheetName val="MNT"/>
      <sheetName val="견적손익 By Model"/>
      <sheetName val="By Model"/>
      <sheetName val="RAW"/>
      <sheetName val="Ind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A1" t="str">
            <v>Subscription Channel</v>
          </cell>
        </row>
        <row r="2">
          <cell r="A2" t="str">
            <v>YYYYMM</v>
          </cell>
        </row>
        <row r="3">
          <cell r="A3" t="str">
            <v>Sales Qty</v>
          </cell>
        </row>
        <row r="5">
          <cell r="A5" t="str">
            <v>행 레이블</v>
          </cell>
          <cell r="I5" t="str">
            <v>합계 : ASP</v>
          </cell>
          <cell r="K5" t="str">
            <v>합계 : COI</v>
          </cell>
        </row>
        <row r="6">
          <cell r="A6" t="str">
            <v>Air Care</v>
          </cell>
          <cell r="I6">
            <v>508.4308864639176</v>
          </cell>
          <cell r="K6">
            <v>0.32159217723670569</v>
          </cell>
        </row>
        <row r="7">
          <cell r="A7" t="str">
            <v>AS10GDBY0.ABAE</v>
          </cell>
          <cell r="I7">
            <v>1127.2107555714285</v>
          </cell>
          <cell r="K7">
            <v>0.45415639650322714</v>
          </cell>
        </row>
        <row r="8">
          <cell r="A8" t="str">
            <v>AS35GGW10.ATH</v>
          </cell>
          <cell r="I8">
            <v>179.29990829777779</v>
          </cell>
          <cell r="K8">
            <v>0.18784839389913643</v>
          </cell>
        </row>
        <row r="9">
          <cell r="A9" t="str">
            <v>AS55GGWX0.ABAE</v>
          </cell>
          <cell r="I9">
            <v>539.09012331904762</v>
          </cell>
          <cell r="K9">
            <v>0.22515963590354562</v>
          </cell>
        </row>
        <row r="10">
          <cell r="A10" t="str">
            <v>AS60GHWG0.ABAE</v>
          </cell>
          <cell r="I10">
            <v>473.41684093428569</v>
          </cell>
          <cell r="K10">
            <v>0.36121334945622274</v>
          </cell>
        </row>
        <row r="11">
          <cell r="A11" t="str">
            <v>AS65GDBY0.ABAE</v>
          </cell>
          <cell r="I11">
            <v>769.4241485941177</v>
          </cell>
          <cell r="K11">
            <v>0.36139658208234104</v>
          </cell>
        </row>
        <row r="12">
          <cell r="A12" t="str">
            <v>DD23GMWE1.ATH</v>
          </cell>
          <cell r="I12">
            <v>490.42537294615391</v>
          </cell>
          <cell r="K12">
            <v>0.2571423087191948</v>
          </cell>
        </row>
        <row r="13">
          <cell r="A13" t="str">
            <v>MD19GQGA1.ATH</v>
          </cell>
          <cell r="I13">
            <v>1025.8154344500001</v>
          </cell>
          <cell r="K13">
            <v>0.54930852992782242</v>
          </cell>
        </row>
        <row r="14">
          <cell r="A14" t="str">
            <v>AS25GCBY0.ABAE</v>
          </cell>
          <cell r="I14">
            <v>493.06516813400003</v>
          </cell>
          <cell r="K14">
            <v>0.15289938024888322</v>
          </cell>
        </row>
        <row r="15">
          <cell r="A15" t="str">
            <v>Audio</v>
          </cell>
          <cell r="I15">
            <v>239.41573824675325</v>
          </cell>
          <cell r="K15">
            <v>4.3794579183792218E-2</v>
          </cell>
        </row>
        <row r="16">
          <cell r="A16" t="str">
            <v>BOUNCE.ATHALBK</v>
          </cell>
          <cell r="I16">
            <v>189.80189066481483</v>
          </cell>
          <cell r="K16">
            <v>7.9914142527582235E-2</v>
          </cell>
        </row>
        <row r="17">
          <cell r="A17" t="str">
            <v>GRAB.ATHALBK</v>
          </cell>
          <cell r="I17">
            <v>142.28578915576924</v>
          </cell>
          <cell r="K17">
            <v>0.11654515202984891</v>
          </cell>
        </row>
        <row r="18">
          <cell r="A18" t="str">
            <v>S70TY.ATHALLD</v>
          </cell>
          <cell r="I18">
            <v>234.94548731111112</v>
          </cell>
          <cell r="K18">
            <v>-6.5925813281391202E-2</v>
          </cell>
        </row>
        <row r="19">
          <cell r="A19" t="str">
            <v>S95TR.DTHALLK</v>
          </cell>
          <cell r="I19">
            <v>538.51397643999996</v>
          </cell>
          <cell r="K19">
            <v>-5.126087899795792E-2</v>
          </cell>
        </row>
        <row r="20">
          <cell r="A20" t="str">
            <v>STAGE301.ATHALBK</v>
          </cell>
          <cell r="I20">
            <v>422.25622575999995</v>
          </cell>
          <cell r="K20">
            <v>0.18098894703671548</v>
          </cell>
        </row>
        <row r="21">
          <cell r="A21" t="str">
            <v>Cooking</v>
          </cell>
          <cell r="I21">
            <v>130.99122536410255</v>
          </cell>
          <cell r="K21">
            <v>0.23596379975742535</v>
          </cell>
        </row>
        <row r="22">
          <cell r="A22" t="str">
            <v>MS2535GIK.BSEPETH</v>
          </cell>
          <cell r="I22">
            <v>113.40789946666666</v>
          </cell>
          <cell r="K22">
            <v>0.48009756571384093</v>
          </cell>
        </row>
        <row r="23">
          <cell r="A23" t="str">
            <v>MS4295DIS.BBKPETH</v>
          </cell>
          <cell r="I23">
            <v>134.18819370909091</v>
          </cell>
          <cell r="K23">
            <v>0.19844973181676684</v>
          </cell>
        </row>
        <row r="24">
          <cell r="A24" t="str">
            <v>Dishwasher</v>
          </cell>
          <cell r="I24">
            <v>780.84870582142867</v>
          </cell>
          <cell r="K24">
            <v>-5.3779300240603303E-2</v>
          </cell>
        </row>
        <row r="25">
          <cell r="A25" t="str">
            <v>DFC335HM.ABMPETH</v>
          </cell>
          <cell r="I25">
            <v>793.71839713333338</v>
          </cell>
          <cell r="K25">
            <v>-6.0183988959468951E-3</v>
          </cell>
        </row>
        <row r="26">
          <cell r="A26" t="str">
            <v>DFC533FV.APYPETH</v>
          </cell>
          <cell r="I26">
            <v>703.63055795000002</v>
          </cell>
          <cell r="K26">
            <v>-0.37703449971377123</v>
          </cell>
        </row>
        <row r="27">
          <cell r="A27" t="str">
            <v>LTV</v>
          </cell>
          <cell r="I27">
            <v>949.68293039152525</v>
          </cell>
          <cell r="K27">
            <v>3.6240338563561125E-2</v>
          </cell>
        </row>
        <row r="28">
          <cell r="A28" t="str">
            <v>27LX6TDGA.ATM</v>
          </cell>
          <cell r="I28">
            <v>908.34641473591546</v>
          </cell>
          <cell r="K28">
            <v>2.3151953745518233E-2</v>
          </cell>
        </row>
        <row r="29">
          <cell r="A29" t="str">
            <v>32LQ630BPSA.ATM</v>
          </cell>
          <cell r="I29">
            <v>297.89360780999999</v>
          </cell>
          <cell r="K29">
            <v>0.20407529888581666</v>
          </cell>
        </row>
        <row r="30">
          <cell r="A30" t="str">
            <v>65UA8450PSA.ATM</v>
          </cell>
          <cell r="I30">
            <v>660.88206851799998</v>
          </cell>
          <cell r="K30">
            <v>7.3628375853981409E-2</v>
          </cell>
        </row>
        <row r="31">
          <cell r="A31" t="str">
            <v>75UA8450PSA.ATMQ</v>
          </cell>
          <cell r="I31">
            <v>934.94535479285707</v>
          </cell>
          <cell r="K31">
            <v>-0.13559220393407129</v>
          </cell>
        </row>
        <row r="32">
          <cell r="A32" t="str">
            <v>55QNED80ASA.ATM</v>
          </cell>
          <cell r="I32">
            <v>728.14118829714289</v>
          </cell>
          <cell r="K32">
            <v>0.11301795860834823</v>
          </cell>
        </row>
        <row r="33">
          <cell r="A33" t="str">
            <v>65QNED82ASA.ATM</v>
          </cell>
          <cell r="I33">
            <v>876.40032358095243</v>
          </cell>
          <cell r="K33">
            <v>0.14528793610981161</v>
          </cell>
        </row>
        <row r="34">
          <cell r="A34" t="str">
            <v>75QNED86ASA.ATM</v>
          </cell>
          <cell r="I34">
            <v>1385.3537856857142</v>
          </cell>
          <cell r="K34">
            <v>4.8982046918061253E-2</v>
          </cell>
        </row>
        <row r="35">
          <cell r="A35" t="str">
            <v>86QNED80ASA.ATM</v>
          </cell>
          <cell r="I35">
            <v>1838.2401777625</v>
          </cell>
          <cell r="K35">
            <v>3.4957567883331521E-2</v>
          </cell>
        </row>
        <row r="36">
          <cell r="A36" t="str">
            <v>OLED48C5PSA.ATM</v>
          </cell>
          <cell r="I36">
            <v>1207.8597637</v>
          </cell>
          <cell r="K36">
            <v>-0.28357677231565853</v>
          </cell>
        </row>
        <row r="37">
          <cell r="A37" t="str">
            <v>OLED55C5PSA.ATM</v>
          </cell>
          <cell r="I37">
            <v>1163.8346092689656</v>
          </cell>
          <cell r="K37">
            <v>9.4126603379089263E-2</v>
          </cell>
        </row>
        <row r="38">
          <cell r="A38" t="str">
            <v>OLED65C5PSA.ATM</v>
          </cell>
          <cell r="I38">
            <v>1421.5071817914286</v>
          </cell>
          <cell r="K38">
            <v>-3.1082549516233973E-2</v>
          </cell>
        </row>
        <row r="39">
          <cell r="A39" t="str">
            <v>OLED77C5PSA.ATM</v>
          </cell>
          <cell r="I39">
            <v>2542.86544615</v>
          </cell>
          <cell r="K39">
            <v>1.9659627695082948E-2</v>
          </cell>
        </row>
        <row r="40">
          <cell r="A40" t="str">
            <v>MNT</v>
          </cell>
          <cell r="I40">
            <v>926.39377081696443</v>
          </cell>
          <cell r="K40">
            <v>1.8374913263498622E-2</v>
          </cell>
        </row>
        <row r="41">
          <cell r="A41" t="str">
            <v>27GX704A-B.ATM</v>
          </cell>
          <cell r="I41">
            <v>599.4296597</v>
          </cell>
          <cell r="K41">
            <v>0.13490350144330704</v>
          </cell>
        </row>
        <row r="42">
          <cell r="A42" t="str">
            <v>32U731SA-W.ATM</v>
          </cell>
          <cell r="I42">
            <v>555.11690854999995</v>
          </cell>
          <cell r="K42">
            <v>0.19943473671011097</v>
          </cell>
        </row>
        <row r="43">
          <cell r="A43" t="str">
            <v>32U889SA-W.ATM</v>
          </cell>
          <cell r="I43">
            <v>849.94495977303382</v>
          </cell>
          <cell r="K43">
            <v>1.4838149925544346E-2</v>
          </cell>
        </row>
        <row r="44">
          <cell r="A44" t="str">
            <v>34GX90SA-W.ATM</v>
          </cell>
          <cell r="I44">
            <v>1176.9144884499999</v>
          </cell>
          <cell r="K44">
            <v>2.8169032946193059E-3</v>
          </cell>
        </row>
        <row r="45">
          <cell r="A45" t="str">
            <v>45GX950A-B.ATM</v>
          </cell>
          <cell r="I45">
            <v>1804.6818945545456</v>
          </cell>
          <cell r="K45">
            <v>-4.5787446063721435E-3</v>
          </cell>
        </row>
        <row r="46">
          <cell r="A46" t="str">
            <v>RAC BD</v>
          </cell>
          <cell r="I46">
            <v>451.16599327634731</v>
          </cell>
          <cell r="K46">
            <v>0.31607388828603328</v>
          </cell>
        </row>
        <row r="47">
          <cell r="A47" t="str">
            <v>SAQ11A.S11</v>
          </cell>
          <cell r="I47">
            <v>430.82676381333329</v>
          </cell>
          <cell r="K47">
            <v>-0.71213766828469138</v>
          </cell>
        </row>
        <row r="48">
          <cell r="A48" t="str">
            <v>SAQ13A.S11</v>
          </cell>
          <cell r="I48">
            <v>515.60573249843753</v>
          </cell>
          <cell r="K48">
            <v>0.39274142194368183</v>
          </cell>
        </row>
        <row r="49">
          <cell r="A49" t="str">
            <v>IXY11A.JU1</v>
          </cell>
          <cell r="I49">
            <v>299.78073132727275</v>
          </cell>
          <cell r="K49">
            <v>0.17701557926736303</v>
          </cell>
        </row>
        <row r="50">
          <cell r="A50" t="str">
            <v>IXY13A.JU1</v>
          </cell>
          <cell r="I50">
            <v>337.49180680161288</v>
          </cell>
          <cell r="K50">
            <v>0.22480633325395438</v>
          </cell>
        </row>
        <row r="51">
          <cell r="A51" t="str">
            <v>IXY18A.KU1</v>
          </cell>
          <cell r="I51">
            <v>423.1786108763888</v>
          </cell>
          <cell r="K51">
            <v>0.22771712236849104</v>
          </cell>
        </row>
        <row r="52">
          <cell r="A52" t="str">
            <v>IXY24A.KU1</v>
          </cell>
          <cell r="I52">
            <v>557.37200462272733</v>
          </cell>
          <cell r="K52">
            <v>0.28138756945605153</v>
          </cell>
        </row>
        <row r="53">
          <cell r="A53" t="str">
            <v>SIQ11B.S01</v>
          </cell>
          <cell r="I53">
            <v>311.07703373461538</v>
          </cell>
          <cell r="K53">
            <v>0.16221207562433695</v>
          </cell>
        </row>
        <row r="54">
          <cell r="A54" t="str">
            <v>SIQ13B.S01</v>
          </cell>
          <cell r="I54">
            <v>371.66408850616432</v>
          </cell>
          <cell r="K54">
            <v>0.23306876222765877</v>
          </cell>
        </row>
        <row r="55">
          <cell r="A55" t="str">
            <v>SIQ18B.S11</v>
          </cell>
          <cell r="I55">
            <v>494.74528488018865</v>
          </cell>
          <cell r="K55">
            <v>0.2915992598262393</v>
          </cell>
        </row>
        <row r="56">
          <cell r="A56" t="str">
            <v>SIQ24B.S11</v>
          </cell>
          <cell r="I56">
            <v>607.34898832678573</v>
          </cell>
          <cell r="K56">
            <v>0.30469350436070008</v>
          </cell>
        </row>
        <row r="57">
          <cell r="A57" t="str">
            <v>ICE13M.JU1</v>
          </cell>
          <cell r="I57">
            <v>440.60806968124996</v>
          </cell>
          <cell r="K57">
            <v>1.028983000945122</v>
          </cell>
        </row>
        <row r="58">
          <cell r="A58" t="str">
            <v>ICE24M.KU1</v>
          </cell>
          <cell r="I58">
            <v>608.48183428333334</v>
          </cell>
          <cell r="K58">
            <v>0.4517623809708245</v>
          </cell>
        </row>
        <row r="59">
          <cell r="A59" t="str">
            <v>SCQ18A.S11</v>
          </cell>
          <cell r="I59">
            <v>657.76655874666665</v>
          </cell>
          <cell r="K59">
            <v>0.54546093648124105</v>
          </cell>
        </row>
        <row r="60">
          <cell r="A60" t="str">
            <v>SCQ24A.S11</v>
          </cell>
          <cell r="I60">
            <v>740.60738139473676</v>
          </cell>
          <cell r="K60">
            <v>0.58983493270855136</v>
          </cell>
        </row>
        <row r="61">
          <cell r="A61" t="str">
            <v>SEQ11A.S01</v>
          </cell>
          <cell r="I61">
            <v>343.24050246379312</v>
          </cell>
          <cell r="K61">
            <v>0.32273826633676334</v>
          </cell>
        </row>
        <row r="62">
          <cell r="A62" t="str">
            <v>SEQ13A.S01</v>
          </cell>
          <cell r="I62">
            <v>403.85476337555554</v>
          </cell>
          <cell r="K62">
            <v>0.46415176338781622</v>
          </cell>
        </row>
        <row r="63">
          <cell r="A63" t="str">
            <v>SEQ18A.S11</v>
          </cell>
          <cell r="I63">
            <v>544.96738964629628</v>
          </cell>
          <cell r="K63">
            <v>0.34676034083172635</v>
          </cell>
        </row>
        <row r="64">
          <cell r="A64" t="str">
            <v>SEQ24A.S11</v>
          </cell>
          <cell r="I64">
            <v>714.0275782846154</v>
          </cell>
          <cell r="K64">
            <v>0.51463105460115877</v>
          </cell>
        </row>
        <row r="65">
          <cell r="A65" t="str">
            <v>REF</v>
          </cell>
          <cell r="I65">
            <v>959.26038301491462</v>
          </cell>
          <cell r="K65">
            <v>5.2427690413917191E-2</v>
          </cell>
        </row>
        <row r="66">
          <cell r="A66" t="str">
            <v>GC-B257SQYL.AMCPLMT</v>
          </cell>
          <cell r="I66">
            <v>761.59928621724146</v>
          </cell>
          <cell r="K66">
            <v>-0.11187062411657661</v>
          </cell>
        </row>
        <row r="67">
          <cell r="A67" t="str">
            <v>GC-G24FFQKB.AEEPLM1</v>
          </cell>
          <cell r="I67">
            <v>1640.1628253785714</v>
          </cell>
          <cell r="K67">
            <v>4.6289109499786915E-2</v>
          </cell>
        </row>
        <row r="68">
          <cell r="A68" t="str">
            <v>GC-J257SQZW.AEPPLMT</v>
          </cell>
          <cell r="I68">
            <v>1431.6089317312501</v>
          </cell>
          <cell r="K68">
            <v>0.13617308852931667</v>
          </cell>
        </row>
        <row r="69">
          <cell r="A69" t="str">
            <v>GC-L24FFCBB.AEVPLM1</v>
          </cell>
          <cell r="I69">
            <v>957.8035558555556</v>
          </cell>
          <cell r="K69">
            <v>-0.2752256114170582</v>
          </cell>
        </row>
        <row r="70">
          <cell r="A70" t="str">
            <v>GC-L257KQKW.AEPPLMT</v>
          </cell>
          <cell r="I70">
            <v>1230.25551862</v>
          </cell>
          <cell r="K70">
            <v>0.1254645040621109</v>
          </cell>
        </row>
        <row r="71">
          <cell r="A71" t="str">
            <v>GC-L257SFZW.APYPLMT</v>
          </cell>
          <cell r="I71">
            <v>974.28319250000004</v>
          </cell>
          <cell r="K71">
            <v>0.16292756666845609</v>
          </cell>
        </row>
        <row r="72">
          <cell r="A72" t="str">
            <v>GC-V22FFQMB.AEPPLMT</v>
          </cell>
          <cell r="I72">
            <v>1245.2471658380953</v>
          </cell>
          <cell r="K72">
            <v>0.1166322563665225</v>
          </cell>
        </row>
        <row r="73">
          <cell r="A73" t="str">
            <v>GC-X24FFCRB.AEVPLM1</v>
          </cell>
          <cell r="I73">
            <v>1389.5516083857144</v>
          </cell>
          <cell r="K73">
            <v>-0.10503637345358283</v>
          </cell>
        </row>
        <row r="74">
          <cell r="A74" t="str">
            <v>GC-X257CMEW.ATEPLMT</v>
          </cell>
          <cell r="I74">
            <v>1645.0599543230771</v>
          </cell>
          <cell r="K74">
            <v>0.1126722090966407</v>
          </cell>
        </row>
        <row r="75">
          <cell r="A75" t="str">
            <v>GN-304SLBR.APYPLMT</v>
          </cell>
          <cell r="I75">
            <v>252.08355966170211</v>
          </cell>
          <cell r="K75">
            <v>7.1928243913607932E-3</v>
          </cell>
        </row>
        <row r="76">
          <cell r="A76" t="str">
            <v>GN-F392PQAK.AEPPLM1</v>
          </cell>
          <cell r="I76">
            <v>614.70941824477609</v>
          </cell>
          <cell r="K76">
            <v>5.5125290147775285E-2</v>
          </cell>
        </row>
        <row r="77">
          <cell r="A77" t="str">
            <v>GN-F452PQAK.AEPPLMT</v>
          </cell>
          <cell r="I77">
            <v>808.93137030624996</v>
          </cell>
          <cell r="K77">
            <v>8.3595878241066068E-2</v>
          </cell>
        </row>
        <row r="78">
          <cell r="A78" t="str">
            <v>GN-V389FQEF.AEPPLMT</v>
          </cell>
          <cell r="I78">
            <v>874.74808612857134</v>
          </cell>
          <cell r="K78">
            <v>0.10785427329514306</v>
          </cell>
        </row>
        <row r="79">
          <cell r="A79" t="str">
            <v>GV-B25FFGDB.ABMPLMT</v>
          </cell>
          <cell r="I79">
            <v>959.14757648000011</v>
          </cell>
          <cell r="K79">
            <v>-1.589861011374611E-2</v>
          </cell>
        </row>
        <row r="80">
          <cell r="A80" t="str">
            <v>GV-K25FFGEB.ABMPLMT</v>
          </cell>
          <cell r="I80">
            <v>1331.60343558</v>
          </cell>
          <cell r="K80">
            <v>5.7322253728455647E-2</v>
          </cell>
        </row>
        <row r="81">
          <cell r="A81" t="str">
            <v>GV-V25FFGRB.ABMPLMT</v>
          </cell>
          <cell r="I81">
            <v>1142.2047531842104</v>
          </cell>
          <cell r="K81">
            <v>-4.3082975474612401E-2</v>
          </cell>
        </row>
        <row r="82">
          <cell r="A82" t="str">
            <v>REF3FILTER2.AETC</v>
          </cell>
          <cell r="I82">
            <v>11.537208724999999</v>
          </cell>
          <cell r="K82">
            <v>-2.1379335391412018</v>
          </cell>
        </row>
        <row r="83">
          <cell r="A83" t="str">
            <v>SAC</v>
          </cell>
          <cell r="I83">
            <v>473.23912318046507</v>
          </cell>
          <cell r="K83">
            <v>0.22974641968500181</v>
          </cell>
        </row>
        <row r="84">
          <cell r="A84" t="str">
            <v>PTAHMP0.ENCXCOM</v>
          </cell>
          <cell r="I84">
            <v>170.337699055</v>
          </cell>
          <cell r="K84">
            <v>1.0950216630540124E-2</v>
          </cell>
        </row>
        <row r="85">
          <cell r="A85" t="str">
            <v>PTAHTP0.ENCXCOM</v>
          </cell>
          <cell r="I85">
            <v>172.16010982500001</v>
          </cell>
          <cell r="K85">
            <v>0.3124876475722822</v>
          </cell>
        </row>
        <row r="86">
          <cell r="A86" t="str">
            <v>PTAHYP0.ENCXGLO</v>
          </cell>
          <cell r="I86">
            <v>444.35819843333337</v>
          </cell>
          <cell r="K86">
            <v>0.25127065715675029</v>
          </cell>
        </row>
        <row r="87">
          <cell r="A87" t="str">
            <v>PT-MPGW0.ENCXCOM</v>
          </cell>
          <cell r="I87">
            <v>183.17519673999999</v>
          </cell>
          <cell r="K87">
            <v>5.7591829285565749E-2</v>
          </cell>
        </row>
        <row r="88">
          <cell r="A88" t="str">
            <v>PT-TPHG0.ENCXCOM</v>
          </cell>
          <cell r="I88">
            <v>155.99906518</v>
          </cell>
          <cell r="K88">
            <v>0.11063617990329294</v>
          </cell>
        </row>
        <row r="89">
          <cell r="A89" t="str">
            <v>PT-UPHG0.ENCXCOM</v>
          </cell>
          <cell r="I89">
            <v>128.41499000000002</v>
          </cell>
          <cell r="K89">
            <v>0.39066938914218657</v>
          </cell>
        </row>
        <row r="90">
          <cell r="A90" t="str">
            <v>PWFMDD200.ENCXLEU</v>
          </cell>
          <cell r="I90">
            <v>57.812594681818183</v>
          </cell>
          <cell r="K90">
            <v>0.35534866173332358</v>
          </cell>
        </row>
        <row r="91">
          <cell r="A91" t="str">
            <v>ZV-Q18GM</v>
          </cell>
          <cell r="I91">
            <v>864.28271025000004</v>
          </cell>
          <cell r="K91">
            <v>0.18822196009560865</v>
          </cell>
        </row>
        <row r="92">
          <cell r="A92" t="str">
            <v>ZV-Q24GM</v>
          </cell>
          <cell r="I92">
            <v>879.19864719999998</v>
          </cell>
          <cell r="K92">
            <v>0.33963699658128105</v>
          </cell>
        </row>
        <row r="93">
          <cell r="A93" t="str">
            <v>ZV-Q36GM</v>
          </cell>
          <cell r="I93">
            <v>978.26415887000007</v>
          </cell>
          <cell r="K93">
            <v>0.4537764801459836</v>
          </cell>
        </row>
        <row r="94">
          <cell r="A94" t="str">
            <v>ZT-Q18GP</v>
          </cell>
          <cell r="I94">
            <v>778.89406340000005</v>
          </cell>
          <cell r="K94">
            <v>0.17909519311403702</v>
          </cell>
        </row>
        <row r="95">
          <cell r="A95" t="str">
            <v>ZT-Q24GP</v>
          </cell>
          <cell r="I95">
            <v>840.49638369999991</v>
          </cell>
          <cell r="K95">
            <v>0.14856129912222013</v>
          </cell>
        </row>
        <row r="96">
          <cell r="A96" t="str">
            <v>ZT-Q36GN</v>
          </cell>
          <cell r="I96">
            <v>1102.8171207299999</v>
          </cell>
          <cell r="K96">
            <v>7.5020003375750446E-2</v>
          </cell>
        </row>
        <row r="97">
          <cell r="A97" t="str">
            <v>ZT-Q48GM</v>
          </cell>
          <cell r="I97">
            <v>1255.3937374666666</v>
          </cell>
          <cell r="K97">
            <v>0.17420322821692166</v>
          </cell>
        </row>
        <row r="98">
          <cell r="A98" t="str">
            <v>ZT-Q12GU</v>
          </cell>
          <cell r="I98">
            <v>455.87110144999997</v>
          </cell>
          <cell r="K98">
            <v>0.4288807541461967</v>
          </cell>
        </row>
        <row r="99">
          <cell r="A99" t="str">
            <v>ZT-Q18GT</v>
          </cell>
          <cell r="I99">
            <v>532.26857689999997</v>
          </cell>
          <cell r="K99">
            <v>0.33826278473663551</v>
          </cell>
        </row>
        <row r="100">
          <cell r="A100" t="str">
            <v>ZT-Q24GT</v>
          </cell>
          <cell r="I100">
            <v>689.94513989999996</v>
          </cell>
          <cell r="K100">
            <v>-1.8260175007285369E-3</v>
          </cell>
        </row>
        <row r="101">
          <cell r="A101" t="str">
            <v>ZT-Q36GY</v>
          </cell>
          <cell r="I101">
            <v>1228.1724261750001</v>
          </cell>
          <cell r="K101">
            <v>0.10369319894408188</v>
          </cell>
        </row>
        <row r="102">
          <cell r="A102" t="str">
            <v>ZT-Q48GY</v>
          </cell>
          <cell r="I102">
            <v>1455.60708105</v>
          </cell>
          <cell r="K102">
            <v>0.37362328737621664</v>
          </cell>
        </row>
        <row r="103">
          <cell r="A103" t="str">
            <v>VCC BD</v>
          </cell>
          <cell r="I103">
            <v>774.56853462568802</v>
          </cell>
          <cell r="K103">
            <v>8.1568976966209031E-2</v>
          </cell>
        </row>
        <row r="104">
          <cell r="A104" t="str">
            <v>A9T-CORE.DCGPETH</v>
          </cell>
          <cell r="I104">
            <v>728.42144122857155</v>
          </cell>
          <cell r="K104">
            <v>0.10945655742891164</v>
          </cell>
        </row>
        <row r="105">
          <cell r="A105" t="str">
            <v>A9T-LITE.DCGPETH</v>
          </cell>
          <cell r="I105">
            <v>357.34168826000001</v>
          </cell>
          <cell r="K105">
            <v>-3.4095904285130776E-2</v>
          </cell>
        </row>
        <row r="106">
          <cell r="A106" t="str">
            <v>A9T-ULTRA.DCBPETH</v>
          </cell>
          <cell r="I106">
            <v>799.40527571443295</v>
          </cell>
          <cell r="K106">
            <v>8.2400291346352364E-2</v>
          </cell>
        </row>
        <row r="107">
          <cell r="A107" t="str">
            <v>W/M</v>
          </cell>
          <cell r="I107">
            <v>1581.1543802299273</v>
          </cell>
          <cell r="K107">
            <v>0.23571460649353299</v>
          </cell>
        </row>
        <row r="108">
          <cell r="A108" t="str">
            <v>F2520RNTB.AEBPETH</v>
          </cell>
          <cell r="I108">
            <v>1117.017555412963</v>
          </cell>
          <cell r="K108">
            <v>0.26506692630300871</v>
          </cell>
        </row>
        <row r="109">
          <cell r="A109" t="str">
            <v>FV1409H4W.ABWPETH</v>
          </cell>
          <cell r="I109">
            <v>402.80897213333333</v>
          </cell>
          <cell r="K109">
            <v>0.21248189544216278</v>
          </cell>
        </row>
        <row r="110">
          <cell r="A110" t="str">
            <v>FV1413H4M.AMBPETH</v>
          </cell>
          <cell r="I110">
            <v>901.65253635862075</v>
          </cell>
          <cell r="K110">
            <v>0.27583953233396635</v>
          </cell>
        </row>
        <row r="111">
          <cell r="A111" t="str">
            <v>FV1413S4M.AMBPETH</v>
          </cell>
          <cell r="I111">
            <v>862.91333788695647</v>
          </cell>
          <cell r="K111">
            <v>0.27695219605209348</v>
          </cell>
        </row>
        <row r="112">
          <cell r="A112" t="str">
            <v>RV10VHP4B.BMBPETH</v>
          </cell>
          <cell r="I112">
            <v>1102.9617153055556</v>
          </cell>
          <cell r="K112">
            <v>0.26302262896079737</v>
          </cell>
        </row>
        <row r="113">
          <cell r="A113" t="str">
            <v>S3MFC.ALBPETH</v>
          </cell>
          <cell r="I113">
            <v>1093.2257286666666</v>
          </cell>
          <cell r="K113">
            <v>0.1270508936607275</v>
          </cell>
        </row>
        <row r="114">
          <cell r="A114" t="str">
            <v>TX2723ST5J.APBPETH</v>
          </cell>
          <cell r="I114">
            <v>710.08211071071423</v>
          </cell>
          <cell r="K114">
            <v>8.6855154166184209E-2</v>
          </cell>
        </row>
        <row r="115">
          <cell r="A115" t="str">
            <v>TX2725AT9G.AEGPETH</v>
          </cell>
          <cell r="I115">
            <v>938.04413369411759</v>
          </cell>
          <cell r="K115">
            <v>6.3938670503866354E-2</v>
          </cell>
        </row>
        <row r="116">
          <cell r="A116" t="str">
            <v>WT1410NHEG.ABGPPTH</v>
          </cell>
          <cell r="I116">
            <v>2146.3567151421053</v>
          </cell>
          <cell r="K116">
            <v>0.21154125799705098</v>
          </cell>
        </row>
        <row r="117">
          <cell r="A117" t="str">
            <v>WT1410NHEN.ABNPPTH</v>
          </cell>
          <cell r="I117">
            <v>1865.4468022481481</v>
          </cell>
          <cell r="K117">
            <v>0.22172904106208502</v>
          </cell>
        </row>
        <row r="118">
          <cell r="A118" t="str">
            <v>WT2116SHEG.ABGPETH</v>
          </cell>
          <cell r="I118">
            <v>2597.5818189875968</v>
          </cell>
          <cell r="K118">
            <v>0.23448303979355445</v>
          </cell>
        </row>
        <row r="119">
          <cell r="A119" t="str">
            <v>WT2520NHEN.ABNPETH</v>
          </cell>
          <cell r="I119">
            <v>2850.5532599624999</v>
          </cell>
          <cell r="K119">
            <v>0.24891242691053392</v>
          </cell>
        </row>
        <row r="120">
          <cell r="A120" t="str">
            <v>TX2315DT5G.DEGPETH</v>
          </cell>
          <cell r="I120">
            <v>428.10156211428574</v>
          </cell>
          <cell r="K120">
            <v>5.0866108538039516E-2</v>
          </cell>
        </row>
        <row r="121">
          <cell r="A121" t="str">
            <v>WT2520NHEG.ABGPETH</v>
          </cell>
          <cell r="I121">
            <v>2884.9936974653847</v>
          </cell>
          <cell r="K121">
            <v>0.26467592920089783</v>
          </cell>
        </row>
        <row r="122">
          <cell r="A122" t="str">
            <v>Water Care</v>
          </cell>
          <cell r="I122">
            <v>756.67628289570962</v>
          </cell>
          <cell r="K122">
            <v>0.87243853386733305</v>
          </cell>
        </row>
        <row r="123">
          <cell r="A123" t="str">
            <v>WD110MN.ABGPLMT</v>
          </cell>
          <cell r="I123">
            <v>567.7069762000001</v>
          </cell>
          <cell r="K123">
            <v>1.0026111031820011</v>
          </cell>
        </row>
        <row r="124">
          <cell r="A124" t="str">
            <v>WD516AN.ACNPLMT</v>
          </cell>
          <cell r="I124">
            <v>761.27394232352947</v>
          </cell>
          <cell r="K124">
            <v>0.82506482940022552</v>
          </cell>
        </row>
        <row r="125">
          <cell r="A125" t="str">
            <v>WD516AN.AEWPLMT</v>
          </cell>
          <cell r="I125">
            <v>812.43497911428574</v>
          </cell>
          <cell r="K125">
            <v>1.0758800186904902</v>
          </cell>
        </row>
        <row r="126">
          <cell r="A126" t="str">
            <v>WD516AN.ASLPLMT</v>
          </cell>
          <cell r="I126">
            <v>804.23958468529406</v>
          </cell>
          <cell r="K126">
            <v>1.086519232589779</v>
          </cell>
        </row>
        <row r="127">
          <cell r="A127" t="str">
            <v>WD518AN.ABGPLMT</v>
          </cell>
          <cell r="I127">
            <v>754.42294712295086</v>
          </cell>
          <cell r="K127">
            <v>0.76867576569512219</v>
          </cell>
        </row>
        <row r="128">
          <cell r="A128" t="str">
            <v>WD518AN.ACGPLMT</v>
          </cell>
          <cell r="I128">
            <v>768.03785949827591</v>
          </cell>
          <cell r="K128">
            <v>0.81032630445974896</v>
          </cell>
        </row>
        <row r="129">
          <cell r="A129" t="str">
            <v>WD518AN.AWHPLMT</v>
          </cell>
          <cell r="I129">
            <v>761.14660952272732</v>
          </cell>
          <cell r="K129">
            <v>0.8998291570076421</v>
          </cell>
        </row>
        <row r="130">
          <cell r="A130" t="str">
            <v>WS510SN.AWHPLMT</v>
          </cell>
          <cell r="I130">
            <v>879.72889387272733</v>
          </cell>
          <cell r="K130">
            <v>0.60137309334030953</v>
          </cell>
        </row>
        <row r="131">
          <cell r="A131" t="str">
            <v>총합계</v>
          </cell>
          <cell r="I131">
            <v>772.26523848538534</v>
          </cell>
          <cell r="K131">
            <v>0.24063930359402461</v>
          </cell>
        </row>
        <row r="132">
          <cell r="A132" t="str">
            <v>WD518AN.ACGPLMT</v>
          </cell>
          <cell r="I132">
            <v>824.50153282565782</v>
          </cell>
          <cell r="K132"/>
        </row>
        <row r="133">
          <cell r="A133" t="str">
            <v>WD518AN.AWHPLMT</v>
          </cell>
          <cell r="I133">
            <v>816.0603351772487</v>
          </cell>
          <cell r="K133"/>
        </row>
        <row r="134">
          <cell r="A134" t="str">
            <v>WS510SN.AWHPLMT</v>
          </cell>
          <cell r="I134">
            <v>837.08215649629631</v>
          </cell>
          <cell r="K134"/>
        </row>
        <row r="135">
          <cell r="A135" t="str">
            <v>Grand Total</v>
          </cell>
          <cell r="I135">
            <v>840.79517978709328</v>
          </cell>
          <cell r="K135"/>
        </row>
        <row r="136">
          <cell r="K136"/>
        </row>
        <row r="137">
          <cell r="K137"/>
        </row>
        <row r="138">
          <cell r="K138"/>
        </row>
        <row r="139">
          <cell r="K139"/>
        </row>
        <row r="140">
          <cell r="K140"/>
        </row>
        <row r="141">
          <cell r="K141"/>
        </row>
        <row r="142">
          <cell r="K142"/>
        </row>
        <row r="143">
          <cell r="K143"/>
        </row>
        <row r="144">
          <cell r="K144"/>
        </row>
        <row r="177">
          <cell r="K177"/>
        </row>
        <row r="178">
          <cell r="K178"/>
        </row>
        <row r="179">
          <cell r="K179"/>
        </row>
        <row r="180">
          <cell r="K180"/>
        </row>
        <row r="181">
          <cell r="K181"/>
        </row>
        <row r="182">
          <cell r="K182"/>
        </row>
        <row r="183">
          <cell r="K183"/>
        </row>
        <row r="184">
          <cell r="K184"/>
        </row>
        <row r="185">
          <cell r="K185"/>
        </row>
        <row r="186">
          <cell r="K186"/>
        </row>
        <row r="187">
          <cell r="K187"/>
        </row>
        <row r="188">
          <cell r="K188"/>
        </row>
        <row r="189">
          <cell r="K189"/>
        </row>
        <row r="190">
          <cell r="K190"/>
        </row>
        <row r="191">
          <cell r="K191"/>
        </row>
        <row r="192">
          <cell r="K192"/>
        </row>
        <row r="193">
          <cell r="K193"/>
        </row>
        <row r="194">
          <cell r="K194"/>
        </row>
        <row r="195">
          <cell r="K195"/>
        </row>
        <row r="196">
          <cell r="K196"/>
        </row>
        <row r="197">
          <cell r="K197"/>
        </row>
        <row r="198">
          <cell r="K198"/>
        </row>
        <row r="199">
          <cell r="K199"/>
        </row>
        <row r="200">
          <cell r="K200"/>
        </row>
        <row r="201">
          <cell r="K201"/>
        </row>
        <row r="202">
          <cell r="K202"/>
        </row>
        <row r="203">
          <cell r="K203"/>
        </row>
        <row r="204">
          <cell r="K204"/>
        </row>
        <row r="205">
          <cell r="K205"/>
        </row>
        <row r="206">
          <cell r="K206"/>
        </row>
        <row r="207">
          <cell r="K207"/>
        </row>
        <row r="208">
          <cell r="K208"/>
        </row>
        <row r="209">
          <cell r="K209"/>
        </row>
        <row r="210">
          <cell r="K210"/>
        </row>
        <row r="211">
          <cell r="K211"/>
        </row>
        <row r="212">
          <cell r="K212"/>
        </row>
        <row r="213">
          <cell r="K213"/>
        </row>
        <row r="214">
          <cell r="K214"/>
        </row>
        <row r="215">
          <cell r="K215"/>
        </row>
        <row r="216">
          <cell r="K216"/>
        </row>
        <row r="217">
          <cell r="K217"/>
        </row>
        <row r="218">
          <cell r="K218"/>
        </row>
        <row r="219">
          <cell r="K219"/>
        </row>
        <row r="220">
          <cell r="K220"/>
        </row>
        <row r="221">
          <cell r="K221"/>
        </row>
        <row r="222">
          <cell r="K222"/>
        </row>
        <row r="223">
          <cell r="K223"/>
        </row>
        <row r="224">
          <cell r="K224"/>
        </row>
        <row r="225">
          <cell r="K225"/>
        </row>
        <row r="226">
          <cell r="K226"/>
        </row>
        <row r="227">
          <cell r="K227"/>
        </row>
        <row r="228">
          <cell r="K228"/>
        </row>
        <row r="229">
          <cell r="K229"/>
        </row>
        <row r="230">
          <cell r="K230"/>
        </row>
        <row r="231">
          <cell r="K231"/>
        </row>
        <row r="232">
          <cell r="K232"/>
        </row>
        <row r="233">
          <cell r="K233"/>
        </row>
        <row r="234">
          <cell r="K234"/>
        </row>
        <row r="235">
          <cell r="K235"/>
        </row>
        <row r="236">
          <cell r="K236"/>
        </row>
        <row r="237">
          <cell r="K237"/>
        </row>
        <row r="238">
          <cell r="K238"/>
        </row>
        <row r="239">
          <cell r="K239"/>
        </row>
        <row r="240">
          <cell r="K240"/>
        </row>
        <row r="241">
          <cell r="K241"/>
        </row>
        <row r="242">
          <cell r="K242"/>
        </row>
        <row r="243">
          <cell r="K243"/>
        </row>
        <row r="244">
          <cell r="K244"/>
        </row>
        <row r="245">
          <cell r="K245"/>
        </row>
        <row r="246">
          <cell r="K246"/>
        </row>
        <row r="247">
          <cell r="K247"/>
        </row>
        <row r="248">
          <cell r="K248"/>
        </row>
        <row r="249">
          <cell r="K249"/>
        </row>
        <row r="250">
          <cell r="K250"/>
        </row>
        <row r="251">
          <cell r="K251"/>
        </row>
        <row r="252">
          <cell r="K252"/>
        </row>
        <row r="253">
          <cell r="K253"/>
        </row>
        <row r="254">
          <cell r="K254"/>
        </row>
        <row r="255">
          <cell r="K255"/>
        </row>
        <row r="256">
          <cell r="K256"/>
        </row>
        <row r="257">
          <cell r="K257"/>
        </row>
        <row r="258">
          <cell r="K258"/>
        </row>
        <row r="259">
          <cell r="K259"/>
        </row>
        <row r="260">
          <cell r="K260"/>
        </row>
        <row r="261">
          <cell r="K261"/>
        </row>
        <row r="262">
          <cell r="K262"/>
        </row>
        <row r="263">
          <cell r="K263"/>
        </row>
        <row r="264">
          <cell r="K264"/>
        </row>
        <row r="265">
          <cell r="K265"/>
        </row>
        <row r="266">
          <cell r="K266"/>
        </row>
        <row r="267">
          <cell r="K267"/>
        </row>
        <row r="268">
          <cell r="K268"/>
        </row>
        <row r="269">
          <cell r="K269"/>
        </row>
        <row r="270">
          <cell r="K270"/>
        </row>
        <row r="271">
          <cell r="K271"/>
        </row>
        <row r="272">
          <cell r="K272"/>
        </row>
        <row r="273">
          <cell r="K273"/>
        </row>
        <row r="274">
          <cell r="K274"/>
        </row>
        <row r="275">
          <cell r="K275"/>
        </row>
        <row r="276">
          <cell r="K276"/>
        </row>
        <row r="277">
          <cell r="K277"/>
        </row>
        <row r="278">
          <cell r="K278"/>
        </row>
        <row r="279">
          <cell r="K279"/>
        </row>
        <row r="280">
          <cell r="K280"/>
        </row>
        <row r="281">
          <cell r="K281"/>
        </row>
        <row r="282">
          <cell r="K282"/>
        </row>
        <row r="283">
          <cell r="K283"/>
        </row>
        <row r="284">
          <cell r="K284"/>
        </row>
        <row r="285">
          <cell r="K285"/>
        </row>
        <row r="286">
          <cell r="K286"/>
        </row>
        <row r="287">
          <cell r="K287"/>
        </row>
        <row r="288">
          <cell r="K288"/>
        </row>
        <row r="289">
          <cell r="K289"/>
        </row>
        <row r="290">
          <cell r="K290"/>
        </row>
        <row r="291">
          <cell r="K291"/>
        </row>
        <row r="292">
          <cell r="K292"/>
        </row>
        <row r="293">
          <cell r="K293"/>
        </row>
        <row r="294">
          <cell r="K294"/>
        </row>
        <row r="295">
          <cell r="K295"/>
        </row>
        <row r="296">
          <cell r="K296"/>
        </row>
        <row r="297">
          <cell r="K297"/>
        </row>
        <row r="298">
          <cell r="K298"/>
        </row>
        <row r="299">
          <cell r="K299"/>
        </row>
        <row r="300">
          <cell r="K300"/>
        </row>
        <row r="301">
          <cell r="K301"/>
        </row>
        <row r="302">
          <cell r="K302"/>
        </row>
        <row r="303">
          <cell r="K303"/>
        </row>
        <row r="304">
          <cell r="K304"/>
        </row>
        <row r="305">
          <cell r="K305"/>
        </row>
        <row r="306">
          <cell r="K306"/>
        </row>
        <row r="307">
          <cell r="K307"/>
        </row>
        <row r="308">
          <cell r="K308"/>
        </row>
        <row r="309">
          <cell r="K309"/>
        </row>
        <row r="310">
          <cell r="K310"/>
        </row>
        <row r="311">
          <cell r="K311"/>
        </row>
        <row r="312">
          <cell r="K312"/>
        </row>
        <row r="313">
          <cell r="K313"/>
        </row>
        <row r="314">
          <cell r="K314"/>
        </row>
        <row r="315">
          <cell r="K315"/>
        </row>
        <row r="316">
          <cell r="K316"/>
        </row>
        <row r="317">
          <cell r="K317"/>
        </row>
        <row r="318">
          <cell r="K318"/>
        </row>
        <row r="319">
          <cell r="K319"/>
        </row>
        <row r="320">
          <cell r="K320"/>
        </row>
        <row r="321">
          <cell r="K321"/>
        </row>
        <row r="322">
          <cell r="K322"/>
        </row>
        <row r="323">
          <cell r="K323"/>
        </row>
        <row r="324">
          <cell r="K324"/>
        </row>
        <row r="325">
          <cell r="K325"/>
        </row>
        <row r="326">
          <cell r="K326"/>
        </row>
        <row r="327">
          <cell r="K327"/>
        </row>
        <row r="328">
          <cell r="K328"/>
        </row>
        <row r="329">
          <cell r="K329"/>
        </row>
        <row r="330">
          <cell r="K330"/>
        </row>
        <row r="331">
          <cell r="K331"/>
        </row>
        <row r="332">
          <cell r="K332"/>
        </row>
        <row r="333">
          <cell r="K333"/>
        </row>
        <row r="334">
          <cell r="K334"/>
        </row>
        <row r="335">
          <cell r="K335"/>
        </row>
        <row r="336">
          <cell r="K336"/>
        </row>
        <row r="337">
          <cell r="K337"/>
        </row>
        <row r="338">
          <cell r="K338"/>
        </row>
        <row r="339">
          <cell r="K339"/>
        </row>
        <row r="340">
          <cell r="K340"/>
        </row>
        <row r="341">
          <cell r="K341"/>
        </row>
        <row r="342">
          <cell r="K342"/>
        </row>
        <row r="343">
          <cell r="K343"/>
        </row>
        <row r="344">
          <cell r="K344"/>
        </row>
        <row r="345">
          <cell r="K345"/>
        </row>
        <row r="346">
          <cell r="K346"/>
        </row>
        <row r="347">
          <cell r="K347"/>
        </row>
        <row r="348">
          <cell r="K348"/>
        </row>
        <row r="349">
          <cell r="K349"/>
        </row>
        <row r="350">
          <cell r="K350"/>
        </row>
        <row r="351">
          <cell r="K351"/>
        </row>
        <row r="352">
          <cell r="K352"/>
        </row>
        <row r="353">
          <cell r="K353"/>
        </row>
        <row r="354">
          <cell r="K354"/>
        </row>
        <row r="355">
          <cell r="K355"/>
        </row>
        <row r="356">
          <cell r="K356"/>
        </row>
        <row r="357">
          <cell r="K357"/>
        </row>
        <row r="358">
          <cell r="K358"/>
        </row>
        <row r="359">
          <cell r="K359"/>
        </row>
        <row r="360">
          <cell r="K360"/>
        </row>
        <row r="361">
          <cell r="K361"/>
        </row>
        <row r="362">
          <cell r="K362"/>
        </row>
        <row r="363">
          <cell r="K363"/>
        </row>
        <row r="364">
          <cell r="K364"/>
        </row>
        <row r="365">
          <cell r="K365"/>
        </row>
        <row r="366">
          <cell r="K366"/>
        </row>
        <row r="367">
          <cell r="K367"/>
        </row>
        <row r="368">
          <cell r="K368"/>
        </row>
        <row r="369">
          <cell r="K369"/>
        </row>
        <row r="370">
          <cell r="K370"/>
        </row>
        <row r="371">
          <cell r="K371"/>
        </row>
        <row r="372">
          <cell r="K372"/>
        </row>
        <row r="373">
          <cell r="K373"/>
        </row>
        <row r="374">
          <cell r="K374"/>
        </row>
        <row r="375">
          <cell r="K375"/>
        </row>
        <row r="376">
          <cell r="K376"/>
        </row>
        <row r="377">
          <cell r="K377"/>
        </row>
        <row r="378">
          <cell r="K378"/>
        </row>
        <row r="379">
          <cell r="K379"/>
        </row>
        <row r="380">
          <cell r="K380"/>
        </row>
        <row r="381">
          <cell r="K381"/>
        </row>
        <row r="382">
          <cell r="K382"/>
        </row>
        <row r="383">
          <cell r="K383"/>
        </row>
        <row r="384">
          <cell r="K384"/>
        </row>
        <row r="385">
          <cell r="K385"/>
        </row>
        <row r="386">
          <cell r="K386"/>
        </row>
        <row r="387">
          <cell r="K387"/>
        </row>
        <row r="388">
          <cell r="K388"/>
        </row>
        <row r="389">
          <cell r="K389"/>
        </row>
        <row r="390">
          <cell r="K390"/>
        </row>
        <row r="391">
          <cell r="K391"/>
        </row>
        <row r="392">
          <cell r="K392"/>
        </row>
        <row r="393">
          <cell r="K393"/>
        </row>
        <row r="394">
          <cell r="K394"/>
        </row>
        <row r="395">
          <cell r="K395"/>
        </row>
        <row r="396">
          <cell r="K396"/>
        </row>
        <row r="397">
          <cell r="K397"/>
        </row>
        <row r="398">
          <cell r="K398"/>
        </row>
        <row r="399">
          <cell r="K399"/>
        </row>
        <row r="400">
          <cell r="K400"/>
        </row>
        <row r="401">
          <cell r="K401"/>
        </row>
        <row r="402">
          <cell r="K402"/>
        </row>
        <row r="403">
          <cell r="K403"/>
        </row>
        <row r="404">
          <cell r="K404"/>
        </row>
        <row r="405">
          <cell r="K405"/>
        </row>
        <row r="406">
          <cell r="K406"/>
        </row>
        <row r="407">
          <cell r="K407"/>
        </row>
        <row r="408">
          <cell r="K408"/>
        </row>
        <row r="409">
          <cell r="K409"/>
        </row>
        <row r="410">
          <cell r="K410"/>
        </row>
        <row r="411">
          <cell r="K411"/>
        </row>
        <row r="412">
          <cell r="K412"/>
        </row>
        <row r="413">
          <cell r="K413"/>
        </row>
        <row r="414">
          <cell r="K414"/>
        </row>
        <row r="415">
          <cell r="K415"/>
        </row>
        <row r="416">
          <cell r="K416"/>
        </row>
        <row r="417">
          <cell r="K417"/>
        </row>
        <row r="418">
          <cell r="K418"/>
        </row>
        <row r="419">
          <cell r="K419"/>
        </row>
        <row r="420">
          <cell r="K420"/>
        </row>
        <row r="421">
          <cell r="K421"/>
        </row>
        <row r="422">
          <cell r="K422"/>
        </row>
        <row r="423">
          <cell r="K423"/>
        </row>
        <row r="424">
          <cell r="K424"/>
        </row>
        <row r="425">
          <cell r="K425"/>
        </row>
        <row r="426">
          <cell r="K426"/>
        </row>
        <row r="427">
          <cell r="K427"/>
        </row>
        <row r="428">
          <cell r="K428"/>
        </row>
        <row r="429">
          <cell r="K429"/>
        </row>
        <row r="430">
          <cell r="K430"/>
        </row>
        <row r="431">
          <cell r="K431"/>
        </row>
        <row r="432">
          <cell r="K432"/>
        </row>
        <row r="433">
          <cell r="K433"/>
        </row>
        <row r="434">
          <cell r="K434"/>
        </row>
        <row r="435">
          <cell r="K435"/>
        </row>
        <row r="436">
          <cell r="K436"/>
        </row>
        <row r="437">
          <cell r="K437"/>
        </row>
        <row r="438">
          <cell r="K438"/>
        </row>
        <row r="439">
          <cell r="K439"/>
        </row>
        <row r="440">
          <cell r="K440"/>
        </row>
        <row r="441">
          <cell r="K441"/>
        </row>
        <row r="442">
          <cell r="K442"/>
        </row>
        <row r="443">
          <cell r="K443"/>
        </row>
        <row r="444">
          <cell r="K444"/>
        </row>
        <row r="445">
          <cell r="K445"/>
        </row>
        <row r="446">
          <cell r="K446"/>
        </row>
        <row r="447">
          <cell r="K447"/>
        </row>
        <row r="448">
          <cell r="K448"/>
        </row>
        <row r="449">
          <cell r="K449"/>
        </row>
        <row r="450">
          <cell r="K450"/>
        </row>
        <row r="451">
          <cell r="K451"/>
        </row>
        <row r="452">
          <cell r="K452"/>
        </row>
        <row r="453">
          <cell r="K453"/>
        </row>
        <row r="454">
          <cell r="K454"/>
        </row>
        <row r="455">
          <cell r="K455"/>
        </row>
        <row r="456">
          <cell r="K456"/>
        </row>
        <row r="457">
          <cell r="K457"/>
        </row>
        <row r="458">
          <cell r="K458"/>
        </row>
        <row r="459">
          <cell r="K459"/>
        </row>
        <row r="460">
          <cell r="K460"/>
        </row>
        <row r="461">
          <cell r="K461"/>
        </row>
        <row r="462">
          <cell r="K462"/>
        </row>
        <row r="463">
          <cell r="K463"/>
        </row>
        <row r="464">
          <cell r="K464"/>
        </row>
        <row r="465">
          <cell r="K465"/>
        </row>
        <row r="466">
          <cell r="K466"/>
        </row>
        <row r="467">
          <cell r="K467"/>
        </row>
        <row r="468">
          <cell r="K468"/>
        </row>
        <row r="469">
          <cell r="K469"/>
        </row>
        <row r="470">
          <cell r="K470"/>
        </row>
        <row r="471">
          <cell r="K471"/>
        </row>
        <row r="472">
          <cell r="K472"/>
        </row>
        <row r="473">
          <cell r="K473"/>
        </row>
        <row r="474">
          <cell r="K474"/>
        </row>
        <row r="475">
          <cell r="K475"/>
        </row>
        <row r="476">
          <cell r="K476"/>
        </row>
        <row r="477">
          <cell r="K477"/>
        </row>
        <row r="478">
          <cell r="K478"/>
        </row>
        <row r="479">
          <cell r="K479"/>
        </row>
        <row r="480">
          <cell r="K480"/>
        </row>
        <row r="481">
          <cell r="K481"/>
        </row>
        <row r="482">
          <cell r="K482"/>
        </row>
        <row r="483">
          <cell r="K483"/>
        </row>
        <row r="484">
          <cell r="K484"/>
        </row>
        <row r="485">
          <cell r="K485"/>
        </row>
        <row r="486">
          <cell r="K486"/>
        </row>
        <row r="487">
          <cell r="K487"/>
        </row>
        <row r="488">
          <cell r="K488"/>
        </row>
        <row r="489">
          <cell r="K489"/>
        </row>
        <row r="490">
          <cell r="K490"/>
        </row>
        <row r="491">
          <cell r="K491"/>
        </row>
        <row r="492">
          <cell r="K492"/>
        </row>
        <row r="493">
          <cell r="K493"/>
        </row>
        <row r="494">
          <cell r="K494"/>
        </row>
        <row r="495">
          <cell r="K495"/>
        </row>
        <row r="496">
          <cell r="K496"/>
        </row>
        <row r="497">
          <cell r="K497"/>
        </row>
        <row r="498">
          <cell r="K498"/>
        </row>
        <row r="499">
          <cell r="K499"/>
        </row>
        <row r="500">
          <cell r="K500"/>
        </row>
        <row r="501">
          <cell r="K501"/>
        </row>
        <row r="502">
          <cell r="K502"/>
        </row>
        <row r="503">
          <cell r="K503"/>
        </row>
        <row r="504">
          <cell r="K504"/>
        </row>
        <row r="505">
          <cell r="K505"/>
        </row>
        <row r="506">
          <cell r="K506"/>
        </row>
        <row r="507">
          <cell r="K507"/>
        </row>
        <row r="508">
          <cell r="K508"/>
        </row>
        <row r="509">
          <cell r="K509"/>
        </row>
        <row r="510">
          <cell r="K510"/>
        </row>
        <row r="511">
          <cell r="K511"/>
        </row>
        <row r="512">
          <cell r="K512"/>
        </row>
        <row r="513">
          <cell r="K513"/>
        </row>
        <row r="514">
          <cell r="K514"/>
        </row>
        <row r="515">
          <cell r="K515"/>
        </row>
        <row r="516">
          <cell r="K516"/>
        </row>
        <row r="517">
          <cell r="K517"/>
        </row>
        <row r="518">
          <cell r="K518"/>
        </row>
        <row r="519">
          <cell r="K519"/>
        </row>
        <row r="520">
          <cell r="K520"/>
        </row>
        <row r="521">
          <cell r="K521"/>
        </row>
        <row r="522">
          <cell r="K522"/>
        </row>
        <row r="523">
          <cell r="K523"/>
        </row>
        <row r="524">
          <cell r="K524"/>
        </row>
        <row r="525">
          <cell r="K525"/>
        </row>
        <row r="526">
          <cell r="K526"/>
        </row>
        <row r="527">
          <cell r="K527"/>
        </row>
        <row r="528">
          <cell r="K528"/>
        </row>
        <row r="529">
          <cell r="K529"/>
        </row>
        <row r="530">
          <cell r="K530"/>
        </row>
        <row r="531">
          <cell r="K531"/>
        </row>
        <row r="532">
          <cell r="K532"/>
        </row>
        <row r="533">
          <cell r="K533"/>
        </row>
        <row r="534">
          <cell r="K534"/>
        </row>
        <row r="535">
          <cell r="K535"/>
        </row>
        <row r="536">
          <cell r="K536"/>
        </row>
        <row r="537">
          <cell r="K537"/>
        </row>
        <row r="538">
          <cell r="K538"/>
        </row>
        <row r="539">
          <cell r="K539"/>
        </row>
        <row r="540">
          <cell r="K540"/>
        </row>
        <row r="541">
          <cell r="K541"/>
        </row>
        <row r="542">
          <cell r="K542"/>
        </row>
        <row r="543">
          <cell r="K543"/>
        </row>
        <row r="544">
          <cell r="K544"/>
        </row>
        <row r="545">
          <cell r="K545"/>
        </row>
        <row r="546">
          <cell r="K546"/>
        </row>
        <row r="547">
          <cell r="K547"/>
        </row>
        <row r="548">
          <cell r="K548"/>
        </row>
        <row r="549">
          <cell r="K549"/>
        </row>
        <row r="550">
          <cell r="K550"/>
        </row>
        <row r="551">
          <cell r="K551"/>
        </row>
        <row r="552">
          <cell r="K552"/>
        </row>
        <row r="553">
          <cell r="K553"/>
        </row>
        <row r="554">
          <cell r="K554"/>
        </row>
        <row r="555">
          <cell r="K555"/>
        </row>
        <row r="556">
          <cell r="K556"/>
        </row>
        <row r="557">
          <cell r="K557"/>
        </row>
        <row r="558">
          <cell r="K558"/>
        </row>
        <row r="559">
          <cell r="K559"/>
        </row>
        <row r="560">
          <cell r="K560"/>
        </row>
        <row r="561">
          <cell r="K561"/>
        </row>
        <row r="562">
          <cell r="K562"/>
        </row>
        <row r="563">
          <cell r="K563"/>
        </row>
        <row r="564">
          <cell r="K564"/>
        </row>
        <row r="565">
          <cell r="K565"/>
        </row>
        <row r="566">
          <cell r="K566"/>
        </row>
        <row r="567">
          <cell r="K567"/>
        </row>
        <row r="568">
          <cell r="K568"/>
        </row>
        <row r="569">
          <cell r="K569"/>
        </row>
        <row r="570">
          <cell r="K570"/>
        </row>
        <row r="571">
          <cell r="K571"/>
        </row>
        <row r="572">
          <cell r="K572"/>
        </row>
        <row r="573">
          <cell r="K573"/>
        </row>
        <row r="574">
          <cell r="K574"/>
        </row>
        <row r="575">
          <cell r="K575"/>
        </row>
        <row r="576">
          <cell r="K576"/>
        </row>
        <row r="577">
          <cell r="K577"/>
        </row>
        <row r="578">
          <cell r="K578"/>
        </row>
        <row r="579">
          <cell r="K579"/>
        </row>
        <row r="580">
          <cell r="K580"/>
        </row>
        <row r="581">
          <cell r="K581"/>
        </row>
        <row r="582">
          <cell r="K582"/>
        </row>
        <row r="583">
          <cell r="K583"/>
        </row>
        <row r="584">
          <cell r="K584"/>
        </row>
        <row r="585">
          <cell r="K585"/>
        </row>
        <row r="586">
          <cell r="K586"/>
        </row>
        <row r="587">
          <cell r="K587"/>
        </row>
        <row r="588">
          <cell r="K588"/>
        </row>
        <row r="589">
          <cell r="K589"/>
        </row>
        <row r="590">
          <cell r="K590"/>
        </row>
        <row r="591">
          <cell r="K591"/>
        </row>
        <row r="592">
          <cell r="K592"/>
        </row>
        <row r="593">
          <cell r="K593"/>
        </row>
        <row r="594">
          <cell r="K594"/>
        </row>
        <row r="595">
          <cell r="K595"/>
        </row>
        <row r="596">
          <cell r="K596"/>
        </row>
        <row r="597">
          <cell r="K597"/>
        </row>
        <row r="598">
          <cell r="K598"/>
        </row>
        <row r="599">
          <cell r="K599"/>
        </row>
        <row r="600">
          <cell r="K600"/>
        </row>
        <row r="601">
          <cell r="K601"/>
        </row>
        <row r="602">
          <cell r="K602"/>
        </row>
        <row r="603">
          <cell r="K603"/>
        </row>
        <row r="604">
          <cell r="K604"/>
        </row>
        <row r="605">
          <cell r="K605"/>
        </row>
        <row r="606">
          <cell r="K606"/>
        </row>
        <row r="607">
          <cell r="K607"/>
        </row>
        <row r="608">
          <cell r="K608"/>
        </row>
        <row r="609">
          <cell r="K609"/>
        </row>
        <row r="610">
          <cell r="K610"/>
        </row>
        <row r="611">
          <cell r="K611"/>
        </row>
        <row r="612">
          <cell r="K612"/>
        </row>
        <row r="613">
          <cell r="K613"/>
        </row>
        <row r="614">
          <cell r="K614"/>
        </row>
        <row r="615">
          <cell r="K615"/>
        </row>
        <row r="616">
          <cell r="K616"/>
        </row>
        <row r="617">
          <cell r="K617"/>
        </row>
        <row r="618">
          <cell r="K618"/>
        </row>
        <row r="619">
          <cell r="K619"/>
        </row>
        <row r="620">
          <cell r="K620"/>
        </row>
        <row r="621">
          <cell r="K621"/>
        </row>
        <row r="622">
          <cell r="K622"/>
        </row>
        <row r="623">
          <cell r="K623"/>
        </row>
        <row r="624">
          <cell r="K624"/>
        </row>
        <row r="625">
          <cell r="K625"/>
        </row>
        <row r="626">
          <cell r="K626"/>
        </row>
        <row r="627">
          <cell r="K627"/>
        </row>
        <row r="628">
          <cell r="K628"/>
        </row>
        <row r="629">
          <cell r="K629"/>
        </row>
        <row r="630">
          <cell r="K630"/>
        </row>
        <row r="631">
          <cell r="K631"/>
        </row>
        <row r="632">
          <cell r="K632"/>
        </row>
        <row r="633">
          <cell r="K633"/>
        </row>
        <row r="634">
          <cell r="K634"/>
        </row>
        <row r="635">
          <cell r="K635"/>
        </row>
        <row r="636">
          <cell r="K636"/>
        </row>
        <row r="637">
          <cell r="K637"/>
        </row>
        <row r="638">
          <cell r="K638"/>
        </row>
        <row r="639">
          <cell r="K639"/>
        </row>
        <row r="640">
          <cell r="K640"/>
        </row>
        <row r="641">
          <cell r="K641"/>
        </row>
        <row r="642">
          <cell r="K642"/>
        </row>
        <row r="643">
          <cell r="K643"/>
        </row>
        <row r="644">
          <cell r="K644"/>
        </row>
        <row r="645">
          <cell r="K645"/>
        </row>
        <row r="646">
          <cell r="K646"/>
        </row>
        <row r="647">
          <cell r="K647"/>
        </row>
        <row r="648">
          <cell r="K648"/>
        </row>
        <row r="649">
          <cell r="K649"/>
        </row>
        <row r="650">
          <cell r="K650"/>
        </row>
        <row r="651">
          <cell r="K651"/>
        </row>
        <row r="652">
          <cell r="K652"/>
        </row>
        <row r="653">
          <cell r="K653"/>
        </row>
        <row r="654">
          <cell r="K654"/>
        </row>
        <row r="655">
          <cell r="K655"/>
        </row>
        <row r="656">
          <cell r="K656"/>
        </row>
        <row r="657">
          <cell r="K657"/>
        </row>
        <row r="658">
          <cell r="K658"/>
        </row>
        <row r="659">
          <cell r="K659"/>
        </row>
        <row r="660">
          <cell r="K660"/>
        </row>
        <row r="661">
          <cell r="K661"/>
        </row>
        <row r="662">
          <cell r="K662"/>
        </row>
        <row r="663">
          <cell r="K663"/>
        </row>
        <row r="664">
          <cell r="K664"/>
        </row>
        <row r="665">
          <cell r="K665"/>
        </row>
        <row r="666">
          <cell r="K666"/>
        </row>
        <row r="667">
          <cell r="K667"/>
        </row>
        <row r="668">
          <cell r="K668"/>
        </row>
        <row r="669">
          <cell r="K669"/>
        </row>
        <row r="670">
          <cell r="K670"/>
        </row>
        <row r="671">
          <cell r="K671"/>
        </row>
        <row r="672">
          <cell r="K672"/>
        </row>
        <row r="673">
          <cell r="K673"/>
        </row>
        <row r="674">
          <cell r="K674"/>
        </row>
        <row r="675">
          <cell r="K675"/>
        </row>
        <row r="676">
          <cell r="K676"/>
        </row>
        <row r="677">
          <cell r="K677"/>
        </row>
        <row r="678">
          <cell r="K678"/>
        </row>
        <row r="679">
          <cell r="K679"/>
        </row>
        <row r="680">
          <cell r="K680"/>
        </row>
        <row r="681">
          <cell r="K681"/>
        </row>
        <row r="682">
          <cell r="K682"/>
        </row>
      </sheetData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GETH"/>
      <sheetName val="Subscription"/>
      <sheetName val="REF"/>
      <sheetName val="DW"/>
      <sheetName val="Cooking"/>
      <sheetName val="WP"/>
      <sheetName val="WM"/>
      <sheetName val="VCC"/>
      <sheetName val="RAC"/>
      <sheetName val="AP"/>
      <sheetName val="SAC"/>
      <sheetName val="TV"/>
      <sheetName val="AV"/>
      <sheetName val="MNT"/>
      <sheetName val="By Model"/>
      <sheetName val="RA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A2" t="str">
            <v>Subscription Channel</v>
          </cell>
          <cell r="B2" t="str">
            <v>(다중 항목)</v>
          </cell>
        </row>
        <row r="3">
          <cell r="A3" t="str">
            <v>YYYYMM</v>
          </cell>
          <cell r="B3" t="str">
            <v>12.2025</v>
          </cell>
        </row>
        <row r="5">
          <cell r="A5" t="str">
            <v>행 레이블</v>
          </cell>
          <cell r="B5" t="str">
            <v>합계 : Sales Qty</v>
          </cell>
          <cell r="I5" t="str">
            <v>합계 : ASP</v>
          </cell>
        </row>
        <row r="6">
          <cell r="A6" t="str">
            <v>Air Care</v>
          </cell>
          <cell r="B6">
            <v>274</v>
          </cell>
          <cell r="I6">
            <v>626.86795620437954</v>
          </cell>
        </row>
        <row r="7">
          <cell r="A7" t="str">
            <v>AS10GDBY0.ABAE</v>
          </cell>
          <cell r="B7">
            <v>29</v>
          </cell>
          <cell r="I7">
            <v>1196.9893103448276</v>
          </cell>
        </row>
        <row r="8">
          <cell r="A8" t="str">
            <v>AS10GDWH0.ABAE</v>
          </cell>
          <cell r="B8"/>
          <cell r="I8" t="e">
            <v>#DIV/0!</v>
          </cell>
        </row>
        <row r="9">
          <cell r="A9" t="str">
            <v>AS35GGW10.ATH</v>
          </cell>
          <cell r="B9">
            <v>72</v>
          </cell>
          <cell r="I9">
            <v>200.85027777777776</v>
          </cell>
        </row>
        <row r="10">
          <cell r="A10" t="str">
            <v>AS55GGWX0.ABAE</v>
          </cell>
          <cell r="B10">
            <v>24</v>
          </cell>
          <cell r="I10">
            <v>572.55499999999995</v>
          </cell>
        </row>
        <row r="11">
          <cell r="A11" t="str">
            <v>AS60GHWG0.ABAE</v>
          </cell>
          <cell r="B11">
            <v>16</v>
          </cell>
          <cell r="I11">
            <v>650.94749999999999</v>
          </cell>
        </row>
        <row r="12">
          <cell r="A12" t="str">
            <v>AS65GDBY0.ABAE</v>
          </cell>
          <cell r="B12">
            <v>87</v>
          </cell>
          <cell r="I12">
            <v>808.44643678160912</v>
          </cell>
        </row>
        <row r="13">
          <cell r="A13" t="str">
            <v>AS65GDWH0.ABAE</v>
          </cell>
          <cell r="B13"/>
          <cell r="I13" t="e">
            <v>#DIV/0!</v>
          </cell>
        </row>
        <row r="14">
          <cell r="A14" t="str">
            <v>MD19GQGA1.ATH</v>
          </cell>
          <cell r="B14">
            <v>46</v>
          </cell>
          <cell r="I14">
            <v>541.03978260869565</v>
          </cell>
        </row>
        <row r="15">
          <cell r="A15" t="str">
            <v>VM-DLT-EATH.CPS</v>
          </cell>
          <cell r="B15"/>
          <cell r="I15" t="e">
            <v>#DIV/0!</v>
          </cell>
        </row>
        <row r="16">
          <cell r="A16" t="str">
            <v>Audio</v>
          </cell>
          <cell r="B16">
            <v>153</v>
          </cell>
          <cell r="I16">
            <v>196.66287581699348</v>
          </cell>
        </row>
        <row r="17">
          <cell r="A17" t="str">
            <v>BOUNCE.ATHALBK</v>
          </cell>
          <cell r="B17">
            <v>72</v>
          </cell>
          <cell r="I17">
            <v>192.53305555555553</v>
          </cell>
        </row>
        <row r="18">
          <cell r="A18" t="str">
            <v>GRAB.ATHALBK</v>
          </cell>
          <cell r="B18">
            <v>56</v>
          </cell>
          <cell r="I18">
            <v>146.04053571428571</v>
          </cell>
        </row>
        <row r="19">
          <cell r="A19" t="str">
            <v>S20A.CTHALLK</v>
          </cell>
          <cell r="B19">
            <v>2</v>
          </cell>
          <cell r="I19">
            <v>100.605</v>
          </cell>
        </row>
        <row r="20">
          <cell r="A20" t="str">
            <v>S40T.DTHALLK</v>
          </cell>
          <cell r="B20">
            <v>1</v>
          </cell>
          <cell r="I20">
            <v>157.24</v>
          </cell>
        </row>
        <row r="21">
          <cell r="A21" t="str">
            <v>S70TY.ATHALLD</v>
          </cell>
          <cell r="B21">
            <v>13</v>
          </cell>
          <cell r="I21">
            <v>249</v>
          </cell>
        </row>
        <row r="22">
          <cell r="A22" t="str">
            <v>S70TY.ATHALLK</v>
          </cell>
          <cell r="B22"/>
          <cell r="I22" t="e">
            <v>#DIV/0!</v>
          </cell>
        </row>
        <row r="23">
          <cell r="A23" t="str">
            <v>S95TR.DTHALLK</v>
          </cell>
          <cell r="B23">
            <v>5</v>
          </cell>
          <cell r="I23">
            <v>515.226</v>
          </cell>
        </row>
        <row r="24">
          <cell r="A24" t="str">
            <v>SC9S.DTHALLK</v>
          </cell>
          <cell r="B24"/>
          <cell r="I24" t="e">
            <v>#DIV/0!</v>
          </cell>
        </row>
        <row r="25">
          <cell r="A25" t="str">
            <v>SC9S.DTHALLM</v>
          </cell>
          <cell r="B25">
            <v>4</v>
          </cell>
          <cell r="I25">
            <v>361.16250000000002</v>
          </cell>
        </row>
        <row r="26">
          <cell r="A26" t="str">
            <v>SG10TY.DTHALLK</v>
          </cell>
          <cell r="B26"/>
          <cell r="I26" t="e">
            <v>#DIV/0!</v>
          </cell>
        </row>
        <row r="27">
          <cell r="A27" t="str">
            <v>VM-PNT-EATH.CPS</v>
          </cell>
          <cell r="B27"/>
          <cell r="I27" t="e">
            <v>#DIV/0!</v>
          </cell>
        </row>
        <row r="28">
          <cell r="A28" t="str">
            <v>Cooking</v>
          </cell>
          <cell r="B28">
            <v>56</v>
          </cell>
          <cell r="I28">
            <v>129.68232142857147</v>
          </cell>
        </row>
        <row r="29">
          <cell r="A29" t="str">
            <v>MS2535GIK.BSEPETH</v>
          </cell>
          <cell r="B29">
            <v>9</v>
          </cell>
          <cell r="I29">
            <v>112.48555555555555</v>
          </cell>
        </row>
        <row r="30">
          <cell r="A30" t="str">
            <v>MS4295DIS.BBKPETH</v>
          </cell>
          <cell r="B30">
            <v>47</v>
          </cell>
          <cell r="I30">
            <v>133.35191489361702</v>
          </cell>
        </row>
        <row r="31">
          <cell r="A31" t="str">
            <v>VM-CVT-EATH.CPS</v>
          </cell>
          <cell r="B31"/>
          <cell r="I31" t="e">
            <v>#DIV/0!</v>
          </cell>
        </row>
        <row r="32">
          <cell r="A32" t="str">
            <v>Dishwasher</v>
          </cell>
          <cell r="B32">
            <v>8</v>
          </cell>
          <cell r="I32">
            <v>782.94375000000002</v>
          </cell>
        </row>
        <row r="33">
          <cell r="A33" t="str">
            <v>DFC335HM.ABMPETH</v>
          </cell>
          <cell r="B33">
            <v>6</v>
          </cell>
          <cell r="I33">
            <v>814.53666666666675</v>
          </cell>
        </row>
        <row r="34">
          <cell r="A34" t="str">
            <v>DFC533FV.APYPETH</v>
          </cell>
          <cell r="B34">
            <v>2</v>
          </cell>
          <cell r="I34">
            <v>687.9</v>
          </cell>
        </row>
        <row r="35">
          <cell r="A35" t="str">
            <v>VM-CDT-EATH.CPS</v>
          </cell>
          <cell r="B35"/>
          <cell r="I35" t="e">
            <v>#DIV/0!</v>
          </cell>
        </row>
        <row r="36">
          <cell r="A36" t="str">
            <v>LTV</v>
          </cell>
          <cell r="B36">
            <v>357</v>
          </cell>
          <cell r="I36">
            <v>1010.2294397759101</v>
          </cell>
        </row>
        <row r="37">
          <cell r="A37" t="str">
            <v>27LX6TDGA.ATM</v>
          </cell>
          <cell r="B37">
            <v>174</v>
          </cell>
          <cell r="I37">
            <v>879.58270114942536</v>
          </cell>
        </row>
        <row r="38">
          <cell r="A38" t="str">
            <v>32LQ630BPSA.ATM</v>
          </cell>
          <cell r="B38">
            <v>12</v>
          </cell>
          <cell r="I38">
            <v>298.06916666666666</v>
          </cell>
        </row>
        <row r="39">
          <cell r="A39" t="str">
            <v>55QNED80ASA.ATM</v>
          </cell>
          <cell r="B39">
            <v>44</v>
          </cell>
          <cell r="I39">
            <v>753.99363636363637</v>
          </cell>
        </row>
        <row r="40">
          <cell r="A40" t="str">
            <v>65QNED80ASA.ATM</v>
          </cell>
          <cell r="B40"/>
          <cell r="I40" t="e">
            <v>#DIV/0!</v>
          </cell>
        </row>
        <row r="41">
          <cell r="A41" t="str">
            <v>65QNED82ASA.ATM</v>
          </cell>
          <cell r="B41">
            <v>28</v>
          </cell>
          <cell r="I41">
            <v>904.83607142857159</v>
          </cell>
        </row>
        <row r="42">
          <cell r="A42" t="str">
            <v>65UA8450PSA.ATM</v>
          </cell>
          <cell r="B42">
            <v>31</v>
          </cell>
          <cell r="I42">
            <v>681.86387096774206</v>
          </cell>
        </row>
        <row r="43">
          <cell r="A43" t="str">
            <v>65UR7550PSC.ATM</v>
          </cell>
          <cell r="B43"/>
          <cell r="I43" t="e">
            <v>#DIV/0!</v>
          </cell>
        </row>
        <row r="44">
          <cell r="A44" t="str">
            <v>65UT8050PSB.ATM</v>
          </cell>
          <cell r="B44"/>
          <cell r="I44" t="e">
            <v>#DIV/0!</v>
          </cell>
        </row>
        <row r="45">
          <cell r="A45" t="str">
            <v>75NANO81TSA.ATM</v>
          </cell>
          <cell r="B45"/>
          <cell r="I45" t="e">
            <v>#DIV/0!</v>
          </cell>
        </row>
        <row r="46">
          <cell r="A46" t="str">
            <v>75QNED80TSA.ATM</v>
          </cell>
          <cell r="B46"/>
          <cell r="I46" t="e">
            <v>#DIV/0!</v>
          </cell>
        </row>
        <row r="47">
          <cell r="A47" t="str">
            <v>75QNED86ASA.ATM</v>
          </cell>
          <cell r="B47">
            <v>11</v>
          </cell>
          <cell r="I47">
            <v>1407.4609090909091</v>
          </cell>
        </row>
        <row r="48">
          <cell r="A48" t="str">
            <v>75UA8450PSA.ATMQ</v>
          </cell>
          <cell r="B48">
            <v>8</v>
          </cell>
          <cell r="I48">
            <v>997.58500000000004</v>
          </cell>
        </row>
        <row r="49">
          <cell r="A49" t="str">
            <v>75UR7550PSC.ATM</v>
          </cell>
          <cell r="B49"/>
          <cell r="I49" t="e">
            <v>#DIV/0!</v>
          </cell>
        </row>
        <row r="50">
          <cell r="A50" t="str">
            <v>75UT8050PSB.ATM</v>
          </cell>
          <cell r="B50"/>
          <cell r="I50" t="e">
            <v>#DIV/0!</v>
          </cell>
        </row>
        <row r="51">
          <cell r="A51" t="str">
            <v>86NANO81TSA.ATM</v>
          </cell>
          <cell r="B51"/>
          <cell r="I51" t="e">
            <v>#DIV/0!</v>
          </cell>
        </row>
        <row r="52">
          <cell r="A52" t="str">
            <v>86QNED80ASA.ATM</v>
          </cell>
          <cell r="B52">
            <v>7</v>
          </cell>
          <cell r="I52">
            <v>1942.732857142857</v>
          </cell>
        </row>
        <row r="53">
          <cell r="A53" t="str">
            <v>86QNED80TSA.ATM</v>
          </cell>
          <cell r="B53"/>
          <cell r="I53" t="e">
            <v>#DIV/0!</v>
          </cell>
        </row>
        <row r="54">
          <cell r="A54" t="str">
            <v>OLED48C4PSA.ATM</v>
          </cell>
          <cell r="B54"/>
          <cell r="I54" t="e">
            <v>#DIV/0!</v>
          </cell>
        </row>
        <row r="55">
          <cell r="A55" t="str">
            <v>OLED48C5PSA.ATM</v>
          </cell>
          <cell r="B55">
            <v>6</v>
          </cell>
          <cell r="I55">
            <v>1088.575</v>
          </cell>
        </row>
        <row r="56">
          <cell r="A56" t="str">
            <v>OLED55C4PSA.ATM</v>
          </cell>
          <cell r="B56"/>
          <cell r="I56" t="e">
            <v>#DIV/0!</v>
          </cell>
        </row>
        <row r="57">
          <cell r="A57" t="str">
            <v>OLED55C5PSA.ATM</v>
          </cell>
          <cell r="B57">
            <v>10</v>
          </cell>
          <cell r="I57">
            <v>1499.7049999999999</v>
          </cell>
        </row>
        <row r="58">
          <cell r="A58" t="str">
            <v>OLED65B4PSA.ATM</v>
          </cell>
          <cell r="B58"/>
          <cell r="I58" t="e">
            <v>#DIV/0!</v>
          </cell>
        </row>
        <row r="59">
          <cell r="A59" t="str">
            <v>OLED65C5PSA.ATM</v>
          </cell>
          <cell r="B59">
            <v>12</v>
          </cell>
          <cell r="I59">
            <v>1788.4083333333331</v>
          </cell>
        </row>
        <row r="60">
          <cell r="A60" t="str">
            <v>OLED77C4PSA.ATM</v>
          </cell>
          <cell r="B60"/>
          <cell r="I60" t="e">
            <v>#DIV/0!</v>
          </cell>
        </row>
        <row r="61">
          <cell r="A61" t="str">
            <v>OLED77C5PSA.ATM</v>
          </cell>
          <cell r="B61">
            <v>14</v>
          </cell>
          <cell r="I61">
            <v>2757.3178571428575</v>
          </cell>
        </row>
        <row r="62">
          <cell r="A62" t="str">
            <v>OLED83C4PSA.ATM</v>
          </cell>
          <cell r="B62"/>
          <cell r="I62" t="e">
            <v>#DIV/0!</v>
          </cell>
        </row>
        <row r="63">
          <cell r="A63" t="str">
            <v>OLED83G4PSA.ATM</v>
          </cell>
          <cell r="B63"/>
          <cell r="I63" t="e">
            <v>#DIV/0!</v>
          </cell>
        </row>
        <row r="64">
          <cell r="A64" t="str">
            <v>VM-GLT-EATH.CPS</v>
          </cell>
          <cell r="B64"/>
          <cell r="I64" t="e">
            <v>#DIV/0!</v>
          </cell>
        </row>
        <row r="65">
          <cell r="A65" t="str">
            <v>MNT</v>
          </cell>
          <cell r="B65">
            <v>115</v>
          </cell>
          <cell r="I65">
            <v>998.92104347826069</v>
          </cell>
        </row>
        <row r="66">
          <cell r="A66" t="str">
            <v>24MR400-B.ATMQ</v>
          </cell>
          <cell r="B66"/>
          <cell r="I66" t="e">
            <v>#DIV/0!</v>
          </cell>
        </row>
        <row r="67">
          <cell r="A67" t="str">
            <v>24U421A-B.ATMQ</v>
          </cell>
          <cell r="B67"/>
          <cell r="I67" t="e">
            <v>#DIV/0!</v>
          </cell>
        </row>
        <row r="68">
          <cell r="A68" t="str">
            <v>27GS95QE-B.ATM</v>
          </cell>
          <cell r="B68"/>
          <cell r="I68" t="e">
            <v>#DIV/0!</v>
          </cell>
        </row>
        <row r="69">
          <cell r="A69" t="str">
            <v>27GX790A-B.ATM</v>
          </cell>
          <cell r="B69">
            <v>1</v>
          </cell>
          <cell r="I69">
            <v>1242.71</v>
          </cell>
        </row>
        <row r="70">
          <cell r="A70" t="str">
            <v>27U411A-B.ATMQ</v>
          </cell>
          <cell r="B70"/>
          <cell r="I70" t="e">
            <v>#DIV/0!</v>
          </cell>
        </row>
        <row r="71">
          <cell r="A71" t="str">
            <v>27UP850K-W.ATM</v>
          </cell>
          <cell r="B71"/>
          <cell r="I71" t="e">
            <v>#DIV/0!</v>
          </cell>
        </row>
        <row r="72">
          <cell r="A72" t="str">
            <v>32GS85Q-B.ATM</v>
          </cell>
          <cell r="B72"/>
          <cell r="I72" t="e">
            <v>#DIV/0!</v>
          </cell>
        </row>
        <row r="73">
          <cell r="A73" t="str">
            <v>32GS95UV-B.ATM</v>
          </cell>
          <cell r="B73"/>
          <cell r="I73" t="e">
            <v>#DIV/0!</v>
          </cell>
        </row>
        <row r="74">
          <cell r="A74" t="str">
            <v>32SR85U-W.ATM</v>
          </cell>
          <cell r="B74"/>
          <cell r="I74" t="e">
            <v>#DIV/0!</v>
          </cell>
        </row>
        <row r="75">
          <cell r="A75" t="str">
            <v>32U731SA-W.ATM</v>
          </cell>
          <cell r="B75">
            <v>1</v>
          </cell>
          <cell r="I75">
            <v>906.6</v>
          </cell>
        </row>
        <row r="76">
          <cell r="A76" t="str">
            <v>32U889SA-W.ATM</v>
          </cell>
          <cell r="B76">
            <v>99</v>
          </cell>
          <cell r="I76">
            <v>838.62040404040397</v>
          </cell>
        </row>
        <row r="77">
          <cell r="A77" t="str">
            <v>34GS95QE-B.ATM</v>
          </cell>
          <cell r="B77"/>
          <cell r="I77" t="e">
            <v>#DIV/0!</v>
          </cell>
        </row>
        <row r="78">
          <cell r="A78" t="str">
            <v>34GX90SA-W.ATM</v>
          </cell>
          <cell r="B78">
            <v>2</v>
          </cell>
          <cell r="I78">
            <v>1358.6550000000002</v>
          </cell>
        </row>
        <row r="79">
          <cell r="A79" t="str">
            <v>34WR50QK-B.ATM</v>
          </cell>
          <cell r="B79"/>
          <cell r="I79" t="e">
            <v>#DIV/0!</v>
          </cell>
        </row>
        <row r="80">
          <cell r="A80" t="str">
            <v>45GS95QE-B.ATM</v>
          </cell>
          <cell r="B80"/>
          <cell r="I80" t="e">
            <v>#DIV/0!</v>
          </cell>
        </row>
        <row r="81">
          <cell r="A81" t="str">
            <v>45GX950A-B.ATM</v>
          </cell>
          <cell r="B81">
            <v>12</v>
          </cell>
          <cell r="I81">
            <v>2103.2725</v>
          </cell>
        </row>
        <row r="82">
          <cell r="A82" t="str">
            <v>VM-GTT-EATH.CPS</v>
          </cell>
          <cell r="B82"/>
          <cell r="I82" t="e">
            <v>#DIV/0!</v>
          </cell>
        </row>
        <row r="83">
          <cell r="A83" t="str">
            <v>RAC BD</v>
          </cell>
          <cell r="B83">
            <v>442</v>
          </cell>
          <cell r="I83">
            <v>543.07554298642526</v>
          </cell>
        </row>
        <row r="84">
          <cell r="A84" t="str">
            <v>ICE13MN.JU1</v>
          </cell>
          <cell r="B84">
            <v>30</v>
          </cell>
          <cell r="I84">
            <v>291.62099999999998</v>
          </cell>
        </row>
        <row r="85">
          <cell r="A85" t="str">
            <v>ICE13MU.JU1</v>
          </cell>
          <cell r="B85">
            <v>30</v>
          </cell>
          <cell r="I85">
            <v>437.43266666666665</v>
          </cell>
        </row>
        <row r="86">
          <cell r="A86" t="str">
            <v>ICE18MN.KU1</v>
          </cell>
          <cell r="B86">
            <v>15</v>
          </cell>
          <cell r="I86">
            <v>396.67733333333331</v>
          </cell>
        </row>
        <row r="87">
          <cell r="A87" t="str">
            <v>ICE18MU.KU1</v>
          </cell>
          <cell r="B87">
            <v>15</v>
          </cell>
          <cell r="I87">
            <v>595.01533333333327</v>
          </cell>
        </row>
        <row r="88">
          <cell r="A88" t="str">
            <v>ICE24MN.KU1</v>
          </cell>
          <cell r="B88">
            <v>13</v>
          </cell>
          <cell r="I88">
            <v>450.95230769230773</v>
          </cell>
        </row>
        <row r="89">
          <cell r="A89" t="str">
            <v>ICE24MU.KU1</v>
          </cell>
          <cell r="B89">
            <v>13</v>
          </cell>
          <cell r="I89">
            <v>676.42846153846153</v>
          </cell>
        </row>
        <row r="90">
          <cell r="A90" t="str">
            <v>IEQ10E.JU1</v>
          </cell>
          <cell r="B90"/>
          <cell r="I90" t="e">
            <v>#DIV/0!</v>
          </cell>
        </row>
        <row r="91">
          <cell r="A91" t="str">
            <v>IEQ10EN.JU1</v>
          </cell>
          <cell r="B91"/>
          <cell r="I91" t="e">
            <v>#DIV/0!</v>
          </cell>
        </row>
        <row r="92">
          <cell r="A92" t="str">
            <v>IEQ10EU.JU1</v>
          </cell>
          <cell r="B92"/>
          <cell r="I92" t="e">
            <v>#DIV/0!</v>
          </cell>
        </row>
        <row r="93">
          <cell r="A93" t="str">
            <v>IEQ13E.JU1</v>
          </cell>
          <cell r="B93"/>
          <cell r="I93" t="e">
            <v>#DIV/0!</v>
          </cell>
        </row>
        <row r="94">
          <cell r="A94" t="str">
            <v>IEQ13EN.JU1</v>
          </cell>
          <cell r="B94"/>
          <cell r="I94" t="e">
            <v>#DIV/0!</v>
          </cell>
        </row>
        <row r="95">
          <cell r="A95" t="str">
            <v>IEQ13EU.JU1</v>
          </cell>
          <cell r="B95"/>
          <cell r="I95" t="e">
            <v>#DIV/0!</v>
          </cell>
        </row>
        <row r="96">
          <cell r="A96" t="str">
            <v>IEQ18E.KU1</v>
          </cell>
          <cell r="B96"/>
          <cell r="I96" t="e">
            <v>#DIV/0!</v>
          </cell>
        </row>
        <row r="97">
          <cell r="A97" t="str">
            <v>IEQ18EN.KU1</v>
          </cell>
          <cell r="B97"/>
          <cell r="I97" t="e">
            <v>#DIV/0!</v>
          </cell>
        </row>
        <row r="98">
          <cell r="A98" t="str">
            <v>IEQ18EU.KU1</v>
          </cell>
          <cell r="B98"/>
          <cell r="I98" t="e">
            <v>#DIV/0!</v>
          </cell>
        </row>
        <row r="99">
          <cell r="A99" t="str">
            <v>IEQ24E.KU1</v>
          </cell>
          <cell r="B99"/>
          <cell r="I99" t="e">
            <v>#DIV/0!</v>
          </cell>
        </row>
        <row r="100">
          <cell r="A100" t="str">
            <v>IEQ24EN.KU1</v>
          </cell>
          <cell r="B100"/>
          <cell r="I100" t="e">
            <v>#DIV/0!</v>
          </cell>
        </row>
        <row r="101">
          <cell r="A101" t="str">
            <v>IEQ24EU.KU1</v>
          </cell>
          <cell r="B101"/>
          <cell r="I101" t="e">
            <v>#DIV/0!</v>
          </cell>
        </row>
        <row r="102">
          <cell r="A102" t="str">
            <v>INR10E.JU1</v>
          </cell>
          <cell r="B102"/>
          <cell r="I102" t="e">
            <v>#DIV/0!</v>
          </cell>
        </row>
        <row r="103">
          <cell r="A103" t="str">
            <v>INR10EN.JU1</v>
          </cell>
          <cell r="B103"/>
          <cell r="I103" t="e">
            <v>#DIV/0!</v>
          </cell>
        </row>
        <row r="104">
          <cell r="A104" t="str">
            <v>INR10EU.JU1</v>
          </cell>
          <cell r="B104"/>
          <cell r="I104" t="e">
            <v>#DIV/0!</v>
          </cell>
        </row>
        <row r="105">
          <cell r="A105" t="str">
            <v>INR13E.JU1</v>
          </cell>
          <cell r="B105"/>
          <cell r="I105" t="e">
            <v>#DIV/0!</v>
          </cell>
        </row>
        <row r="106">
          <cell r="A106" t="str">
            <v>INR13EN.JU1</v>
          </cell>
          <cell r="B106"/>
          <cell r="I106" t="e">
            <v>#DIV/0!</v>
          </cell>
        </row>
        <row r="107">
          <cell r="A107" t="str">
            <v>INR13EU.JU1</v>
          </cell>
          <cell r="B107"/>
          <cell r="I107" t="e">
            <v>#DIV/0!</v>
          </cell>
        </row>
        <row r="108">
          <cell r="A108" t="str">
            <v>INR18E.KU1</v>
          </cell>
          <cell r="B108"/>
          <cell r="I108" t="e">
            <v>#DIV/0!</v>
          </cell>
        </row>
        <row r="109">
          <cell r="A109" t="str">
            <v>INR18EN.KU1</v>
          </cell>
          <cell r="B109"/>
          <cell r="I109" t="e">
            <v>#DIV/0!</v>
          </cell>
        </row>
        <row r="110">
          <cell r="A110" t="str">
            <v>INR18EU.KU1</v>
          </cell>
          <cell r="B110"/>
          <cell r="I110" t="e">
            <v>#DIV/0!</v>
          </cell>
        </row>
        <row r="111">
          <cell r="A111" t="str">
            <v>INR24E.KU1</v>
          </cell>
          <cell r="B111"/>
          <cell r="I111" t="e">
            <v>#DIV/0!</v>
          </cell>
        </row>
        <row r="112">
          <cell r="A112" t="str">
            <v>INR24EN.KU1</v>
          </cell>
          <cell r="B112"/>
          <cell r="I112" t="e">
            <v>#DIV/0!</v>
          </cell>
        </row>
        <row r="113">
          <cell r="A113" t="str">
            <v>INR24EU.KU1</v>
          </cell>
          <cell r="B113"/>
          <cell r="I113" t="e">
            <v>#DIV/0!</v>
          </cell>
        </row>
        <row r="114">
          <cell r="A114" t="str">
            <v>SAQ11AN.S11</v>
          </cell>
          <cell r="B114">
            <v>7</v>
          </cell>
          <cell r="I114">
            <v>476.32000000000005</v>
          </cell>
        </row>
        <row r="115">
          <cell r="A115" t="str">
            <v>SAQ11AU.S11</v>
          </cell>
          <cell r="B115">
            <v>7</v>
          </cell>
          <cell r="I115">
            <v>714.48142857142852</v>
          </cell>
        </row>
        <row r="116">
          <cell r="A116" t="str">
            <v>SAQ13AN.S11</v>
          </cell>
          <cell r="B116">
            <v>34</v>
          </cell>
          <cell r="I116">
            <v>417.05470588235295</v>
          </cell>
        </row>
        <row r="117">
          <cell r="A117" t="str">
            <v>SAQ13AU.S11</v>
          </cell>
          <cell r="B117">
            <v>34</v>
          </cell>
          <cell r="I117">
            <v>625.58999999999992</v>
          </cell>
        </row>
        <row r="118">
          <cell r="A118" t="str">
            <v>SCQ18AN.S11</v>
          </cell>
          <cell r="B118">
            <v>8</v>
          </cell>
          <cell r="I118">
            <v>617.09624999999994</v>
          </cell>
        </row>
        <row r="119">
          <cell r="A119" t="str">
            <v>SCQ18AU.S11</v>
          </cell>
          <cell r="B119">
            <v>8</v>
          </cell>
          <cell r="I119">
            <v>925.66374999999994</v>
          </cell>
        </row>
        <row r="120">
          <cell r="A120" t="str">
            <v>SCQ24AN.S11</v>
          </cell>
          <cell r="B120">
            <v>18</v>
          </cell>
          <cell r="I120">
            <v>616.67833333333328</v>
          </cell>
        </row>
        <row r="121">
          <cell r="A121" t="str">
            <v>SCQ24AU.S11</v>
          </cell>
          <cell r="B121">
            <v>18</v>
          </cell>
          <cell r="I121">
            <v>925.0233333333332</v>
          </cell>
        </row>
        <row r="122">
          <cell r="A122" t="str">
            <v>SEQ11AN.S01</v>
          </cell>
          <cell r="B122">
            <v>23</v>
          </cell>
          <cell r="I122">
            <v>325.57391304347823</v>
          </cell>
        </row>
        <row r="123">
          <cell r="A123" t="str">
            <v>SEQ11AU.S01</v>
          </cell>
          <cell r="B123">
            <v>23</v>
          </cell>
          <cell r="I123">
            <v>488.36217391304348</v>
          </cell>
        </row>
        <row r="124">
          <cell r="A124" t="str">
            <v>SEQ13AN.S01</v>
          </cell>
          <cell r="B124">
            <v>29</v>
          </cell>
          <cell r="I124">
            <v>352.32172413793103</v>
          </cell>
        </row>
        <row r="125">
          <cell r="A125" t="str">
            <v>SEQ13AU.S01</v>
          </cell>
          <cell r="B125">
            <v>29</v>
          </cell>
          <cell r="I125">
            <v>528.48896551724135</v>
          </cell>
        </row>
        <row r="126">
          <cell r="A126" t="str">
            <v>SEQ18AN.S11</v>
          </cell>
          <cell r="B126">
            <v>24</v>
          </cell>
          <cell r="I126">
            <v>474.40250000000009</v>
          </cell>
        </row>
        <row r="127">
          <cell r="A127" t="str">
            <v>SEQ18AU.S11</v>
          </cell>
          <cell r="B127">
            <v>24</v>
          </cell>
          <cell r="I127">
            <v>711.61208333333332</v>
          </cell>
        </row>
        <row r="128">
          <cell r="A128" t="str">
            <v>SEQ24AN.S11</v>
          </cell>
          <cell r="B128">
            <v>20</v>
          </cell>
          <cell r="I128">
            <v>573.2835</v>
          </cell>
        </row>
        <row r="129">
          <cell r="A129" t="str">
            <v>SEQ24AU.S11</v>
          </cell>
          <cell r="B129">
            <v>20</v>
          </cell>
          <cell r="I129">
            <v>859.92800000000011</v>
          </cell>
        </row>
        <row r="130">
          <cell r="A130" t="str">
            <v>VM-DGT-EATH.CPS</v>
          </cell>
          <cell r="B130"/>
          <cell r="I130" t="e">
            <v>#DIV/0!</v>
          </cell>
        </row>
        <row r="131">
          <cell r="A131" t="str">
            <v>REF</v>
          </cell>
          <cell r="B131">
            <v>375</v>
          </cell>
          <cell r="I131">
            <v>1061.016053333333</v>
          </cell>
        </row>
        <row r="132">
          <cell r="A132" t="str">
            <v>GC-B257SQYL.AMCPLMT</v>
          </cell>
          <cell r="B132">
            <v>3</v>
          </cell>
          <cell r="I132">
            <v>926.75</v>
          </cell>
        </row>
        <row r="133">
          <cell r="A133" t="str">
            <v>GC-G24FFQKB.AEEPLM1</v>
          </cell>
          <cell r="B133">
            <v>31</v>
          </cell>
          <cell r="I133">
            <v>1621.726451612903</v>
          </cell>
        </row>
        <row r="134">
          <cell r="A134" t="str">
            <v>GC-J257SQZW.AEPPLMT</v>
          </cell>
          <cell r="B134">
            <v>14</v>
          </cell>
          <cell r="I134">
            <v>1503.0521428571428</v>
          </cell>
        </row>
        <row r="135">
          <cell r="A135" t="str">
            <v>GC-L24FFCBB.AEVPLM1</v>
          </cell>
          <cell r="B135"/>
          <cell r="I135" t="e">
            <v>#DIV/0!</v>
          </cell>
        </row>
        <row r="136">
          <cell r="A136" t="str">
            <v>GC-L257KQKW.AEPPLMT</v>
          </cell>
          <cell r="B136">
            <v>10</v>
          </cell>
          <cell r="I136">
            <v>1341.94</v>
          </cell>
        </row>
        <row r="137">
          <cell r="A137" t="str">
            <v>GC-L257SFZW.APYPLMT</v>
          </cell>
          <cell r="B137">
            <v>2</v>
          </cell>
          <cell r="I137">
            <v>1147.3399999999999</v>
          </cell>
        </row>
        <row r="138">
          <cell r="A138" t="str">
            <v>GC-V22FFQMB.AEPPLMT</v>
          </cell>
          <cell r="B138">
            <v>13</v>
          </cell>
          <cell r="I138">
            <v>1387.9399999999998</v>
          </cell>
        </row>
        <row r="139">
          <cell r="A139" t="str">
            <v>GC-V24FFCHB.AEVPLMT</v>
          </cell>
          <cell r="B139">
            <v>3</v>
          </cell>
          <cell r="I139">
            <v>1573.9766666666667</v>
          </cell>
        </row>
        <row r="140">
          <cell r="A140" t="str">
            <v>GC-X24FFCRB.AEVPLM1</v>
          </cell>
          <cell r="B140">
            <v>8</v>
          </cell>
          <cell r="I140">
            <v>1531.1912500000001</v>
          </cell>
        </row>
        <row r="141">
          <cell r="A141" t="str">
            <v>GC-X257CMEW.ATEPLMT</v>
          </cell>
          <cell r="B141">
            <v>77</v>
          </cell>
          <cell r="I141">
            <v>1544.3058441558442</v>
          </cell>
        </row>
        <row r="142">
          <cell r="A142" t="str">
            <v>GN-304SLBR.APYPLMT</v>
          </cell>
          <cell r="B142">
            <v>47</v>
          </cell>
          <cell r="I142">
            <v>222.90127659574469</v>
          </cell>
        </row>
        <row r="143">
          <cell r="A143" t="str">
            <v>GN-304SLBT.APZPLMT</v>
          </cell>
          <cell r="B143"/>
          <cell r="I143" t="e">
            <v>#DIV/0!</v>
          </cell>
        </row>
        <row r="144">
          <cell r="A144" t="str">
            <v>GN-F392PQAK.AEPPLM1</v>
          </cell>
          <cell r="B144">
            <v>31</v>
          </cell>
          <cell r="I144">
            <v>677.97483870967744</v>
          </cell>
        </row>
        <row r="145">
          <cell r="A145" t="str">
            <v>GN-F452PQAK.AEPPLMT</v>
          </cell>
          <cell r="B145">
            <v>52</v>
          </cell>
          <cell r="I145">
            <v>712.82596153846146</v>
          </cell>
        </row>
        <row r="146">
          <cell r="A146" t="str">
            <v>GN-V389FQEF.AEPPLMT</v>
          </cell>
          <cell r="B146">
            <v>36</v>
          </cell>
          <cell r="I146">
            <v>842.54472222222228</v>
          </cell>
        </row>
        <row r="147">
          <cell r="A147" t="str">
            <v>GV-B25FFGDB.ABMPLMT</v>
          </cell>
          <cell r="B147">
            <v>2</v>
          </cell>
          <cell r="I147">
            <v>1134.97</v>
          </cell>
        </row>
        <row r="148">
          <cell r="A148" t="str">
            <v>GV-K25FFGEB.ABMPLMT</v>
          </cell>
          <cell r="B148">
            <v>16</v>
          </cell>
          <cell r="I148">
            <v>1298.75</v>
          </cell>
        </row>
        <row r="149">
          <cell r="A149" t="str">
            <v>GV-V25FFGRB.ABMPLMT</v>
          </cell>
          <cell r="B149">
            <v>23</v>
          </cell>
          <cell r="I149">
            <v>1259.0673913043479</v>
          </cell>
        </row>
        <row r="150">
          <cell r="A150" t="str">
            <v>REF3FILTER2.AETC</v>
          </cell>
          <cell r="B150">
            <v>7</v>
          </cell>
          <cell r="I150">
            <v>165.23285714285717</v>
          </cell>
        </row>
        <row r="151">
          <cell r="A151" t="str">
            <v>VM-CNT-EATH.CPS</v>
          </cell>
          <cell r="B151"/>
          <cell r="I151" t="e">
            <v>#DIV/0!</v>
          </cell>
        </row>
        <row r="152">
          <cell r="A152" t="str">
            <v>SAC</v>
          </cell>
          <cell r="B152">
            <v>43</v>
          </cell>
          <cell r="I152">
            <v>439.76534883720939</v>
          </cell>
        </row>
        <row r="153">
          <cell r="A153" t="str">
            <v>PTAHMP0.ENCXCOM</v>
          </cell>
          <cell r="B153">
            <v>6</v>
          </cell>
          <cell r="I153">
            <v>253.26333333333332</v>
          </cell>
        </row>
        <row r="154">
          <cell r="A154" t="str">
            <v>PTAHTP0.ENCXCOM</v>
          </cell>
          <cell r="B154">
            <v>2</v>
          </cell>
          <cell r="I154">
            <v>381.31</v>
          </cell>
        </row>
        <row r="155">
          <cell r="A155" t="str">
            <v>PTAHYP0.ENCXGLO</v>
          </cell>
          <cell r="B155"/>
          <cell r="I155" t="e">
            <v>#DIV/0!</v>
          </cell>
        </row>
        <row r="156">
          <cell r="A156" t="str">
            <v>PT-MPGW0.ENCXCOM</v>
          </cell>
          <cell r="B156">
            <v>6</v>
          </cell>
          <cell r="I156">
            <v>153.785</v>
          </cell>
        </row>
        <row r="157">
          <cell r="A157" t="str">
            <v>PT-TPHG0.ENCXCOM</v>
          </cell>
          <cell r="B157">
            <v>1</v>
          </cell>
          <cell r="I157">
            <v>326.58</v>
          </cell>
        </row>
        <row r="158">
          <cell r="A158" t="str">
            <v>PT-UPHG0.ENCXCOM</v>
          </cell>
          <cell r="B158">
            <v>1</v>
          </cell>
          <cell r="I158">
            <v>286.36</v>
          </cell>
        </row>
        <row r="159">
          <cell r="A159" t="str">
            <v>PWFMDD200.ENCXLEU</v>
          </cell>
          <cell r="B159">
            <v>9</v>
          </cell>
          <cell r="I159">
            <v>84.314444444444447</v>
          </cell>
        </row>
        <row r="160">
          <cell r="A160" t="str">
            <v>VM-DMT-EATH.CPS</v>
          </cell>
          <cell r="B160"/>
          <cell r="I160" t="e">
            <v>#DIV/0!</v>
          </cell>
        </row>
        <row r="161">
          <cell r="A161" t="str">
            <v>ZTNQ12GULA0.ENWHATH</v>
          </cell>
          <cell r="B161">
            <v>1</v>
          </cell>
          <cell r="I161">
            <v>334.08</v>
          </cell>
        </row>
        <row r="162">
          <cell r="A162" t="str">
            <v>ZTNQ18GPLE0.ENWHATH</v>
          </cell>
          <cell r="B162">
            <v>1</v>
          </cell>
          <cell r="I162">
            <v>215.02</v>
          </cell>
        </row>
        <row r="163">
          <cell r="A163" t="str">
            <v>ZTNQ18GTLA0.ENWHATH</v>
          </cell>
          <cell r="B163"/>
          <cell r="I163" t="e">
            <v>#DIV/0!</v>
          </cell>
        </row>
        <row r="164">
          <cell r="A164" t="str">
            <v>ZTNQ24GPLA0.ENWHATH</v>
          </cell>
          <cell r="B164">
            <v>3</v>
          </cell>
          <cell r="I164">
            <v>657.35</v>
          </cell>
        </row>
        <row r="165">
          <cell r="A165" t="str">
            <v>ZTNQ24GTLA0.ENWHATH</v>
          </cell>
          <cell r="B165">
            <v>1</v>
          </cell>
          <cell r="I165">
            <v>449.36</v>
          </cell>
        </row>
        <row r="166">
          <cell r="A166" t="str">
            <v>ZTNQ36GNLA0.ENWHATH</v>
          </cell>
          <cell r="B166">
            <v>2</v>
          </cell>
          <cell r="I166">
            <v>879.12</v>
          </cell>
        </row>
        <row r="167">
          <cell r="A167" t="str">
            <v>ZTNQ36GYLA0.ENWBATH</v>
          </cell>
          <cell r="B167"/>
          <cell r="I167" t="e">
            <v>#DIV/0!</v>
          </cell>
        </row>
        <row r="168">
          <cell r="A168" t="str">
            <v>ZTNQ48GMLA0.ENWHATH</v>
          </cell>
          <cell r="B168"/>
          <cell r="I168" t="e">
            <v>#DIV/0!</v>
          </cell>
        </row>
        <row r="169">
          <cell r="A169" t="str">
            <v>ZTNQ48GYLA0.ENWBATH</v>
          </cell>
          <cell r="B169"/>
          <cell r="I169" t="e">
            <v>#DIV/0!</v>
          </cell>
        </row>
        <row r="170">
          <cell r="A170" t="str">
            <v>ZTUQ12GULA0.EWGHATH</v>
          </cell>
          <cell r="B170">
            <v>1</v>
          </cell>
          <cell r="I170">
            <v>509.08</v>
          </cell>
        </row>
        <row r="171">
          <cell r="A171" t="str">
            <v>ZTUQ18GPLE0.EWGHATH</v>
          </cell>
          <cell r="B171">
            <v>1</v>
          </cell>
          <cell r="I171">
            <v>326.24</v>
          </cell>
        </row>
        <row r="172">
          <cell r="A172" t="str">
            <v>ZTUQ18GTLA0.EWGHATH</v>
          </cell>
          <cell r="B172"/>
          <cell r="I172" t="e">
            <v>#DIV/0!</v>
          </cell>
        </row>
        <row r="173">
          <cell r="A173" t="str">
            <v>ZTUQ24GPLA0.EWGHATH</v>
          </cell>
          <cell r="B173">
            <v>3</v>
          </cell>
          <cell r="I173">
            <v>986.02</v>
          </cell>
        </row>
        <row r="174">
          <cell r="A174" t="str">
            <v>ZTUQ24GTLA0.EWGHATH</v>
          </cell>
          <cell r="B174">
            <v>1</v>
          </cell>
          <cell r="I174">
            <v>674.05</v>
          </cell>
        </row>
        <row r="175">
          <cell r="A175" t="str">
            <v>ZTUQ36GNLA0.EWGHATH</v>
          </cell>
          <cell r="B175">
            <v>2</v>
          </cell>
          <cell r="I175">
            <v>1318.6849999999999</v>
          </cell>
        </row>
        <row r="176">
          <cell r="A176" t="str">
            <v>ZTUQ36GYLA0.EWGHATH</v>
          </cell>
          <cell r="B176"/>
          <cell r="I176" t="e">
            <v>#DIV/0!</v>
          </cell>
        </row>
        <row r="177">
          <cell r="A177" t="str">
            <v>ZTUQ48GMLA0.EWGHATH</v>
          </cell>
          <cell r="B177"/>
          <cell r="I177" t="e">
            <v>#DIV/0!</v>
          </cell>
        </row>
        <row r="178">
          <cell r="A178" t="str">
            <v>ZTUQ48GYLA0.EWGHATH</v>
          </cell>
          <cell r="B178"/>
          <cell r="I178" t="e">
            <v>#DIV/0!</v>
          </cell>
        </row>
        <row r="179">
          <cell r="A179" t="str">
            <v>ZVNQ18GM1E0.ENWTATH</v>
          </cell>
          <cell r="B179"/>
          <cell r="I179" t="e">
            <v>#DIV/0!</v>
          </cell>
        </row>
        <row r="180">
          <cell r="A180" t="str">
            <v>ZVNQ24GM1E0.ENWTATH</v>
          </cell>
          <cell r="B180"/>
          <cell r="I180" t="e">
            <v>#DIV/0!</v>
          </cell>
        </row>
        <row r="181">
          <cell r="A181" t="str">
            <v>ZVNQ36GM2E0.ENWTATH</v>
          </cell>
          <cell r="B181">
            <v>1</v>
          </cell>
          <cell r="I181">
            <v>793.84</v>
          </cell>
        </row>
        <row r="182">
          <cell r="A182" t="str">
            <v>ZVUQ18GM1E0.EWGHATH</v>
          </cell>
          <cell r="B182"/>
          <cell r="I182" t="e">
            <v>#DIV/0!</v>
          </cell>
        </row>
        <row r="183">
          <cell r="A183" t="str">
            <v>ZVUQ24GM1E0.EWGHATH</v>
          </cell>
          <cell r="B183"/>
          <cell r="I183" t="e">
            <v>#DIV/0!</v>
          </cell>
        </row>
        <row r="184">
          <cell r="A184" t="str">
            <v>ZVUQ36GM2E0.EWGHATH</v>
          </cell>
          <cell r="B184">
            <v>1</v>
          </cell>
          <cell r="I184">
            <v>1211.67</v>
          </cell>
        </row>
        <row r="185">
          <cell r="A185" t="str">
            <v>VCC BD</v>
          </cell>
          <cell r="B185">
            <v>119</v>
          </cell>
          <cell r="I185">
            <v>789.18966386554632</v>
          </cell>
        </row>
        <row r="186">
          <cell r="A186" t="str">
            <v>A9T-CORE.DCGPETH</v>
          </cell>
          <cell r="B186">
            <v>7</v>
          </cell>
          <cell r="I186">
            <v>737.94857142857131</v>
          </cell>
        </row>
        <row r="187">
          <cell r="A187" t="str">
            <v>A9T-LITE.DCGPETH</v>
          </cell>
          <cell r="B187">
            <v>2</v>
          </cell>
          <cell r="I187">
            <v>531.45500000000004</v>
          </cell>
        </row>
        <row r="188">
          <cell r="A188" t="str">
            <v>A9T-ULTRA.DCBPETH</v>
          </cell>
          <cell r="B188">
            <v>110</v>
          </cell>
          <cell r="I188">
            <v>779.04845454545455</v>
          </cell>
        </row>
        <row r="189">
          <cell r="A189" t="str">
            <v>A9T-ULTRA.ECBPETH</v>
          </cell>
          <cell r="B189"/>
          <cell r="I189" t="e">
            <v>#DIV/0!</v>
          </cell>
        </row>
        <row r="190">
          <cell r="A190" t="str">
            <v>VM-DVT-EATH.CPS</v>
          </cell>
          <cell r="B190"/>
          <cell r="I190" t="e">
            <v>#DIV/0!</v>
          </cell>
        </row>
        <row r="191">
          <cell r="A191" t="str">
            <v>W/M</v>
          </cell>
          <cell r="B191">
            <v>582</v>
          </cell>
          <cell r="I191">
            <v>1558.6646735395186</v>
          </cell>
        </row>
        <row r="192">
          <cell r="A192" t="str">
            <v>F2520RNTB.AEBPETH</v>
          </cell>
          <cell r="B192">
            <v>85</v>
          </cell>
          <cell r="I192">
            <v>1145.0447058823529</v>
          </cell>
        </row>
        <row r="193">
          <cell r="A193" t="str">
            <v>FV1409H4W.ABWPETH</v>
          </cell>
          <cell r="B193">
            <v>3</v>
          </cell>
          <cell r="I193">
            <v>538.86</v>
          </cell>
        </row>
        <row r="194">
          <cell r="A194" t="str">
            <v>FV1413H4M.AMBPETH</v>
          </cell>
          <cell r="B194">
            <v>30</v>
          </cell>
          <cell r="I194">
            <v>1029.2506666666666</v>
          </cell>
        </row>
        <row r="195">
          <cell r="A195" t="str">
            <v>FV1413S4M.AMBPETH</v>
          </cell>
          <cell r="B195">
            <v>64</v>
          </cell>
          <cell r="I195">
            <v>843.24015625000004</v>
          </cell>
        </row>
        <row r="196">
          <cell r="A196" t="str">
            <v>RV10VHP4B.BMBPETH</v>
          </cell>
          <cell r="B196">
            <v>63</v>
          </cell>
          <cell r="I196">
            <v>1059.3011111111111</v>
          </cell>
        </row>
        <row r="197">
          <cell r="A197" t="str">
            <v>S3MFC.ALBPETH</v>
          </cell>
          <cell r="B197">
            <v>8</v>
          </cell>
          <cell r="I197">
            <v>1099.2562500000001</v>
          </cell>
        </row>
        <row r="198">
          <cell r="A198" t="str">
            <v>S5GOC.ALGPETH</v>
          </cell>
          <cell r="B198">
            <v>1</v>
          </cell>
          <cell r="I198">
            <v>2039.94</v>
          </cell>
        </row>
        <row r="199">
          <cell r="A199" t="str">
            <v>TV2723SV9B.ABMPETH</v>
          </cell>
          <cell r="B199"/>
          <cell r="I199" t="e">
            <v>#DIV/0!</v>
          </cell>
        </row>
        <row r="200">
          <cell r="A200" t="str">
            <v>TV2723SV9J.APBPETH</v>
          </cell>
          <cell r="B200"/>
          <cell r="I200" t="e">
            <v>#DIV/0!</v>
          </cell>
        </row>
        <row r="201">
          <cell r="A201" t="str">
            <v>TV2725SV9J.APBPETH</v>
          </cell>
          <cell r="B201"/>
          <cell r="I201" t="e">
            <v>#DIV/0!</v>
          </cell>
        </row>
        <row r="202">
          <cell r="A202" t="str">
            <v>TX2723ST5J.APBPETH</v>
          </cell>
          <cell r="B202">
            <v>34</v>
          </cell>
          <cell r="I202">
            <v>745.52999999999986</v>
          </cell>
        </row>
        <row r="203">
          <cell r="A203" t="str">
            <v>TX2725AT9G.AEGPETH</v>
          </cell>
          <cell r="B203">
            <v>31</v>
          </cell>
          <cell r="I203">
            <v>906.97548387096776</v>
          </cell>
        </row>
        <row r="204">
          <cell r="A204" t="str">
            <v>VM-DFT-EATH.CPS</v>
          </cell>
          <cell r="B204"/>
          <cell r="I204" t="e">
            <v>#DIV/0!</v>
          </cell>
        </row>
        <row r="205">
          <cell r="A205" t="str">
            <v>WT1410NHEG.ABGPETH</v>
          </cell>
          <cell r="B205"/>
          <cell r="I205" t="e">
            <v>#DIV/0!</v>
          </cell>
        </row>
        <row r="206">
          <cell r="A206" t="str">
            <v>WT1410NHEG.ABGPPTH</v>
          </cell>
          <cell r="B206">
            <v>95</v>
          </cell>
          <cell r="I206">
            <v>1918.9357894736841</v>
          </cell>
        </row>
        <row r="207">
          <cell r="A207" t="str">
            <v>WT1410NHEN.ABNPPTH</v>
          </cell>
          <cell r="B207">
            <v>19</v>
          </cell>
          <cell r="I207">
            <v>1837.0721052631579</v>
          </cell>
        </row>
        <row r="208">
          <cell r="A208" t="str">
            <v>WT1410NHEN.ANBPPTH</v>
          </cell>
          <cell r="B208"/>
          <cell r="I208" t="e">
            <v>#DIV/0!</v>
          </cell>
        </row>
        <row r="209">
          <cell r="A209" t="str">
            <v>WT2116SHEG.ABGPETH</v>
          </cell>
          <cell r="B209">
            <v>149</v>
          </cell>
          <cell r="I209">
            <v>2492.7183221476512</v>
          </cell>
        </row>
        <row r="210">
          <cell r="A210" t="str">
            <v>Water Care</v>
          </cell>
          <cell r="B210">
            <v>263</v>
          </cell>
          <cell r="I210">
            <v>792.47836501901145</v>
          </cell>
        </row>
        <row r="211">
          <cell r="A211" t="str">
            <v>VM-CWT-EATH.CPS</v>
          </cell>
          <cell r="B211"/>
          <cell r="I211" t="e">
            <v>#DIV/0!</v>
          </cell>
        </row>
        <row r="212">
          <cell r="A212" t="str">
            <v>WD110MN.ABGPLMT</v>
          </cell>
          <cell r="B212">
            <v>25</v>
          </cell>
          <cell r="I212">
            <v>603.56960000000004</v>
          </cell>
        </row>
        <row r="213">
          <cell r="A213" t="str">
            <v>WD516AN.ACNPLMT</v>
          </cell>
          <cell r="B213">
            <v>32</v>
          </cell>
          <cell r="I213">
            <v>834.71812499999999</v>
          </cell>
        </row>
        <row r="214">
          <cell r="A214" t="str">
            <v>WD516AN.AEWPLMT</v>
          </cell>
          <cell r="B214">
            <v>18</v>
          </cell>
          <cell r="I214">
            <v>807.28666666666663</v>
          </cell>
        </row>
        <row r="215">
          <cell r="A215" t="str">
            <v>WD516AN.ASLPLMT</v>
          </cell>
          <cell r="B215">
            <v>29</v>
          </cell>
          <cell r="I215">
            <v>834.61551724137928</v>
          </cell>
        </row>
        <row r="216">
          <cell r="A216" t="str">
            <v>WD518AN.ABGPLMT</v>
          </cell>
          <cell r="B216">
            <v>41</v>
          </cell>
          <cell r="I216">
            <v>826.03317073170729</v>
          </cell>
        </row>
        <row r="217">
          <cell r="A217" t="str">
            <v>WD518AN.ACGPLMT</v>
          </cell>
          <cell r="B217">
            <v>37</v>
          </cell>
          <cell r="I217">
            <v>820.00459459459466</v>
          </cell>
        </row>
        <row r="218">
          <cell r="A218" t="str">
            <v>WD518AN.AWHPLMT</v>
          </cell>
          <cell r="B218">
            <v>61</v>
          </cell>
          <cell r="I218">
            <v>811.80770491803275</v>
          </cell>
        </row>
        <row r="219">
          <cell r="A219" t="str">
            <v>WS510SN.AWHPLMT</v>
          </cell>
          <cell r="B219">
            <v>20</v>
          </cell>
          <cell r="I219">
            <v>699.90649999999994</v>
          </cell>
        </row>
        <row r="220">
          <cell r="A220" t="str">
            <v>총합계</v>
          </cell>
          <cell r="B220">
            <v>2787</v>
          </cell>
          <cell r="I220">
            <v>917.55054538930824</v>
          </cell>
        </row>
      </sheetData>
      <sheetData sheetId="1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y Produc"/>
      <sheetName val="Asia"/>
      <sheetName val="Plan"/>
      <sheetName val="LTI S&amp;OP HE"/>
      <sheetName val="LTI S&amp;OP HA"/>
      <sheetName val="Sum"/>
      <sheetName val="B_LTI"/>
      <sheetName val="▶▶"/>
      <sheetName val="PTT (Total)"/>
      <sheetName val="PTT (RAC)"/>
      <sheetName val="PTT (LTV)"/>
      <sheetName val="PTT (WM)"/>
      <sheetName val="PTT (MNT)"/>
      <sheetName val="PTT (MNT Signage)"/>
      <sheetName val="Check demand"/>
      <sheetName val="▶"/>
      <sheetName val="Master"/>
      <sheetName val="AMT"/>
      <sheetName val="QTY"/>
      <sheetName val="Monthly Detail"/>
      <sheetName val="Daily Detail"/>
      <sheetName val="raw data (AMT)"/>
      <sheetName val="LTI + Potential"/>
      <sheetName val="Sales order"/>
      <sheetName val="WM"/>
      <sheetName val="REF"/>
      <sheetName val="VCC"/>
      <sheetName val="Air care"/>
      <sheetName val="RAC"/>
      <sheetName val="SAC"/>
      <sheetName val="LTV"/>
      <sheetName val="AV"/>
      <sheetName val="MNT"/>
    </sheetNames>
    <sheetDataSet>
      <sheetData sheetId="0"/>
      <sheetData sheetId="1"/>
      <sheetData sheetId="2"/>
      <sheetData sheetId="3"/>
      <sheetData sheetId="4"/>
      <sheetData sheetId="5">
        <row r="3">
          <cell r="AM3"/>
        </row>
        <row r="4">
          <cell r="AM4"/>
        </row>
        <row r="5">
          <cell r="G5"/>
          <cell r="AM5"/>
        </row>
        <row r="6">
          <cell r="G6"/>
          <cell r="AM6" t="str">
            <v>Total</v>
          </cell>
        </row>
        <row r="7">
          <cell r="G7"/>
          <cell r="AM7">
            <v>242.60653814870039</v>
          </cell>
        </row>
        <row r="8">
          <cell r="G8"/>
          <cell r="AM8">
            <v>40.632414556622209</v>
          </cell>
        </row>
        <row r="9">
          <cell r="G9"/>
          <cell r="AM9">
            <v>579.58248109700401</v>
          </cell>
        </row>
        <row r="10">
          <cell r="G10"/>
          <cell r="AM10">
            <v>9.0389999999999997</v>
          </cell>
        </row>
        <row r="11">
          <cell r="G11"/>
          <cell r="AM11">
            <v>67.406479313736668</v>
          </cell>
        </row>
        <row r="12">
          <cell r="G12"/>
          <cell r="AM12">
            <v>207.62893246983444</v>
          </cell>
        </row>
        <row r="13">
          <cell r="G13"/>
          <cell r="AM13">
            <v>119.44400086580087</v>
          </cell>
        </row>
        <row r="14">
          <cell r="G14"/>
          <cell r="AM14">
            <v>151.77600000000001</v>
          </cell>
        </row>
        <row r="15">
          <cell r="G15"/>
          <cell r="AM15">
            <v>77.90067629748529</v>
          </cell>
        </row>
        <row r="16">
          <cell r="G16"/>
          <cell r="AM16">
            <v>12.032090909090909</v>
          </cell>
        </row>
        <row r="17">
          <cell r="G17"/>
          <cell r="AM17">
            <v>0</v>
          </cell>
        </row>
        <row r="18">
          <cell r="G18"/>
          <cell r="AM18">
            <v>58.140999999999998</v>
          </cell>
        </row>
        <row r="19">
          <cell r="G19"/>
          <cell r="AM19">
            <v>13.78</v>
          </cell>
        </row>
        <row r="20">
          <cell r="G20"/>
          <cell r="AM20">
            <v>1579.969613658275</v>
          </cell>
        </row>
        <row r="21">
          <cell r="G21"/>
          <cell r="AM21">
            <v>3846</v>
          </cell>
        </row>
        <row r="22">
          <cell r="G22"/>
          <cell r="AM22"/>
        </row>
        <row r="23">
          <cell r="G23"/>
          <cell r="AM23"/>
        </row>
        <row r="24">
          <cell r="G24" t="str">
            <v>Model</v>
          </cell>
          <cell r="AM24"/>
        </row>
        <row r="25">
          <cell r="G25"/>
          <cell r="AM25" t="str">
            <v>Total</v>
          </cell>
        </row>
        <row r="26">
          <cell r="G26"/>
          <cell r="AM26" t="str">
            <v>Total</v>
          </cell>
        </row>
        <row r="27">
          <cell r="G27" t="str">
            <v>GC-L24FFCBB.AEVPLM1</v>
          </cell>
          <cell r="AM27">
            <v>69</v>
          </cell>
        </row>
        <row r="28">
          <cell r="G28" t="str">
            <v>GC-X257EQBP.AEPPLMT</v>
          </cell>
          <cell r="AM28">
            <v>63</v>
          </cell>
        </row>
        <row r="29">
          <cell r="G29" t="str">
            <v>GV-B25FFGDB.ABMPLMT</v>
          </cell>
          <cell r="AM29">
            <v>79</v>
          </cell>
        </row>
        <row r="30">
          <cell r="G30" t="str">
            <v>GC-X24FFCRB.AEVPLM1</v>
          </cell>
          <cell r="AM30">
            <v>43</v>
          </cell>
        </row>
        <row r="31">
          <cell r="G31" t="str">
            <v>GV-V25FFGRB.ABMPLMT</v>
          </cell>
          <cell r="AM31">
            <v>22</v>
          </cell>
        </row>
        <row r="32">
          <cell r="G32" t="str">
            <v>GC-Q257CMFW.ATEPLMT</v>
          </cell>
          <cell r="AM32">
            <v>22</v>
          </cell>
        </row>
        <row r="33">
          <cell r="G33" t="str">
            <v>GC-G24FFQKB.AEEPLM1</v>
          </cell>
          <cell r="AM33">
            <v>14</v>
          </cell>
        </row>
        <row r="34">
          <cell r="G34" t="str">
            <v>GC-B47FMGAH.AMAPLMT</v>
          </cell>
          <cell r="AM34">
            <v>30</v>
          </cell>
        </row>
        <row r="35">
          <cell r="G35" t="str">
            <v>GC-V22FFQMB.AEPPLMT</v>
          </cell>
          <cell r="AM35">
            <v>16</v>
          </cell>
        </row>
        <row r="36">
          <cell r="G36" t="str">
            <v>GC-B257KGHW.ABMPLMT</v>
          </cell>
          <cell r="AM36">
            <v>8</v>
          </cell>
        </row>
        <row r="37">
          <cell r="G37" t="str">
            <v>GC-B155BQCF.ADVPLMT</v>
          </cell>
          <cell r="AM37">
            <v>0</v>
          </cell>
        </row>
        <row r="38">
          <cell r="G38">
            <v>0</v>
          </cell>
          <cell r="AM38"/>
        </row>
        <row r="39">
          <cell r="G39">
            <v>0</v>
          </cell>
          <cell r="AM39"/>
        </row>
        <row r="40">
          <cell r="G40">
            <v>0</v>
          </cell>
          <cell r="AM40"/>
        </row>
        <row r="41">
          <cell r="G41">
            <v>0</v>
          </cell>
          <cell r="AM41"/>
        </row>
        <row r="42">
          <cell r="G42">
            <v>0</v>
          </cell>
          <cell r="AM42"/>
        </row>
        <row r="43">
          <cell r="G43">
            <v>0</v>
          </cell>
          <cell r="AM43"/>
        </row>
        <row r="44">
          <cell r="G44">
            <v>0</v>
          </cell>
          <cell r="AM44"/>
        </row>
        <row r="45">
          <cell r="G45">
            <v>0</v>
          </cell>
          <cell r="AM45"/>
        </row>
        <row r="46">
          <cell r="G46">
            <v>0</v>
          </cell>
          <cell r="AM46"/>
        </row>
        <row r="47">
          <cell r="G47">
            <v>0</v>
          </cell>
          <cell r="AM47"/>
        </row>
        <row r="48">
          <cell r="G48">
            <v>0</v>
          </cell>
          <cell r="AM48"/>
        </row>
        <row r="49">
          <cell r="G49">
            <v>0</v>
          </cell>
          <cell r="AM49"/>
        </row>
        <row r="50">
          <cell r="G50">
            <v>0</v>
          </cell>
          <cell r="AM50"/>
        </row>
        <row r="51">
          <cell r="G51">
            <v>0</v>
          </cell>
          <cell r="AM51"/>
        </row>
        <row r="52">
          <cell r="G52">
            <v>0</v>
          </cell>
          <cell r="AM52"/>
        </row>
        <row r="53">
          <cell r="G53">
            <v>0</v>
          </cell>
          <cell r="AM53"/>
        </row>
        <row r="54">
          <cell r="G54">
            <v>0</v>
          </cell>
          <cell r="AM54"/>
        </row>
        <row r="55">
          <cell r="G55">
            <v>0</v>
          </cell>
          <cell r="AM55"/>
        </row>
        <row r="56">
          <cell r="G56">
            <v>0</v>
          </cell>
          <cell r="AM56"/>
        </row>
        <row r="57">
          <cell r="G57">
            <v>0</v>
          </cell>
          <cell r="AM57"/>
        </row>
        <row r="58">
          <cell r="G58">
            <v>0</v>
          </cell>
          <cell r="AM58"/>
        </row>
        <row r="59">
          <cell r="G59" t="str">
            <v>REF Total(AMT)</v>
          </cell>
          <cell r="AM59">
            <v>242.60653814870039</v>
          </cell>
        </row>
        <row r="60">
          <cell r="G60"/>
          <cell r="AM60">
            <v>0</v>
          </cell>
        </row>
        <row r="61">
          <cell r="G61"/>
          <cell r="AM61">
            <v>0</v>
          </cell>
        </row>
        <row r="62">
          <cell r="G62"/>
          <cell r="AM62" t="str">
            <v>Total</v>
          </cell>
        </row>
        <row r="63">
          <cell r="G63" t="str">
            <v>F2725SVRB.ABLPETH</v>
          </cell>
          <cell r="AM63">
            <v>314</v>
          </cell>
        </row>
        <row r="64">
          <cell r="G64" t="str">
            <v>FV1411H3M.AMBPETH</v>
          </cell>
          <cell r="AM64">
            <v>312</v>
          </cell>
        </row>
        <row r="65">
          <cell r="G65" t="str">
            <v>T2313NBTO.DNBPETH</v>
          </cell>
          <cell r="AM65">
            <v>741</v>
          </cell>
        </row>
        <row r="66">
          <cell r="G66" t="str">
            <v>FV1410S5WG1.ABWPETH</v>
          </cell>
          <cell r="AM66">
            <v>390</v>
          </cell>
        </row>
        <row r="67">
          <cell r="G67" t="str">
            <v>T2311NBTB.DBMPETH</v>
          </cell>
          <cell r="AM67">
            <v>648</v>
          </cell>
        </row>
        <row r="68">
          <cell r="G68" t="str">
            <v>WT1410NHEG.ABGPPTH</v>
          </cell>
          <cell r="AM68">
            <v>16</v>
          </cell>
        </row>
        <row r="69">
          <cell r="G69" t="str">
            <v>WD-BTWH.MEGA550</v>
          </cell>
          <cell r="AM69">
            <v>900</v>
          </cell>
        </row>
        <row r="70">
          <cell r="G70" t="str">
            <v>WD-BTBK.MEGA550</v>
          </cell>
          <cell r="AM70">
            <v>782</v>
          </cell>
        </row>
        <row r="71">
          <cell r="G71" t="str">
            <v>WT2116SHEG.ABGPETH</v>
          </cell>
          <cell r="AM71">
            <v>5</v>
          </cell>
        </row>
        <row r="72">
          <cell r="G72" t="str">
            <v>WT1410NHEN.ABNPQTH</v>
          </cell>
          <cell r="AM72">
            <v>4</v>
          </cell>
        </row>
        <row r="73">
          <cell r="G73" t="str">
            <v>WP-900G.DLGREML</v>
          </cell>
          <cell r="AM73">
            <v>57</v>
          </cell>
        </row>
        <row r="74">
          <cell r="G74" t="str">
            <v>FV1410H4W.ABWPETH</v>
          </cell>
          <cell r="AM74">
            <v>16</v>
          </cell>
        </row>
        <row r="75">
          <cell r="G75" t="str">
            <v>WT1410NHEN.ANBPPTH</v>
          </cell>
          <cell r="AM75">
            <v>4</v>
          </cell>
        </row>
        <row r="76">
          <cell r="G76" t="str">
            <v>T2515VBTM.ASFPETH</v>
          </cell>
          <cell r="AM76">
            <v>20</v>
          </cell>
        </row>
        <row r="77">
          <cell r="G77" t="str">
            <v>WT1410NHWW.ABWPQTH</v>
          </cell>
          <cell r="AM77">
            <v>5</v>
          </cell>
        </row>
        <row r="78">
          <cell r="G78" t="str">
            <v>T2312VSPB.DBMPETH</v>
          </cell>
          <cell r="AM78">
            <v>15</v>
          </cell>
        </row>
        <row r="79">
          <cell r="G79" t="str">
            <v>TV2519DV3B.ABMPETH</v>
          </cell>
          <cell r="AM79">
            <v>6</v>
          </cell>
        </row>
        <row r="80">
          <cell r="G80" t="str">
            <v>FB1209D5W.AGWPETH</v>
          </cell>
          <cell r="AM80">
            <v>4</v>
          </cell>
        </row>
        <row r="81">
          <cell r="G81" t="str">
            <v>F2515STGV.AESPETH</v>
          </cell>
          <cell r="AM81">
            <v>2</v>
          </cell>
        </row>
        <row r="82">
          <cell r="G82" t="str">
            <v>TV2723SV9B.ABMPETH</v>
          </cell>
          <cell r="AM82">
            <v>1</v>
          </cell>
        </row>
        <row r="83">
          <cell r="G83" t="str">
            <v>TX2522AT7G.AEGPETH</v>
          </cell>
          <cell r="AM83">
            <v>1</v>
          </cell>
        </row>
        <row r="84">
          <cell r="G84" t="str">
            <v>FB1208S5M.AMBPETH</v>
          </cell>
          <cell r="AM84">
            <v>1</v>
          </cell>
        </row>
        <row r="85">
          <cell r="G85" t="str">
            <v>TV2521DV7B.ABMPETH</v>
          </cell>
          <cell r="AM85">
            <v>1</v>
          </cell>
        </row>
        <row r="86">
          <cell r="G86" t="str">
            <v>T2515VBTB.ABMPETH</v>
          </cell>
          <cell r="AM86">
            <v>1</v>
          </cell>
        </row>
        <row r="87">
          <cell r="G87" t="str">
            <v>T2310VSPM.DSFPETH</v>
          </cell>
          <cell r="AM87">
            <v>1</v>
          </cell>
        </row>
        <row r="88">
          <cell r="G88" t="str">
            <v>TT15WAPG.DLGPETH</v>
          </cell>
          <cell r="AM88">
            <v>1</v>
          </cell>
        </row>
        <row r="89">
          <cell r="G89" t="str">
            <v>T2516VBTB.ABMPETH</v>
          </cell>
          <cell r="AM89">
            <v>0</v>
          </cell>
        </row>
        <row r="90">
          <cell r="G90">
            <v>0</v>
          </cell>
          <cell r="AM90"/>
        </row>
        <row r="91">
          <cell r="G91">
            <v>0</v>
          </cell>
          <cell r="AM91"/>
        </row>
        <row r="92">
          <cell r="G92">
            <v>0</v>
          </cell>
          <cell r="AM92"/>
        </row>
        <row r="93">
          <cell r="G93">
            <v>0</v>
          </cell>
          <cell r="AM93"/>
        </row>
        <row r="94">
          <cell r="G94">
            <v>0</v>
          </cell>
          <cell r="AM94"/>
        </row>
        <row r="95">
          <cell r="G95">
            <v>0</v>
          </cell>
          <cell r="AM95"/>
        </row>
        <row r="96">
          <cell r="G96">
            <v>0</v>
          </cell>
          <cell r="AM96"/>
        </row>
        <row r="97">
          <cell r="G97">
            <v>0</v>
          </cell>
          <cell r="AM97"/>
        </row>
        <row r="98">
          <cell r="G98">
            <v>0</v>
          </cell>
          <cell r="AM98"/>
        </row>
        <row r="99">
          <cell r="G99">
            <v>0</v>
          </cell>
          <cell r="AM99"/>
        </row>
        <row r="100">
          <cell r="G100">
            <v>0</v>
          </cell>
          <cell r="AM100"/>
        </row>
        <row r="101">
          <cell r="G101">
            <v>0</v>
          </cell>
          <cell r="AM101"/>
        </row>
        <row r="102">
          <cell r="G102">
            <v>0</v>
          </cell>
          <cell r="AM102"/>
        </row>
        <row r="103">
          <cell r="G103">
            <v>0</v>
          </cell>
          <cell r="AM103"/>
        </row>
        <row r="104">
          <cell r="G104">
            <v>0</v>
          </cell>
          <cell r="AM104"/>
        </row>
        <row r="105">
          <cell r="G105">
            <v>0</v>
          </cell>
          <cell r="AM105"/>
        </row>
        <row r="106">
          <cell r="G106">
            <v>0</v>
          </cell>
          <cell r="AM106"/>
        </row>
        <row r="107">
          <cell r="G107">
            <v>0</v>
          </cell>
          <cell r="AM107"/>
        </row>
        <row r="108">
          <cell r="G108">
            <v>0</v>
          </cell>
          <cell r="AM108"/>
        </row>
        <row r="109">
          <cell r="G109">
            <v>0</v>
          </cell>
          <cell r="AM109"/>
        </row>
        <row r="110">
          <cell r="G110">
            <v>0</v>
          </cell>
          <cell r="AM110"/>
        </row>
        <row r="111">
          <cell r="G111">
            <v>0</v>
          </cell>
          <cell r="AM111"/>
        </row>
        <row r="112">
          <cell r="G112">
            <v>0</v>
          </cell>
          <cell r="AM112"/>
        </row>
        <row r="113">
          <cell r="G113">
            <v>0</v>
          </cell>
          <cell r="AM113"/>
        </row>
        <row r="114">
          <cell r="G114">
            <v>0</v>
          </cell>
          <cell r="AM114"/>
        </row>
        <row r="115">
          <cell r="G115" t="str">
            <v>W/M Total(AMT)</v>
          </cell>
          <cell r="AM115">
            <v>579.58248109700401</v>
          </cell>
        </row>
        <row r="116">
          <cell r="G116"/>
          <cell r="AM116">
            <v>0</v>
          </cell>
        </row>
        <row r="117">
          <cell r="G117"/>
          <cell r="AM117">
            <v>0</v>
          </cell>
        </row>
        <row r="118">
          <cell r="G118"/>
          <cell r="AM118" t="str">
            <v>Total</v>
          </cell>
        </row>
        <row r="119">
          <cell r="G119" t="str">
            <v>A9T-LITE.DCGPETH</v>
          </cell>
          <cell r="AM119">
            <v>47</v>
          </cell>
        </row>
        <row r="120">
          <cell r="G120" t="str">
            <v>VC5417GHT.AVWPETH</v>
          </cell>
          <cell r="AM120">
            <v>49</v>
          </cell>
        </row>
        <row r="121">
          <cell r="G121" t="str">
            <v>A9-ACE.BCBPETH</v>
          </cell>
          <cell r="AM121">
            <v>0</v>
          </cell>
        </row>
        <row r="122">
          <cell r="G122">
            <v>0</v>
          </cell>
          <cell r="AM122"/>
        </row>
        <row r="123">
          <cell r="G123">
            <v>0</v>
          </cell>
          <cell r="AM123"/>
        </row>
        <row r="124">
          <cell r="G124">
            <v>0</v>
          </cell>
          <cell r="AM124"/>
        </row>
        <row r="125">
          <cell r="G125">
            <v>0</v>
          </cell>
          <cell r="AM125"/>
        </row>
        <row r="126">
          <cell r="G126">
            <v>0</v>
          </cell>
          <cell r="AM126"/>
        </row>
        <row r="127">
          <cell r="G127">
            <v>0</v>
          </cell>
          <cell r="AM127"/>
        </row>
        <row r="128">
          <cell r="G128">
            <v>0</v>
          </cell>
          <cell r="AM128"/>
        </row>
        <row r="129">
          <cell r="G129" t="str">
            <v>VCC BD Total(AMT)</v>
          </cell>
          <cell r="AM129">
            <v>9.0389999999999997</v>
          </cell>
        </row>
        <row r="130">
          <cell r="AM130">
            <v>0</v>
          </cell>
        </row>
        <row r="131">
          <cell r="AM131"/>
        </row>
        <row r="132">
          <cell r="G132"/>
          <cell r="AM132" t="str">
            <v>Total</v>
          </cell>
        </row>
        <row r="133">
          <cell r="G133" t="str">
            <v>AS35GGW10.ATH</v>
          </cell>
          <cell r="AM133">
            <v>1919</v>
          </cell>
        </row>
        <row r="134">
          <cell r="G134" t="str">
            <v>AS60GHWG0.ABAE</v>
          </cell>
          <cell r="AM134">
            <v>594</v>
          </cell>
        </row>
        <row r="135">
          <cell r="G135" t="str">
            <v>DD23GMWE1.ATH</v>
          </cell>
          <cell r="AM135">
            <v>119</v>
          </cell>
        </row>
        <row r="136">
          <cell r="G136" t="str">
            <v>AS55GGWX0.ABAE</v>
          </cell>
          <cell r="AM136">
            <v>7</v>
          </cell>
        </row>
        <row r="137">
          <cell r="G137" t="str">
            <v>PFSPNC01.ASTD</v>
          </cell>
          <cell r="AM137">
            <v>45</v>
          </cell>
        </row>
        <row r="138">
          <cell r="G138" t="str">
            <v>PDAQSC01.AHK</v>
          </cell>
          <cell r="AM138">
            <v>83</v>
          </cell>
        </row>
        <row r="139">
          <cell r="G139" t="str">
            <v>PFSDQC01.ATT</v>
          </cell>
          <cell r="AM139">
            <v>73</v>
          </cell>
        </row>
        <row r="140">
          <cell r="G140" t="str">
            <v>AS10GDBY0.ABAE</v>
          </cell>
          <cell r="AM140">
            <v>0</v>
          </cell>
        </row>
        <row r="141">
          <cell r="G141">
            <v>0</v>
          </cell>
          <cell r="AM141"/>
        </row>
        <row r="142">
          <cell r="G142">
            <v>0</v>
          </cell>
          <cell r="AM142"/>
        </row>
        <row r="143">
          <cell r="G143">
            <v>0</v>
          </cell>
          <cell r="AM143"/>
        </row>
        <row r="144">
          <cell r="G144" t="str">
            <v>Air Care Total(AMT)</v>
          </cell>
          <cell r="AM144">
            <v>207.62893246983444</v>
          </cell>
        </row>
        <row r="145">
          <cell r="G145"/>
          <cell r="AM145">
            <v>0</v>
          </cell>
        </row>
        <row r="146">
          <cell r="G146"/>
          <cell r="AM146">
            <v>0</v>
          </cell>
        </row>
        <row r="147">
          <cell r="G147"/>
          <cell r="AM147" t="str">
            <v>Total</v>
          </cell>
        </row>
        <row r="148">
          <cell r="G148" t="str">
            <v>SAQ11AU.S11</v>
          </cell>
          <cell r="AM148">
            <v>30</v>
          </cell>
        </row>
        <row r="149">
          <cell r="G149" t="str">
            <v>ISC18EU.TD2</v>
          </cell>
          <cell r="AM149">
            <v>43</v>
          </cell>
        </row>
        <row r="150">
          <cell r="G150" t="str">
            <v>ISC24EU.TD2</v>
          </cell>
          <cell r="AM150">
            <v>32</v>
          </cell>
        </row>
        <row r="151">
          <cell r="G151" t="str">
            <v>SEQ11AU.S01</v>
          </cell>
          <cell r="AM151">
            <v>38</v>
          </cell>
        </row>
        <row r="152">
          <cell r="G152" t="str">
            <v>ISC18EN.TD2</v>
          </cell>
          <cell r="AM152">
            <v>46</v>
          </cell>
        </row>
        <row r="153">
          <cell r="G153" t="str">
            <v>ISC10EU.TD2</v>
          </cell>
          <cell r="AM153">
            <v>45</v>
          </cell>
        </row>
        <row r="154">
          <cell r="G154" t="str">
            <v>SAQ11AN.S11</v>
          </cell>
          <cell r="AM154">
            <v>30</v>
          </cell>
        </row>
        <row r="155">
          <cell r="G155" t="str">
            <v>ISC24EN.TD2</v>
          </cell>
          <cell r="AM155">
            <v>32</v>
          </cell>
        </row>
        <row r="156">
          <cell r="G156" t="str">
            <v>ISC10EN.TD2</v>
          </cell>
          <cell r="AM156">
            <v>50</v>
          </cell>
        </row>
        <row r="157">
          <cell r="G157" t="str">
            <v>SEQ18AU.S11</v>
          </cell>
          <cell r="AM157">
            <v>17</v>
          </cell>
        </row>
        <row r="158">
          <cell r="G158" t="str">
            <v>SEQ11AN.S01</v>
          </cell>
          <cell r="AM158">
            <v>33</v>
          </cell>
        </row>
        <row r="159">
          <cell r="G159" t="str">
            <v>ICE13MU.JU1</v>
          </cell>
          <cell r="AM159">
            <v>16</v>
          </cell>
        </row>
        <row r="160">
          <cell r="G160" t="str">
            <v>ICE18MU.KU1</v>
          </cell>
          <cell r="AM160">
            <v>8</v>
          </cell>
        </row>
        <row r="161">
          <cell r="G161" t="str">
            <v>ISC13EU.TD2</v>
          </cell>
          <cell r="AM161">
            <v>19</v>
          </cell>
        </row>
        <row r="162">
          <cell r="G162" t="str">
            <v>ICE24MU.KU1</v>
          </cell>
          <cell r="AM162">
            <v>6</v>
          </cell>
        </row>
        <row r="163">
          <cell r="G163" t="str">
            <v>SEQ24AU.S11</v>
          </cell>
          <cell r="AM163">
            <v>6</v>
          </cell>
        </row>
        <row r="164">
          <cell r="G164" t="str">
            <v>ISC13EN.TD2</v>
          </cell>
          <cell r="AM164">
            <v>23</v>
          </cell>
        </row>
        <row r="165">
          <cell r="G165" t="str">
            <v>ICE13MN.JU1</v>
          </cell>
          <cell r="AM165">
            <v>15</v>
          </cell>
        </row>
        <row r="166">
          <cell r="G166" t="str">
            <v>ICQ24MU.KU1</v>
          </cell>
          <cell r="AM166">
            <v>4</v>
          </cell>
        </row>
        <row r="167">
          <cell r="G167" t="str">
            <v>INR10EU.JU1</v>
          </cell>
          <cell r="AM167">
            <v>6</v>
          </cell>
        </row>
        <row r="168">
          <cell r="G168" t="str">
            <v>ICE18MN.KU1</v>
          </cell>
          <cell r="AM168">
            <v>9</v>
          </cell>
        </row>
        <row r="169">
          <cell r="G169" t="str">
            <v>ICE24MN.KU1</v>
          </cell>
          <cell r="AM169">
            <v>6</v>
          </cell>
        </row>
        <row r="170">
          <cell r="G170" t="str">
            <v>INR10EN.JU1</v>
          </cell>
          <cell r="AM170">
            <v>6</v>
          </cell>
        </row>
        <row r="171">
          <cell r="G171" t="str">
            <v>INR18EU.KU1</v>
          </cell>
          <cell r="AM171">
            <v>2</v>
          </cell>
        </row>
        <row r="172">
          <cell r="G172" t="str">
            <v>ICE11MU.JU1</v>
          </cell>
          <cell r="AM172">
            <v>3</v>
          </cell>
        </row>
        <row r="173">
          <cell r="G173" t="str">
            <v>ICE24MU.KU2</v>
          </cell>
          <cell r="AM173">
            <v>2</v>
          </cell>
        </row>
        <row r="174">
          <cell r="G174" t="str">
            <v>ICQ24MN.KU1</v>
          </cell>
          <cell r="AM174">
            <v>4</v>
          </cell>
        </row>
        <row r="175">
          <cell r="G175" t="str">
            <v>IVY24BU.KU1</v>
          </cell>
          <cell r="AM175">
            <v>2</v>
          </cell>
        </row>
        <row r="176">
          <cell r="G176" t="str">
            <v>IVY18BU.KU1</v>
          </cell>
          <cell r="AM176">
            <v>2</v>
          </cell>
        </row>
        <row r="177">
          <cell r="G177" t="str">
            <v>ICE11MN.JU1</v>
          </cell>
          <cell r="AM177">
            <v>4</v>
          </cell>
        </row>
        <row r="178">
          <cell r="G178" t="str">
            <v>IKR24MU.KU1</v>
          </cell>
          <cell r="AM178">
            <v>1</v>
          </cell>
        </row>
        <row r="179">
          <cell r="G179" t="str">
            <v>IVY13BU.JU1</v>
          </cell>
          <cell r="AM179">
            <v>2</v>
          </cell>
        </row>
        <row r="180">
          <cell r="G180" t="str">
            <v>IVY11BU.JU1</v>
          </cell>
          <cell r="AM180">
            <v>2</v>
          </cell>
        </row>
        <row r="181">
          <cell r="G181" t="str">
            <v>IKR18MU.KU1</v>
          </cell>
          <cell r="AM181">
            <v>1</v>
          </cell>
        </row>
        <row r="182">
          <cell r="G182" t="str">
            <v>ICE24MN.KU2</v>
          </cell>
          <cell r="AM182">
            <v>2</v>
          </cell>
        </row>
        <row r="183">
          <cell r="G183" t="str">
            <v>IVY18BN.KU1</v>
          </cell>
          <cell r="AM183">
            <v>2</v>
          </cell>
        </row>
        <row r="184">
          <cell r="G184">
            <v>0</v>
          </cell>
          <cell r="AM184"/>
        </row>
        <row r="185">
          <cell r="G185" t="str">
            <v>IAQ13B1U.JA1</v>
          </cell>
          <cell r="AM185">
            <v>1</v>
          </cell>
        </row>
        <row r="186">
          <cell r="G186" t="str">
            <v>IEQ10EU.JU1</v>
          </cell>
          <cell r="AM186">
            <v>1</v>
          </cell>
        </row>
        <row r="187">
          <cell r="G187" t="str">
            <v>IVY11BN.JU1</v>
          </cell>
          <cell r="AM187">
            <v>2</v>
          </cell>
        </row>
        <row r="188">
          <cell r="G188">
            <v>0</v>
          </cell>
          <cell r="AM188"/>
        </row>
        <row r="189">
          <cell r="G189" t="str">
            <v>IEQ18EN.KU1</v>
          </cell>
          <cell r="AM189">
            <v>1</v>
          </cell>
        </row>
        <row r="190">
          <cell r="G190" t="str">
            <v>ICQ18MN.KU1</v>
          </cell>
          <cell r="AM190">
            <v>1</v>
          </cell>
        </row>
        <row r="191">
          <cell r="G191" t="str">
            <v>INR18EN.KU1</v>
          </cell>
          <cell r="AM191">
            <v>1</v>
          </cell>
        </row>
        <row r="192">
          <cell r="G192" t="str">
            <v>IEQ10EN.JU1</v>
          </cell>
          <cell r="AM192">
            <v>1</v>
          </cell>
        </row>
        <row r="193">
          <cell r="G193" t="str">
            <v>IBY11AN.JU1</v>
          </cell>
          <cell r="AM193">
            <v>0</v>
          </cell>
        </row>
        <row r="194">
          <cell r="G194">
            <v>0</v>
          </cell>
          <cell r="AM194"/>
        </row>
        <row r="195">
          <cell r="G195">
            <v>0</v>
          </cell>
          <cell r="AM195"/>
        </row>
        <row r="196">
          <cell r="G196">
            <v>0</v>
          </cell>
          <cell r="AM196"/>
        </row>
        <row r="197">
          <cell r="G197">
            <v>0</v>
          </cell>
          <cell r="AM197"/>
        </row>
        <row r="198">
          <cell r="G198">
            <v>0</v>
          </cell>
          <cell r="AM198"/>
        </row>
        <row r="199">
          <cell r="G199">
            <v>0</v>
          </cell>
          <cell r="AM199"/>
        </row>
        <row r="200">
          <cell r="G200">
            <v>0</v>
          </cell>
          <cell r="AM200"/>
        </row>
        <row r="201">
          <cell r="G201">
            <v>0</v>
          </cell>
          <cell r="AM201"/>
        </row>
        <row r="202">
          <cell r="G202">
            <v>0</v>
          </cell>
          <cell r="AM202"/>
        </row>
        <row r="203">
          <cell r="G203">
            <v>0</v>
          </cell>
          <cell r="AM203"/>
        </row>
        <row r="204">
          <cell r="G204">
            <v>0</v>
          </cell>
          <cell r="AM204"/>
        </row>
        <row r="205">
          <cell r="G205">
            <v>0</v>
          </cell>
          <cell r="AM205"/>
        </row>
        <row r="206">
          <cell r="G206">
            <v>0</v>
          </cell>
          <cell r="AM206"/>
        </row>
        <row r="207">
          <cell r="G207">
            <v>0</v>
          </cell>
          <cell r="AM207"/>
        </row>
        <row r="208">
          <cell r="G208">
            <v>0</v>
          </cell>
          <cell r="AM208"/>
        </row>
        <row r="209">
          <cell r="G209">
            <v>0</v>
          </cell>
          <cell r="AM209"/>
        </row>
        <row r="210">
          <cell r="G210">
            <v>0</v>
          </cell>
          <cell r="AM210"/>
        </row>
        <row r="211">
          <cell r="G211">
            <v>0</v>
          </cell>
          <cell r="AM211"/>
        </row>
        <row r="212">
          <cell r="G212">
            <v>0</v>
          </cell>
          <cell r="AM212"/>
        </row>
        <row r="213">
          <cell r="G213">
            <v>0</v>
          </cell>
          <cell r="AM213"/>
        </row>
        <row r="214">
          <cell r="G214">
            <v>0</v>
          </cell>
          <cell r="AM214"/>
        </row>
        <row r="215">
          <cell r="G215">
            <v>0</v>
          </cell>
          <cell r="AM215"/>
        </row>
        <row r="216">
          <cell r="G216">
            <v>0</v>
          </cell>
          <cell r="AM216"/>
        </row>
        <row r="217">
          <cell r="G217">
            <v>0</v>
          </cell>
          <cell r="AM217"/>
        </row>
        <row r="218">
          <cell r="G218">
            <v>0</v>
          </cell>
          <cell r="AM218"/>
        </row>
        <row r="219">
          <cell r="G219">
            <v>0</v>
          </cell>
          <cell r="AM219"/>
        </row>
        <row r="220">
          <cell r="G220">
            <v>0</v>
          </cell>
          <cell r="AM220"/>
        </row>
        <row r="221">
          <cell r="G221">
            <v>0</v>
          </cell>
          <cell r="AM221"/>
        </row>
        <row r="222">
          <cell r="G222">
            <v>0</v>
          </cell>
          <cell r="AM222"/>
        </row>
        <row r="223">
          <cell r="G223" t="str">
            <v>RAC BD Total(AMT)</v>
          </cell>
          <cell r="AM223">
            <v>67.406479313736668</v>
          </cell>
        </row>
        <row r="224">
          <cell r="G224"/>
          <cell r="AM224">
            <v>0</v>
          </cell>
        </row>
        <row r="225">
          <cell r="G225"/>
          <cell r="AM225">
            <v>0</v>
          </cell>
        </row>
        <row r="226">
          <cell r="G226"/>
          <cell r="AM226" t="str">
            <v>Total</v>
          </cell>
        </row>
        <row r="227">
          <cell r="G227" t="str">
            <v>LZ-H150GBA5.ENWALEU</v>
          </cell>
          <cell r="AM227">
            <v>24</v>
          </cell>
        </row>
        <row r="228">
          <cell r="G228" t="str">
            <v>ARUV050GSD5.EWGBASA</v>
          </cell>
          <cell r="AM228">
            <v>23</v>
          </cell>
        </row>
        <row r="229">
          <cell r="G229" t="str">
            <v>PREMTBB01.ENCXLEU</v>
          </cell>
          <cell r="AM229">
            <v>282</v>
          </cell>
        </row>
        <row r="230">
          <cell r="G230" t="str">
            <v>ZTUQ36LNLA0.EWGHATH</v>
          </cell>
          <cell r="AM230">
            <v>27</v>
          </cell>
        </row>
        <row r="231">
          <cell r="G231" t="str">
            <v>ARNU36GV2A4.ANWTASE</v>
          </cell>
          <cell r="AM231">
            <v>24</v>
          </cell>
        </row>
        <row r="232">
          <cell r="G232" t="str">
            <v>APNQ100LFA0.EMWBASA</v>
          </cell>
          <cell r="AM232">
            <v>7</v>
          </cell>
        </row>
        <row r="233">
          <cell r="G233" t="str">
            <v>ARNU12GSJN4.AMBBASE</v>
          </cell>
          <cell r="AM233">
            <v>23</v>
          </cell>
        </row>
        <row r="234">
          <cell r="G234" t="str">
            <v>APUQ100LFA0.EMWBASA</v>
          </cell>
          <cell r="AM234">
            <v>3</v>
          </cell>
        </row>
        <row r="235">
          <cell r="G235" t="str">
            <v>ARNU24GTYA4.ENCBASE</v>
          </cell>
          <cell r="AM235">
            <v>9</v>
          </cell>
        </row>
        <row r="236">
          <cell r="G236" t="str">
            <v>ARUN040LSS5.EWGBASA</v>
          </cell>
          <cell r="AM236">
            <v>3</v>
          </cell>
        </row>
        <row r="237">
          <cell r="G237" t="str">
            <v>ARNU09GSJN4.AMBBASE</v>
          </cell>
          <cell r="AM237">
            <v>14</v>
          </cell>
        </row>
        <row r="238">
          <cell r="G238" t="str">
            <v>ZTNQ36GYLA0.ENWBATH</v>
          </cell>
          <cell r="AM238">
            <v>10</v>
          </cell>
        </row>
        <row r="239">
          <cell r="G239" t="str">
            <v>ZBUQ24GL3A0.EWGHATH</v>
          </cell>
          <cell r="AM239">
            <v>7</v>
          </cell>
        </row>
        <row r="240">
          <cell r="G240" t="str">
            <v>ZBUQ36LM3A0.EWGHATH</v>
          </cell>
          <cell r="AM240">
            <v>4</v>
          </cell>
        </row>
        <row r="241">
          <cell r="G241" t="str">
            <v>Z3UQ30GFD0.EWGHATH</v>
          </cell>
          <cell r="AM241">
            <v>5</v>
          </cell>
        </row>
        <row r="242">
          <cell r="G242" t="str">
            <v>ARUN050LSS5.EWGBASA</v>
          </cell>
          <cell r="AM242">
            <v>1</v>
          </cell>
        </row>
        <row r="243">
          <cell r="G243" t="str">
            <v>ARNU76GB8Z4.ANCSASE</v>
          </cell>
          <cell r="AM243">
            <v>3</v>
          </cell>
        </row>
        <row r="244">
          <cell r="G244" t="str">
            <v>ARNU12GTSA4.ANWBASE</v>
          </cell>
          <cell r="AM244">
            <v>5</v>
          </cell>
        </row>
        <row r="245">
          <cell r="G245" t="str">
            <v>PQRCHCA0QW.ENCXLEU</v>
          </cell>
          <cell r="AM245">
            <v>34</v>
          </cell>
        </row>
        <row r="246">
          <cell r="G246" t="str">
            <v>PTAHTP0.ENCXCOM</v>
          </cell>
          <cell r="AM246">
            <v>15</v>
          </cell>
        </row>
        <row r="247">
          <cell r="G247" t="str">
            <v>ZTUQ36GYLA0.EWGHATH</v>
          </cell>
          <cell r="AM247">
            <v>2</v>
          </cell>
        </row>
        <row r="248">
          <cell r="G248" t="str">
            <v>PAHCMS000.ENCSLEU</v>
          </cell>
          <cell r="AM248">
            <v>2</v>
          </cell>
        </row>
        <row r="249">
          <cell r="G249" t="str">
            <v>ARNU96GB8Z4.ANCSASE</v>
          </cell>
          <cell r="AM249">
            <v>1</v>
          </cell>
        </row>
        <row r="250">
          <cell r="G250" t="str">
            <v>Z3UQ24GFD1.EWGHATH</v>
          </cell>
          <cell r="AM250">
            <v>2</v>
          </cell>
        </row>
        <row r="251">
          <cell r="G251" t="str">
            <v>ARNU36GM2A4.ANCBASE</v>
          </cell>
          <cell r="AM251">
            <v>2</v>
          </cell>
        </row>
        <row r="252">
          <cell r="G252" t="str">
            <v>ZVNQ18GM1E0.ENWTATH</v>
          </cell>
          <cell r="AM252">
            <v>3</v>
          </cell>
        </row>
        <row r="253">
          <cell r="G253" t="str">
            <v>ZPUQ36LR5A0.EWGHATH</v>
          </cell>
          <cell r="AM253">
            <v>1</v>
          </cell>
        </row>
        <row r="254">
          <cell r="G254" t="str">
            <v>PRVT780.ENCXLEU</v>
          </cell>
          <cell r="AM254">
            <v>6</v>
          </cell>
        </row>
        <row r="255">
          <cell r="G255" t="str">
            <v>ZBUQ36GM3A0.EWGHATH</v>
          </cell>
          <cell r="AM255">
            <v>1</v>
          </cell>
        </row>
        <row r="256">
          <cell r="G256" t="str">
            <v>PDRYCB000.ENCXCOM</v>
          </cell>
          <cell r="AM256">
            <v>11</v>
          </cell>
        </row>
        <row r="257">
          <cell r="G257" t="str">
            <v>PRLK048A0.ENCXCOM</v>
          </cell>
          <cell r="AM257">
            <v>3</v>
          </cell>
        </row>
        <row r="258">
          <cell r="G258" t="str">
            <v>ZPUQ48GT3A0.EWGHATH</v>
          </cell>
          <cell r="AM258">
            <v>1</v>
          </cell>
        </row>
        <row r="259">
          <cell r="G259" t="str">
            <v>ARNU36GTYA4.ENCBASE</v>
          </cell>
          <cell r="AM259">
            <v>1</v>
          </cell>
        </row>
        <row r="260">
          <cell r="G260" t="str">
            <v>PBM13M3UA0.ENCXGLO</v>
          </cell>
          <cell r="AM260">
            <v>2</v>
          </cell>
        </row>
        <row r="261">
          <cell r="G261" t="str">
            <v>PPWRDB000.ENCXLEU</v>
          </cell>
          <cell r="AM261">
            <v>1</v>
          </cell>
        </row>
        <row r="262">
          <cell r="G262" t="str">
            <v>ARNU28GM2A4.ANCBASE</v>
          </cell>
          <cell r="AM262">
            <v>1</v>
          </cell>
        </row>
        <row r="263">
          <cell r="G263" t="str">
            <v>Z3UQ30GFD1.EWGHATH</v>
          </cell>
          <cell r="AM263">
            <v>1</v>
          </cell>
        </row>
        <row r="264">
          <cell r="G264" t="str">
            <v>AHFT100H1.ENCXLEU</v>
          </cell>
          <cell r="AM264">
            <v>3</v>
          </cell>
        </row>
        <row r="265">
          <cell r="G265" t="str">
            <v>ZMNQ24GL3A0.ENCHATH</v>
          </cell>
          <cell r="AM265">
            <v>1</v>
          </cell>
        </row>
        <row r="266">
          <cell r="G266" t="str">
            <v>PSNFP14A0.ENCXLEU</v>
          </cell>
          <cell r="AM266">
            <v>10</v>
          </cell>
        </row>
        <row r="267">
          <cell r="G267" t="str">
            <v>ZMNQ24GSKA0.ENWHATH</v>
          </cell>
          <cell r="AM267">
            <v>2</v>
          </cell>
        </row>
        <row r="268">
          <cell r="G268" t="str">
            <v>ZMNQ18GL2A0.ENCHATH</v>
          </cell>
          <cell r="AM268">
            <v>1</v>
          </cell>
        </row>
        <row r="269">
          <cell r="G269" t="str">
            <v>ZMNQ12GL2A0.ENCHATH</v>
          </cell>
          <cell r="AM269">
            <v>1</v>
          </cell>
        </row>
        <row r="270">
          <cell r="G270" t="str">
            <v>ARNU42GM2A4.ANCBASE</v>
          </cell>
          <cell r="AM270">
            <v>1</v>
          </cell>
        </row>
        <row r="271">
          <cell r="G271" t="str">
            <v>ZMNQ18GTTA0.ENWHATH</v>
          </cell>
          <cell r="AM271">
            <v>1</v>
          </cell>
        </row>
        <row r="272">
          <cell r="G272">
            <v>0</v>
          </cell>
          <cell r="AM272"/>
        </row>
        <row r="273">
          <cell r="G273" t="str">
            <v>ZMNQ09GTUA0.ENWHATH</v>
          </cell>
          <cell r="AM273">
            <v>1</v>
          </cell>
        </row>
        <row r="274">
          <cell r="G274" t="str">
            <v>ZMNQ12GTUA0.ENWHATH</v>
          </cell>
          <cell r="AM274">
            <v>1</v>
          </cell>
        </row>
        <row r="275">
          <cell r="G275" t="str">
            <v>PREMTBB11.ENCXLEU</v>
          </cell>
          <cell r="AM275">
            <v>2</v>
          </cell>
        </row>
        <row r="276">
          <cell r="G276" t="str">
            <v>PDRYCB320.ENCXCOM</v>
          </cell>
          <cell r="AM276">
            <v>1</v>
          </cell>
        </row>
        <row r="277">
          <cell r="G277" t="str">
            <v>PRVT120.ENCXLEU</v>
          </cell>
          <cell r="AM277">
            <v>1</v>
          </cell>
        </row>
        <row r="278">
          <cell r="G278" t="str">
            <v>Z5UQ48GFD1.EWGHATH</v>
          </cell>
          <cell r="AM278">
            <v>0</v>
          </cell>
        </row>
        <row r="279">
          <cell r="G279">
            <v>0</v>
          </cell>
          <cell r="AM279"/>
        </row>
        <row r="280">
          <cell r="G280">
            <v>0</v>
          </cell>
          <cell r="AM280"/>
        </row>
        <row r="281">
          <cell r="G281">
            <v>0</v>
          </cell>
          <cell r="AM281"/>
        </row>
        <row r="282">
          <cell r="G282" t="str">
            <v>SAC Total(AMT)</v>
          </cell>
          <cell r="AM282">
            <v>119.44400086580087</v>
          </cell>
        </row>
        <row r="283">
          <cell r="G283"/>
          <cell r="AM283">
            <v>0</v>
          </cell>
        </row>
        <row r="284">
          <cell r="G284"/>
          <cell r="AM284">
            <v>0</v>
          </cell>
        </row>
        <row r="285">
          <cell r="G285"/>
          <cell r="AM285" t="str">
            <v>Total</v>
          </cell>
        </row>
        <row r="286">
          <cell r="G286" t="str">
            <v>27LX6TDGA.ATM</v>
          </cell>
          <cell r="AM286">
            <v>138</v>
          </cell>
        </row>
        <row r="287">
          <cell r="G287" t="str">
            <v>OLED65B5PSA.ATM</v>
          </cell>
          <cell r="AM287">
            <v>40</v>
          </cell>
        </row>
        <row r="288">
          <cell r="G288" t="str">
            <v>43LM5750PTC.ATM</v>
          </cell>
          <cell r="AM288">
            <v>159</v>
          </cell>
        </row>
        <row r="289">
          <cell r="G289" t="str">
            <v>OLED55B5PSA.ATM</v>
          </cell>
          <cell r="AM289">
            <v>33</v>
          </cell>
        </row>
        <row r="290">
          <cell r="G290" t="str">
            <v>75NANO80SQA.ATM</v>
          </cell>
          <cell r="AM290">
            <v>2</v>
          </cell>
        </row>
        <row r="291">
          <cell r="G291" t="str">
            <v>86UA8450PSA.ATMQ</v>
          </cell>
          <cell r="AM291">
            <v>2</v>
          </cell>
        </row>
        <row r="292">
          <cell r="G292" t="str">
            <v>100QNED86AS.ATM</v>
          </cell>
          <cell r="AM292">
            <v>0</v>
          </cell>
        </row>
        <row r="293">
          <cell r="G293">
            <v>0</v>
          </cell>
          <cell r="AM293"/>
        </row>
        <row r="294">
          <cell r="G294">
            <v>0</v>
          </cell>
          <cell r="AM294"/>
        </row>
        <row r="295">
          <cell r="G295">
            <v>0</v>
          </cell>
          <cell r="AM295"/>
        </row>
        <row r="296">
          <cell r="G296">
            <v>0</v>
          </cell>
          <cell r="AM296"/>
        </row>
        <row r="297">
          <cell r="G297">
            <v>0</v>
          </cell>
          <cell r="AM297"/>
        </row>
        <row r="298">
          <cell r="G298">
            <v>0</v>
          </cell>
          <cell r="AM298"/>
        </row>
        <row r="299">
          <cell r="G299">
            <v>0</v>
          </cell>
          <cell r="AM299"/>
        </row>
        <row r="300">
          <cell r="G300">
            <v>0</v>
          </cell>
          <cell r="AM300"/>
        </row>
        <row r="301">
          <cell r="G301">
            <v>0</v>
          </cell>
          <cell r="AM301"/>
        </row>
        <row r="302">
          <cell r="G302">
            <v>0</v>
          </cell>
          <cell r="AM302"/>
        </row>
        <row r="303">
          <cell r="G303">
            <v>0</v>
          </cell>
          <cell r="AM303"/>
        </row>
        <row r="304">
          <cell r="G304">
            <v>0</v>
          </cell>
          <cell r="AM304"/>
        </row>
        <row r="305">
          <cell r="G305">
            <v>0</v>
          </cell>
          <cell r="AM305"/>
        </row>
        <row r="306">
          <cell r="G306">
            <v>0</v>
          </cell>
          <cell r="AM306"/>
        </row>
        <row r="307">
          <cell r="G307">
            <v>0</v>
          </cell>
          <cell r="AM307"/>
        </row>
        <row r="308">
          <cell r="G308">
            <v>0</v>
          </cell>
          <cell r="AM308"/>
        </row>
        <row r="309">
          <cell r="G309">
            <v>0</v>
          </cell>
          <cell r="AM309"/>
        </row>
        <row r="310">
          <cell r="G310">
            <v>0</v>
          </cell>
          <cell r="AM310"/>
        </row>
        <row r="311">
          <cell r="G311">
            <v>0</v>
          </cell>
          <cell r="AM311"/>
        </row>
        <row r="312">
          <cell r="G312">
            <v>0</v>
          </cell>
          <cell r="AM312"/>
        </row>
        <row r="313">
          <cell r="G313">
            <v>0</v>
          </cell>
          <cell r="AM313"/>
        </row>
        <row r="314">
          <cell r="G314">
            <v>0</v>
          </cell>
          <cell r="AM314"/>
        </row>
        <row r="315">
          <cell r="G315">
            <v>0</v>
          </cell>
          <cell r="AM315"/>
        </row>
        <row r="316">
          <cell r="G316">
            <v>0</v>
          </cell>
          <cell r="AM316"/>
        </row>
        <row r="317">
          <cell r="G317">
            <v>0</v>
          </cell>
          <cell r="AM317"/>
        </row>
        <row r="318">
          <cell r="G318">
            <v>0</v>
          </cell>
          <cell r="AM318"/>
        </row>
        <row r="319">
          <cell r="G319">
            <v>0</v>
          </cell>
          <cell r="AM319"/>
        </row>
        <row r="320">
          <cell r="G320">
            <v>0</v>
          </cell>
          <cell r="AM320"/>
        </row>
        <row r="321">
          <cell r="G321">
            <v>0</v>
          </cell>
          <cell r="AM321"/>
        </row>
        <row r="322">
          <cell r="G322">
            <v>0</v>
          </cell>
          <cell r="AM322"/>
        </row>
        <row r="323">
          <cell r="G323">
            <v>0</v>
          </cell>
          <cell r="AM323"/>
        </row>
        <row r="324">
          <cell r="G324">
            <v>0</v>
          </cell>
          <cell r="AM324"/>
        </row>
        <row r="325">
          <cell r="G325" t="str">
            <v>LTV Total(AMT)</v>
          </cell>
          <cell r="AM325">
            <v>151.77600000000001</v>
          </cell>
        </row>
        <row r="326">
          <cell r="G326"/>
          <cell r="AM326">
            <v>0</v>
          </cell>
        </row>
        <row r="327">
          <cell r="G327"/>
          <cell r="AM327">
            <v>0</v>
          </cell>
        </row>
        <row r="328">
          <cell r="G328"/>
          <cell r="AM328" t="str">
            <v>Total</v>
          </cell>
        </row>
        <row r="329">
          <cell r="G329" t="str">
            <v>S20A.CTHALLK</v>
          </cell>
          <cell r="AM329">
            <v>848</v>
          </cell>
        </row>
        <row r="330">
          <cell r="G330" t="str">
            <v>BOUNCE.ATHALBK</v>
          </cell>
          <cell r="AM330">
            <v>265</v>
          </cell>
        </row>
        <row r="331">
          <cell r="G331" t="str">
            <v>S95TR.DTHALLK</v>
          </cell>
          <cell r="AM331">
            <v>22</v>
          </cell>
        </row>
        <row r="332">
          <cell r="G332" t="str">
            <v>STAGE301.ATHALBK</v>
          </cell>
          <cell r="AM332">
            <v>39</v>
          </cell>
        </row>
        <row r="333">
          <cell r="G333" t="str">
            <v>GRAB.ATHALBK</v>
          </cell>
          <cell r="AM333">
            <v>23</v>
          </cell>
        </row>
        <row r="334">
          <cell r="G334" t="str">
            <v>S40T.DTHALLK</v>
          </cell>
          <cell r="AM334">
            <v>0</v>
          </cell>
        </row>
        <row r="335">
          <cell r="G335">
            <v>0</v>
          </cell>
          <cell r="AM335"/>
        </row>
        <row r="336">
          <cell r="G336">
            <v>0</v>
          </cell>
          <cell r="AM336"/>
        </row>
        <row r="337">
          <cell r="G337">
            <v>0</v>
          </cell>
          <cell r="AM337"/>
        </row>
        <row r="338">
          <cell r="G338" t="str">
            <v>Audio Total(AMT)</v>
          </cell>
          <cell r="AM338">
            <v>77.90067629748529</v>
          </cell>
        </row>
        <row r="339">
          <cell r="G339"/>
          <cell r="AM339">
            <v>0</v>
          </cell>
        </row>
        <row r="340">
          <cell r="G340"/>
          <cell r="AM340">
            <v>0</v>
          </cell>
        </row>
        <row r="341">
          <cell r="G341"/>
          <cell r="AM341" t="str">
            <v>Total</v>
          </cell>
        </row>
        <row r="342">
          <cell r="G342" t="str">
            <v>32GS95UV-B.ATM</v>
          </cell>
          <cell r="AM342">
            <v>7</v>
          </cell>
        </row>
        <row r="343">
          <cell r="G343" t="str">
            <v>32HQ713D-B.ATM</v>
          </cell>
          <cell r="AM343">
            <v>1</v>
          </cell>
        </row>
        <row r="344">
          <cell r="G344" t="str">
            <v>27G440A-B.ATM</v>
          </cell>
          <cell r="AM344">
            <v>10</v>
          </cell>
        </row>
        <row r="345">
          <cell r="G345" t="str">
            <v>27HJ712C-W.ATM</v>
          </cell>
          <cell r="AM345">
            <v>1</v>
          </cell>
        </row>
        <row r="346">
          <cell r="G346" t="str">
            <v>27G640A-B.ATMQ</v>
          </cell>
          <cell r="AM346">
            <v>2</v>
          </cell>
        </row>
        <row r="347">
          <cell r="G347" t="str">
            <v>32U731SA-W.ATM</v>
          </cell>
          <cell r="AM347">
            <v>1</v>
          </cell>
        </row>
        <row r="348">
          <cell r="G348" t="str">
            <v>27UP850K-W.ATM</v>
          </cell>
          <cell r="AM348">
            <v>1</v>
          </cell>
        </row>
        <row r="349">
          <cell r="G349" t="str">
            <v>17HQ701G-BP.ATM</v>
          </cell>
          <cell r="AM349">
            <v>0</v>
          </cell>
        </row>
        <row r="350">
          <cell r="G350">
            <v>0</v>
          </cell>
          <cell r="AM350"/>
        </row>
        <row r="351">
          <cell r="G351">
            <v>0</v>
          </cell>
          <cell r="AM351"/>
        </row>
        <row r="352">
          <cell r="G352">
            <v>0</v>
          </cell>
          <cell r="AM352"/>
        </row>
        <row r="353">
          <cell r="G353">
            <v>0</v>
          </cell>
          <cell r="AM353"/>
        </row>
        <row r="354">
          <cell r="G354">
            <v>0</v>
          </cell>
          <cell r="AM354"/>
        </row>
        <row r="355">
          <cell r="G355">
            <v>0</v>
          </cell>
          <cell r="AM355"/>
        </row>
        <row r="356">
          <cell r="G356">
            <v>0</v>
          </cell>
          <cell r="AM356"/>
        </row>
        <row r="357">
          <cell r="G357">
            <v>0</v>
          </cell>
          <cell r="AM357"/>
        </row>
        <row r="358">
          <cell r="G358">
            <v>0</v>
          </cell>
          <cell r="AM358"/>
        </row>
        <row r="359">
          <cell r="G359">
            <v>0</v>
          </cell>
          <cell r="AM359"/>
        </row>
        <row r="360">
          <cell r="G360">
            <v>0</v>
          </cell>
          <cell r="AM360"/>
        </row>
        <row r="361">
          <cell r="G361">
            <v>0</v>
          </cell>
          <cell r="AM361"/>
        </row>
        <row r="362">
          <cell r="G362">
            <v>0</v>
          </cell>
          <cell r="AM362"/>
        </row>
        <row r="363">
          <cell r="G363">
            <v>0</v>
          </cell>
          <cell r="AM363"/>
        </row>
        <row r="364">
          <cell r="G364">
            <v>0</v>
          </cell>
          <cell r="AM364"/>
        </row>
        <row r="365">
          <cell r="G365">
            <v>0</v>
          </cell>
          <cell r="AM365"/>
        </row>
        <row r="366">
          <cell r="G366">
            <v>0</v>
          </cell>
          <cell r="AM366"/>
        </row>
        <row r="367">
          <cell r="G367" t="str">
            <v>MNT Total(AMT)</v>
          </cell>
          <cell r="AM367">
            <v>12.032090909090909</v>
          </cell>
        </row>
        <row r="368">
          <cell r="G368"/>
          <cell r="AM368">
            <v>0</v>
          </cell>
        </row>
        <row r="369">
          <cell r="G369"/>
          <cell r="AM369">
            <v>0</v>
          </cell>
        </row>
        <row r="370">
          <cell r="G370"/>
          <cell r="AM370" t="str">
            <v>Total</v>
          </cell>
        </row>
        <row r="371">
          <cell r="G371" t="str">
            <v>49UM5N-H.ATM</v>
          </cell>
          <cell r="AM371">
            <v>97</v>
          </cell>
        </row>
        <row r="372">
          <cell r="G372" t="str">
            <v>105BM5P-B.AUAQ</v>
          </cell>
          <cell r="AM372">
            <v>1</v>
          </cell>
        </row>
        <row r="373">
          <cell r="G373" t="str">
            <v>43UH5N-M.ATM</v>
          </cell>
          <cell r="AM373">
            <v>15</v>
          </cell>
        </row>
        <row r="374">
          <cell r="G374" t="str">
            <v>65EP5G-B.ATM</v>
          </cell>
          <cell r="AM374">
            <v>1</v>
          </cell>
        </row>
        <row r="375">
          <cell r="G375" t="str">
            <v>50UL3Q-E.ATMQ</v>
          </cell>
          <cell r="AM375">
            <v>9</v>
          </cell>
        </row>
        <row r="376">
          <cell r="G376" t="str">
            <v>86BH5F-M.ATC</v>
          </cell>
          <cell r="AM376">
            <v>1</v>
          </cell>
        </row>
        <row r="377">
          <cell r="G377" t="str">
            <v>ST-43HF.AL</v>
          </cell>
          <cell r="AM377">
            <v>8</v>
          </cell>
        </row>
        <row r="378">
          <cell r="G378" t="str">
            <v>55UL3J-N.ATM</v>
          </cell>
          <cell r="AM378">
            <v>7</v>
          </cell>
        </row>
        <row r="379">
          <cell r="G379" t="str">
            <v>43HT3WJ-B.ATM</v>
          </cell>
          <cell r="AM379">
            <v>3</v>
          </cell>
        </row>
        <row r="380">
          <cell r="G380" t="str">
            <v>86TR3BQ-BG.ASAMPLE</v>
          </cell>
          <cell r="AM380">
            <v>1</v>
          </cell>
        </row>
        <row r="381">
          <cell r="G381" t="str">
            <v>49VL5G-M.ATM</v>
          </cell>
          <cell r="AM381">
            <v>1</v>
          </cell>
        </row>
        <row r="382">
          <cell r="G382" t="str">
            <v>55UH5N-M.ATM</v>
          </cell>
          <cell r="AM382">
            <v>1</v>
          </cell>
        </row>
        <row r="383">
          <cell r="G383" t="str">
            <v>32SM5J-B.ATM</v>
          </cell>
          <cell r="AM383">
            <v>1</v>
          </cell>
        </row>
        <row r="384">
          <cell r="G384" t="str">
            <v>110UM5K-B.AAUQ</v>
          </cell>
          <cell r="AM384">
            <v>0</v>
          </cell>
        </row>
        <row r="385">
          <cell r="G385">
            <v>0</v>
          </cell>
          <cell r="AM385"/>
        </row>
        <row r="386">
          <cell r="G386" t="str">
            <v>MNT Signage Total(AMT)</v>
          </cell>
          <cell r="AM386">
            <v>58.140999999999998</v>
          </cell>
        </row>
        <row r="387">
          <cell r="G387"/>
          <cell r="AM387">
            <v>0</v>
          </cell>
        </row>
        <row r="388">
          <cell r="G388"/>
          <cell r="AM388">
            <v>0</v>
          </cell>
        </row>
        <row r="389">
          <cell r="G389"/>
          <cell r="AM389" t="str">
            <v>Total</v>
          </cell>
        </row>
        <row r="390">
          <cell r="G390" t="str">
            <v>43UT801C0SB.ATM</v>
          </cell>
          <cell r="AM390">
            <v>32</v>
          </cell>
        </row>
        <row r="391">
          <cell r="G391" t="str">
            <v>43UR640S0TD.ATM</v>
          </cell>
          <cell r="AM391">
            <v>18</v>
          </cell>
        </row>
        <row r="392">
          <cell r="G392" t="str">
            <v>50UT801C0SB.ATM</v>
          </cell>
          <cell r="AM392">
            <v>8</v>
          </cell>
        </row>
        <row r="393">
          <cell r="G393" t="str">
            <v>55UR761H0TA.ATM</v>
          </cell>
          <cell r="AM393">
            <v>6</v>
          </cell>
        </row>
        <row r="394">
          <cell r="G394" t="str">
            <v>55UM660H4SG.ATM</v>
          </cell>
          <cell r="AM394">
            <v>2</v>
          </cell>
        </row>
        <row r="395">
          <cell r="G395" t="str">
            <v>43UA731C0SB.ATMQ</v>
          </cell>
          <cell r="AM395">
            <v>0</v>
          </cell>
        </row>
        <row r="396">
          <cell r="G396">
            <v>0</v>
          </cell>
          <cell r="AM396"/>
        </row>
        <row r="397">
          <cell r="G397">
            <v>0</v>
          </cell>
          <cell r="AM397"/>
        </row>
        <row r="398">
          <cell r="G398">
            <v>0</v>
          </cell>
          <cell r="AM398"/>
        </row>
        <row r="399">
          <cell r="G399">
            <v>0</v>
          </cell>
          <cell r="AM399"/>
        </row>
        <row r="400">
          <cell r="G400" t="str">
            <v>Commercial TV Total(AMT)</v>
          </cell>
          <cell r="AM400">
            <v>13.78</v>
          </cell>
        </row>
        <row r="401">
          <cell r="AM401">
            <v>0</v>
          </cell>
        </row>
        <row r="403">
          <cell r="G403"/>
          <cell r="AM403" t="str">
            <v>Total</v>
          </cell>
        </row>
        <row r="404">
          <cell r="G404">
            <v>0</v>
          </cell>
          <cell r="AM404"/>
        </row>
        <row r="405">
          <cell r="G405">
            <v>0</v>
          </cell>
          <cell r="AM405"/>
        </row>
        <row r="406">
          <cell r="G406">
            <v>0</v>
          </cell>
          <cell r="AM406"/>
        </row>
        <row r="407">
          <cell r="G407">
            <v>0</v>
          </cell>
          <cell r="AM407"/>
        </row>
        <row r="408">
          <cell r="G408">
            <v>0</v>
          </cell>
          <cell r="AM408"/>
        </row>
        <row r="409">
          <cell r="G409">
            <v>0</v>
          </cell>
          <cell r="AM409"/>
        </row>
        <row r="410">
          <cell r="G410">
            <v>0</v>
          </cell>
          <cell r="AM410"/>
        </row>
        <row r="411">
          <cell r="G411">
            <v>0</v>
          </cell>
          <cell r="AM411"/>
        </row>
        <row r="412">
          <cell r="G412">
            <v>0</v>
          </cell>
          <cell r="AM412"/>
        </row>
        <row r="413">
          <cell r="G413">
            <v>0</v>
          </cell>
          <cell r="AM413"/>
        </row>
        <row r="414">
          <cell r="G414" t="str">
            <v>PC Total(AMT)</v>
          </cell>
          <cell r="AM414">
            <v>0</v>
          </cell>
        </row>
        <row r="415">
          <cell r="AM415">
            <v>0</v>
          </cell>
        </row>
        <row r="417">
          <cell r="G417"/>
          <cell r="AM417" t="str">
            <v>Total</v>
          </cell>
        </row>
        <row r="418">
          <cell r="G418" t="str">
            <v>WD516AN.ACNPLMT</v>
          </cell>
          <cell r="AM418">
            <v>77</v>
          </cell>
        </row>
        <row r="419">
          <cell r="G419" t="str">
            <v>WS510SN.AWHPLMT</v>
          </cell>
          <cell r="AM419">
            <v>51</v>
          </cell>
        </row>
        <row r="420">
          <cell r="G420" t="str">
            <v>WD516AN.AEWPLMT</v>
          </cell>
          <cell r="AM420">
            <v>42</v>
          </cell>
        </row>
        <row r="421">
          <cell r="G421" t="str">
            <v>WD110MN.ABGPLMT</v>
          </cell>
          <cell r="AM421">
            <v>0</v>
          </cell>
        </row>
        <row r="422">
          <cell r="G422">
            <v>0</v>
          </cell>
          <cell r="AM422"/>
        </row>
        <row r="423">
          <cell r="G423">
            <v>0</v>
          </cell>
          <cell r="AM423"/>
        </row>
        <row r="424">
          <cell r="G424">
            <v>0</v>
          </cell>
          <cell r="AM424"/>
        </row>
        <row r="425">
          <cell r="G425">
            <v>0</v>
          </cell>
          <cell r="AM425"/>
        </row>
        <row r="426">
          <cell r="G426">
            <v>0</v>
          </cell>
          <cell r="AM426"/>
        </row>
        <row r="427">
          <cell r="G427">
            <v>0</v>
          </cell>
          <cell r="AM427"/>
        </row>
        <row r="428">
          <cell r="G428" t="str">
            <v>Water Care Total(AMT)</v>
          </cell>
          <cell r="AM428">
            <v>40.632414556622209</v>
          </cell>
        </row>
        <row r="429">
          <cell r="AM429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bo"/>
      <sheetName val="Sheet4"/>
      <sheetName val="2605"/>
      <sheetName val="2604."/>
      <sheetName val="2605_RAW"/>
      <sheetName val="Sheet3"/>
      <sheetName val="2601 (2)"/>
      <sheetName val="2601_Common RAW"/>
      <sheetName val="2601_Southern_RAW"/>
      <sheetName val="2512"/>
      <sheetName val="2510 Common_Original"/>
      <sheetName val="2511_Detail"/>
      <sheetName val="2511 New"/>
      <sheetName val="Pivot"/>
      <sheetName val="PRM"/>
      <sheetName val="RAC"/>
      <sheetName val="Aircare"/>
      <sheetName val="Sheet1"/>
      <sheetName val="2511"/>
      <sheetName val="2510"/>
      <sheetName val="Model"/>
      <sheetName val="2510 Common_Oct_Original"/>
      <sheetName val="Sheet7"/>
      <sheetName val="2510 Common_Oct (2)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">
          <cell r="E1" t="str">
            <v>Model Code</v>
          </cell>
          <cell r="F1" t="str">
            <v>2501</v>
          </cell>
          <cell r="G1" t="str">
            <v>2502</v>
          </cell>
          <cell r="H1" t="str">
            <v>2503</v>
          </cell>
          <cell r="I1" t="str">
            <v>2504</v>
          </cell>
          <cell r="J1" t="str">
            <v>2505</v>
          </cell>
          <cell r="K1" t="str">
            <v>2506</v>
          </cell>
          <cell r="L1" t="str">
            <v>2507</v>
          </cell>
          <cell r="M1" t="str">
            <v>2508</v>
          </cell>
          <cell r="N1" t="str">
            <v>2509</v>
          </cell>
          <cell r="O1" t="str">
            <v>Specific gravity</v>
          </cell>
          <cell r="P1" t="str">
            <v>PRM
Optimization</v>
          </cell>
          <cell r="Q1" t="str">
            <v>Reflection</v>
          </cell>
          <cell r="R1" t="str">
            <v>EOL Schedule</v>
          </cell>
        </row>
        <row r="2">
          <cell r="E2" t="str">
            <v>GC-B257SQYL. AMCPLMT</v>
          </cell>
          <cell r="F2">
            <v>5.7142857142857141E-2</v>
          </cell>
          <cell r="G2">
            <v>9.8765432098765427E-2</v>
          </cell>
          <cell r="H2">
            <v>5.078125E-2</v>
          </cell>
          <cell r="I2">
            <v>3.4482758620689655E-2</v>
          </cell>
          <cell r="J2">
            <v>3.3402922755741124E-2</v>
          </cell>
          <cell r="K2">
            <v>0.04</v>
          </cell>
          <cell r="L2">
            <v>5.1162790697674418E-2</v>
          </cell>
          <cell r="M2">
            <v>3.8560411311053984E-3</v>
          </cell>
          <cell r="N2">
            <v>0</v>
          </cell>
          <cell r="O2">
            <v>3.3916554508748316E-2</v>
          </cell>
          <cell r="P2" t="str">
            <v>X</v>
          </cell>
          <cell r="R2">
            <v>2510</v>
          </cell>
        </row>
        <row r="3">
          <cell r="E3" t="str">
            <v>GC-J257SQZW. AEPPLMT</v>
          </cell>
          <cell r="F3">
            <v>9.7142857142857142E-2</v>
          </cell>
          <cell r="G3">
            <v>9.2592592592592587E-2</v>
          </cell>
          <cell r="H3">
            <v>0.1328125</v>
          </cell>
          <cell r="I3">
            <v>8.4291187739463605E-2</v>
          </cell>
          <cell r="J3">
            <v>5.845511482254697E-2</v>
          </cell>
          <cell r="K3">
            <v>0.10461538461538461</v>
          </cell>
          <cell r="L3">
            <v>9.6124031007751937E-2</v>
          </cell>
          <cell r="M3">
            <v>9.383033419023136E-2</v>
          </cell>
          <cell r="N3">
            <v>7.7669902912621352E-2</v>
          </cell>
          <cell r="O3">
            <v>9.2328398384925972E-2</v>
          </cell>
          <cell r="P3" t="str">
            <v>O</v>
          </cell>
        </row>
        <row r="4">
          <cell r="E4" t="str">
            <v>GC-L257KQKW. AEPPLMT</v>
          </cell>
          <cell r="F4">
            <v>0.10285714285714286</v>
          </cell>
          <cell r="G4">
            <v>0.11728395061728394</v>
          </cell>
          <cell r="H4">
            <v>9.375E-2</v>
          </cell>
          <cell r="I4">
            <v>0.12260536398467432</v>
          </cell>
          <cell r="J4">
            <v>0.13152400835073069</v>
          </cell>
          <cell r="K4">
            <v>5.0769230769230768E-2</v>
          </cell>
          <cell r="L4">
            <v>5.5813953488372092E-2</v>
          </cell>
          <cell r="M4">
            <v>8.9974293059125965E-2</v>
          </cell>
          <cell r="N4">
            <v>8.4142394822006472E-2</v>
          </cell>
          <cell r="O4">
            <v>8.6406460296096901E-2</v>
          </cell>
          <cell r="P4" t="str">
            <v>O</v>
          </cell>
        </row>
        <row r="5">
          <cell r="E5" t="str">
            <v>GC-V22FFQMB. AEPPLMT</v>
          </cell>
          <cell r="F5">
            <v>0.23428571428571429</v>
          </cell>
          <cell r="G5">
            <v>0.20987654320987653</v>
          </cell>
          <cell r="H5">
            <v>0.16796875</v>
          </cell>
          <cell r="I5">
            <v>0.12643678160919541</v>
          </cell>
          <cell r="J5">
            <v>7.5156576200417533E-2</v>
          </cell>
          <cell r="K5">
            <v>0.1</v>
          </cell>
          <cell r="L5">
            <v>0.11162790697674418</v>
          </cell>
          <cell r="M5">
            <v>7.7120822622107968E-2</v>
          </cell>
          <cell r="N5">
            <v>9.7087378640776698E-2</v>
          </cell>
          <cell r="O5">
            <v>0.11144010767160162</v>
          </cell>
          <cell r="P5" t="str">
            <v>O</v>
          </cell>
        </row>
        <row r="6">
          <cell r="E6" t="str">
            <v>GC-V24FFCHB. AEVPLMT</v>
          </cell>
          <cell r="F6">
            <v>0.10285714285714286</v>
          </cell>
          <cell r="G6">
            <v>0.11728395061728394</v>
          </cell>
          <cell r="H6">
            <v>0.1015625</v>
          </cell>
          <cell r="I6">
            <v>8.8122605363984668E-2</v>
          </cell>
          <cell r="J6">
            <v>8.3507306889352817E-2</v>
          </cell>
          <cell r="K6">
            <v>4.7692307692307694E-2</v>
          </cell>
          <cell r="L6">
            <v>5.2713178294573643E-2</v>
          </cell>
          <cell r="M6">
            <v>5.1413881748071976E-3</v>
          </cell>
          <cell r="N6">
            <v>3.2362459546925568E-3</v>
          </cell>
          <cell r="O6">
            <v>5.2759084791386274E-2</v>
          </cell>
          <cell r="P6" t="str">
            <v>X</v>
          </cell>
          <cell r="Q6" t="str">
            <v>Apply after inventory runs out</v>
          </cell>
          <cell r="R6">
            <v>2602</v>
          </cell>
        </row>
        <row r="7">
          <cell r="E7" t="str">
            <v>GC-X257CMEW. ATEPLMT</v>
          </cell>
          <cell r="F7">
            <v>0.21142857142857144</v>
          </cell>
          <cell r="G7">
            <v>0.19135802469135801</v>
          </cell>
          <cell r="H7">
            <v>0.19140625</v>
          </cell>
          <cell r="I7">
            <v>0.18773946360153257</v>
          </cell>
          <cell r="J7">
            <v>0.18997912317327767</v>
          </cell>
          <cell r="K7">
            <v>0.16</v>
          </cell>
          <cell r="L7">
            <v>0.17364341085271318</v>
          </cell>
          <cell r="M7">
            <v>0.19151670951156813</v>
          </cell>
          <cell r="N7">
            <v>0.18122977346278318</v>
          </cell>
          <cell r="O7">
            <v>0.18250336473755047</v>
          </cell>
          <cell r="P7" t="str">
            <v>O</v>
          </cell>
        </row>
        <row r="8">
          <cell r="E8" t="str">
            <v>GN-304SLBT. APZPLMT</v>
          </cell>
          <cell r="F8">
            <v>0</v>
          </cell>
          <cell r="G8">
            <v>0</v>
          </cell>
          <cell r="H8">
            <v>2.734375E-2</v>
          </cell>
          <cell r="I8">
            <v>3.4482758620689655E-2</v>
          </cell>
          <cell r="J8">
            <v>0.10647181628392484</v>
          </cell>
          <cell r="K8">
            <v>0.15384615384615385</v>
          </cell>
          <cell r="L8">
            <v>0.10542635658914729</v>
          </cell>
          <cell r="M8">
            <v>0.11568123393316196</v>
          </cell>
          <cell r="N8">
            <v>0.10679611650485436</v>
          </cell>
          <cell r="O8">
            <v>9.6366083445491246E-2</v>
          </cell>
          <cell r="P8" t="str">
            <v>X</v>
          </cell>
          <cell r="Q8" t="str">
            <v>Apply after inventory runs out</v>
          </cell>
          <cell r="R8">
            <v>2511</v>
          </cell>
        </row>
        <row r="9">
          <cell r="E9" t="str">
            <v>GN-F392PQAK. AEPPLM1</v>
          </cell>
          <cell r="F9">
            <v>0</v>
          </cell>
          <cell r="G9">
            <v>9.8765432098765427E-2</v>
          </cell>
          <cell r="H9">
            <v>8.59375E-2</v>
          </cell>
          <cell r="I9">
            <v>0.11877394636015326</v>
          </cell>
          <cell r="J9">
            <v>5.4279749478079335E-2</v>
          </cell>
          <cell r="K9">
            <v>8.7692307692307694E-2</v>
          </cell>
          <cell r="L9">
            <v>0.13643410852713178</v>
          </cell>
          <cell r="M9">
            <v>0.11053984575835475</v>
          </cell>
          <cell r="N9">
            <v>0.11650485436893204</v>
          </cell>
          <cell r="O9">
            <v>9.7442799461641985E-2</v>
          </cell>
          <cell r="P9" t="str">
            <v>X</v>
          </cell>
          <cell r="Q9" t="str">
            <v>Apply after inventory runs out</v>
          </cell>
          <cell r="R9">
            <v>2511</v>
          </cell>
        </row>
        <row r="10">
          <cell r="E10" t="str">
            <v>GN-F452PQAK. AEPPLMT</v>
          </cell>
          <cell r="F10">
            <v>0.19428571428571428</v>
          </cell>
          <cell r="G10">
            <v>7.407407407407407E-2</v>
          </cell>
          <cell r="H10">
            <v>9.375E-2</v>
          </cell>
          <cell r="I10">
            <v>0.1417624521072797</v>
          </cell>
          <cell r="J10">
            <v>0.21294363256784968</v>
          </cell>
          <cell r="K10">
            <v>0.12923076923076923</v>
          </cell>
          <cell r="L10">
            <v>0.11317829457364341</v>
          </cell>
          <cell r="M10">
            <v>0.16195372750642673</v>
          </cell>
          <cell r="N10">
            <v>0.11003236245954692</v>
          </cell>
          <cell r="O10">
            <v>0.14158815612382233</v>
          </cell>
          <cell r="P10" t="str">
            <v>O</v>
          </cell>
        </row>
        <row r="11">
          <cell r="E11" t="str">
            <v>GN-V389FQEF. AEPPLMT</v>
          </cell>
          <cell r="F11">
            <v>0</v>
          </cell>
          <cell r="G11">
            <v>0</v>
          </cell>
          <cell r="H11">
            <v>5.46875E-2</v>
          </cell>
          <cell r="I11">
            <v>6.1302681992337162E-2</v>
          </cell>
          <cell r="J11">
            <v>5.4279749478079335E-2</v>
          </cell>
          <cell r="K11">
            <v>4.1538461538461538E-2</v>
          </cell>
          <cell r="L11">
            <v>5.2713178294573643E-2</v>
          </cell>
          <cell r="M11">
            <v>5.7840616966580979E-2</v>
          </cell>
          <cell r="N11">
            <v>5.1779935275080909E-2</v>
          </cell>
          <cell r="O11">
            <v>4.7913862718707942E-2</v>
          </cell>
          <cell r="P11" t="str">
            <v>O</v>
          </cell>
        </row>
        <row r="12">
          <cell r="E12" t="str">
            <v>GV-K25FFGEB. ABMPLMT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6.9230769230769235E-2</v>
          </cell>
          <cell r="L12">
            <v>2.6356589147286821E-2</v>
          </cell>
          <cell r="M12">
            <v>2.9562982005141389E-2</v>
          </cell>
          <cell r="N12">
            <v>4.5307443365695796E-2</v>
          </cell>
          <cell r="O12">
            <v>2.6648721399730822E-2</v>
          </cell>
          <cell r="P12" t="str">
            <v>O</v>
          </cell>
        </row>
        <row r="13">
          <cell r="E13" t="str">
            <v>GV-V25FFGRB. ABMPLMT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1.5384615384615385E-2</v>
          </cell>
          <cell r="L13">
            <v>2.4806201550387597E-2</v>
          </cell>
          <cell r="M13">
            <v>3.5989717223650387E-2</v>
          </cell>
          <cell r="N13">
            <v>5.1779935275080909E-2</v>
          </cell>
          <cell r="O13">
            <v>1.8842530282637954E-2</v>
          </cell>
          <cell r="P13" t="str">
            <v>X</v>
          </cell>
          <cell r="Q13" t="str">
            <v>Apply after inventory runs out</v>
          </cell>
          <cell r="R13">
            <v>2512</v>
          </cell>
        </row>
        <row r="14">
          <cell r="E14" t="str">
            <v>GC-G24FFQKB. AEEPLM1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2.6992287917737789E-2</v>
          </cell>
          <cell r="N14">
            <v>5.5016181229773461E-2</v>
          </cell>
          <cell r="O14">
            <v>1.0228802153432033E-2</v>
          </cell>
          <cell r="P14" t="str">
            <v>X</v>
          </cell>
          <cell r="R14">
            <v>2512</v>
          </cell>
        </row>
        <row r="15">
          <cell r="E15" t="str">
            <v>PTOL24FFCR2. APTO
- GC-L24FFCBB. AEVPLM1 
- REF3FILTER2. AETC</v>
          </cell>
          <cell r="P15" t="str">
            <v>O</v>
          </cell>
        </row>
        <row r="16">
          <cell r="E16" t="str">
            <v>PTOL24FFCR2. APTO
- GC-L24FFCBB. AEVPLM1 
- REF3FILTER2. AETC</v>
          </cell>
          <cell r="P16" t="str">
            <v>O</v>
          </cell>
        </row>
        <row r="17">
          <cell r="E17" t="str">
            <v>GV-B25FFGDB. ABMPLMT</v>
          </cell>
          <cell r="P17" t="str">
            <v>X</v>
          </cell>
          <cell r="R17">
            <v>2510</v>
          </cell>
        </row>
        <row r="18">
          <cell r="E18" t="str">
            <v>GC-L257SFZW. APYPLMT</v>
          </cell>
          <cell r="P18" t="str">
            <v>X</v>
          </cell>
          <cell r="R18">
            <v>2510</v>
          </cell>
        </row>
        <row r="19">
          <cell r="E19" t="str">
            <v>DFC335HM. ABMPETH</v>
          </cell>
          <cell r="H19">
            <v>1</v>
          </cell>
          <cell r="I19">
            <v>1</v>
          </cell>
          <cell r="J19">
            <v>1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 t="str">
            <v>O</v>
          </cell>
        </row>
        <row r="20">
          <cell r="E20" t="str">
            <v>MS4295DIS. BBKPETH</v>
          </cell>
          <cell r="F20">
            <v>1</v>
          </cell>
          <cell r="G20">
            <v>1</v>
          </cell>
          <cell r="H20">
            <v>1</v>
          </cell>
          <cell r="I20">
            <v>1</v>
          </cell>
          <cell r="J20">
            <v>0.7421875</v>
          </cell>
          <cell r="K20">
            <v>0.75</v>
          </cell>
          <cell r="L20">
            <v>0.86324786324786329</v>
          </cell>
          <cell r="M20">
            <v>0.74742268041237114</v>
          </cell>
          <cell r="N20">
            <v>0.83673469387755106</v>
          </cell>
          <cell r="O20">
            <v>0.86507177033492821</v>
          </cell>
          <cell r="P20" t="str">
            <v>O</v>
          </cell>
        </row>
        <row r="21">
          <cell r="E21" t="str">
            <v>MS2535GIK. BSEPETH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0.2578125</v>
          </cell>
          <cell r="K21">
            <v>0.25</v>
          </cell>
          <cell r="L21">
            <v>0.13675213675213677</v>
          </cell>
          <cell r="M21">
            <v>0.25257731958762886</v>
          </cell>
          <cell r="N21">
            <v>0.16326530612244897</v>
          </cell>
          <cell r="O21">
            <v>0.13492822966507176</v>
          </cell>
          <cell r="P21" t="str">
            <v>X</v>
          </cell>
          <cell r="Q21" t="str">
            <v>Apply after inventory runs out</v>
          </cell>
          <cell r="R21">
            <v>2511</v>
          </cell>
        </row>
        <row r="22">
          <cell r="E22" t="str">
            <v>WD110MN. ABGPLMT</v>
          </cell>
          <cell r="F22">
            <v>6.8571428571428575E-2</v>
          </cell>
          <cell r="G22">
            <v>0.11578947368421053</v>
          </cell>
          <cell r="H22">
            <v>0.10780669144981413</v>
          </cell>
          <cell r="I22">
            <v>9.7345132743362831E-2</v>
          </cell>
          <cell r="J22">
            <v>0.14233576642335766</v>
          </cell>
          <cell r="K22">
            <v>0.10927152317880795</v>
          </cell>
          <cell r="L22">
            <v>0.11447811447811448</v>
          </cell>
          <cell r="M22">
            <v>0.13782051282051283</v>
          </cell>
          <cell r="N22">
            <v>6.5573770491803282E-2</v>
          </cell>
          <cell r="O22">
            <v>0.1116751269035533</v>
          </cell>
          <cell r="P22" t="str">
            <v>O</v>
          </cell>
        </row>
        <row r="23">
          <cell r="E23" t="str">
            <v>WD516AN. ACNPLMT</v>
          </cell>
          <cell r="F23">
            <v>9.7142857142857142E-2</v>
          </cell>
          <cell r="G23">
            <v>6.3157894736842107E-2</v>
          </cell>
          <cell r="H23">
            <v>0.12267657992565056</v>
          </cell>
          <cell r="I23">
            <v>0.13274336283185842</v>
          </cell>
          <cell r="J23">
            <v>9.4890510948905105E-2</v>
          </cell>
          <cell r="K23">
            <v>0.1490066225165563</v>
          </cell>
          <cell r="L23">
            <v>0.15488215488215487</v>
          </cell>
          <cell r="M23">
            <v>0.18269230769230768</v>
          </cell>
          <cell r="N23">
            <v>0.15573770491803279</v>
          </cell>
          <cell r="O23">
            <v>0.13151822796492849</v>
          </cell>
          <cell r="P23" t="str">
            <v>O</v>
          </cell>
        </row>
        <row r="24">
          <cell r="E24" t="str">
            <v>WD516AN. AEWPLMT</v>
          </cell>
          <cell r="F24">
            <v>0.12</v>
          </cell>
          <cell r="G24">
            <v>0.18947368421052632</v>
          </cell>
          <cell r="H24">
            <v>8.5501858736059477E-2</v>
          </cell>
          <cell r="I24">
            <v>4.8672566371681415E-2</v>
          </cell>
          <cell r="J24">
            <v>4.3795620437956206E-2</v>
          </cell>
          <cell r="K24">
            <v>8.2781456953642391E-2</v>
          </cell>
          <cell r="L24">
            <v>8.0808080808080815E-2</v>
          </cell>
          <cell r="M24">
            <v>5.7692307692307696E-2</v>
          </cell>
          <cell r="N24">
            <v>2.4590163934426229E-2</v>
          </cell>
          <cell r="O24">
            <v>7.9833871712044299E-2</v>
          </cell>
          <cell r="P24" t="str">
            <v>X</v>
          </cell>
          <cell r="Q24" t="str">
            <v>Apply after inventory runs out</v>
          </cell>
          <cell r="R24">
            <v>2512</v>
          </cell>
        </row>
        <row r="25">
          <cell r="E25" t="str">
            <v>WD516AN. ASLPLMT</v>
          </cell>
          <cell r="F25">
            <v>0.13142857142857142</v>
          </cell>
          <cell r="G25">
            <v>5.7894736842105263E-2</v>
          </cell>
          <cell r="H25">
            <v>0.10408921933085502</v>
          </cell>
          <cell r="I25">
            <v>0.1415929203539823</v>
          </cell>
          <cell r="J25">
            <v>0.12408759124087591</v>
          </cell>
          <cell r="K25">
            <v>0.10596026490066225</v>
          </cell>
          <cell r="L25">
            <v>9.7643097643097643E-2</v>
          </cell>
          <cell r="M25">
            <v>0.13782051282051283</v>
          </cell>
          <cell r="N25">
            <v>0.20491803278688525</v>
          </cell>
          <cell r="O25">
            <v>0.11859713890170744</v>
          </cell>
          <cell r="P25" t="str">
            <v>O</v>
          </cell>
        </row>
        <row r="26">
          <cell r="E26" t="str">
            <v>WD518AN. ABGPLMT</v>
          </cell>
          <cell r="F26">
            <v>0.2742857142857143</v>
          </cell>
          <cell r="G26">
            <v>0.3473684210526316</v>
          </cell>
          <cell r="H26">
            <v>0.20446096654275092</v>
          </cell>
          <cell r="I26">
            <v>0.13274336283185842</v>
          </cell>
          <cell r="J26">
            <v>0.12408759124087591</v>
          </cell>
          <cell r="K26">
            <v>0.18543046357615894</v>
          </cell>
          <cell r="L26">
            <v>0.15488215488215487</v>
          </cell>
          <cell r="M26">
            <v>0.13461538461538461</v>
          </cell>
          <cell r="N26">
            <v>0.1721311475409836</v>
          </cell>
          <cell r="O26">
            <v>0.18366405168435626</v>
          </cell>
          <cell r="P26" t="str">
            <v>O</v>
          </cell>
        </row>
        <row r="27">
          <cell r="E27" t="str">
            <v>WD518AN. ACGPLMT</v>
          </cell>
          <cell r="F27">
            <v>0.10285714285714286</v>
          </cell>
          <cell r="G27">
            <v>9.4736842105263161E-2</v>
          </cell>
          <cell r="H27">
            <v>0.17472118959107807</v>
          </cell>
          <cell r="I27">
            <v>0.22123893805309736</v>
          </cell>
          <cell r="J27">
            <v>0.15328467153284672</v>
          </cell>
          <cell r="K27">
            <v>0.14569536423841059</v>
          </cell>
          <cell r="L27">
            <v>0.14478114478114479</v>
          </cell>
          <cell r="M27">
            <v>0.16025641025641027</v>
          </cell>
          <cell r="N27">
            <v>0.15573770491803279</v>
          </cell>
          <cell r="O27">
            <v>0.15274573142593448</v>
          </cell>
          <cell r="P27" t="str">
            <v>X</v>
          </cell>
          <cell r="Q27" t="str">
            <v>Apply after inventory runs out</v>
          </cell>
          <cell r="R27">
            <v>2512</v>
          </cell>
        </row>
        <row r="28">
          <cell r="E28" t="str">
            <v>WD518AN. AWHPLMT</v>
          </cell>
          <cell r="F28">
            <v>0.20571428571428571</v>
          </cell>
          <cell r="G28">
            <v>0.12631578947368421</v>
          </cell>
          <cell r="H28">
            <v>0.15613382899628253</v>
          </cell>
          <cell r="I28">
            <v>0.17256637168141592</v>
          </cell>
          <cell r="J28">
            <v>0.21897810218978103</v>
          </cell>
          <cell r="K28">
            <v>0.15231788079470199</v>
          </cell>
          <cell r="L28">
            <v>0.18181818181818182</v>
          </cell>
          <cell r="M28">
            <v>0.17628205128205129</v>
          </cell>
          <cell r="N28">
            <v>0.20491803278688525</v>
          </cell>
          <cell r="O28">
            <v>0.17581910475311491</v>
          </cell>
          <cell r="P28" t="str">
            <v>O</v>
          </cell>
        </row>
        <row r="29">
          <cell r="E29" t="str">
            <v>WS510SN. AWHPLMT</v>
          </cell>
          <cell r="F29">
            <v>0</v>
          </cell>
          <cell r="G29">
            <v>5.263157894736842E-3</v>
          </cell>
          <cell r="H29">
            <v>4.4609665427509292E-2</v>
          </cell>
          <cell r="I29">
            <v>5.3097345132743362E-2</v>
          </cell>
          <cell r="J29">
            <v>9.8540145985401464E-2</v>
          </cell>
          <cell r="K29">
            <v>6.9536423841059597E-2</v>
          </cell>
          <cell r="L29">
            <v>7.0707070707070704E-2</v>
          </cell>
          <cell r="M29">
            <v>1.282051282051282E-2</v>
          </cell>
          <cell r="N29">
            <v>1.6393442622950821E-2</v>
          </cell>
          <cell r="O29">
            <v>4.6146746654360866E-2</v>
          </cell>
          <cell r="P29" t="str">
            <v>O</v>
          </cell>
        </row>
        <row r="30">
          <cell r="E30" t="str">
            <v>FV1413H4M. AMBPETH</v>
          </cell>
          <cell r="F30">
            <v>0.20216606498194944</v>
          </cell>
          <cell r="G30">
            <v>0.20761245674740483</v>
          </cell>
          <cell r="H30">
            <v>0.18465909090909091</v>
          </cell>
          <cell r="I30">
            <v>0.18475073313782991</v>
          </cell>
          <cell r="J30">
            <v>0.17069486404833836</v>
          </cell>
          <cell r="K30">
            <v>0.18591549295774648</v>
          </cell>
          <cell r="L30">
            <v>0.18290854572713644</v>
          </cell>
          <cell r="M30">
            <v>0.18666666666666668</v>
          </cell>
          <cell r="N30">
            <v>0.21529745042492918</v>
          </cell>
          <cell r="O30">
            <v>0.18791183821858667</v>
          </cell>
          <cell r="P30" t="str">
            <v>O</v>
          </cell>
        </row>
        <row r="31">
          <cell r="E31" t="str">
            <v>FV1413S4M. AMBPETH</v>
          </cell>
          <cell r="F31">
            <v>0.28158844765342961</v>
          </cell>
          <cell r="G31">
            <v>0.20069204152249134</v>
          </cell>
          <cell r="H31">
            <v>0.17897727272727273</v>
          </cell>
          <cell r="I31">
            <v>0.19941348973607037</v>
          </cell>
          <cell r="J31">
            <v>0.23564954682779457</v>
          </cell>
          <cell r="K31">
            <v>0.22676056338028169</v>
          </cell>
          <cell r="L31">
            <v>0.24587706146926536</v>
          </cell>
          <cell r="M31">
            <v>0.21066666666666667</v>
          </cell>
          <cell r="N31">
            <v>0.19263456090651557</v>
          </cell>
          <cell r="O31">
            <v>0.22131333787775506</v>
          </cell>
          <cell r="P31" t="str">
            <v>O</v>
          </cell>
        </row>
        <row r="32">
          <cell r="E32" t="str">
            <v>TX2725AT9G. AEGPETH</v>
          </cell>
          <cell r="F32">
            <v>0</v>
          </cell>
          <cell r="G32">
            <v>0</v>
          </cell>
          <cell r="H32">
            <v>0</v>
          </cell>
          <cell r="I32">
            <v>2.3460410557184751E-2</v>
          </cell>
          <cell r="J32">
            <v>6.3444108761329304E-2</v>
          </cell>
          <cell r="K32">
            <v>0.14225352112676057</v>
          </cell>
          <cell r="L32">
            <v>0.10344827586206896</v>
          </cell>
          <cell r="M32">
            <v>0.10266666666666667</v>
          </cell>
          <cell r="N32">
            <v>5.6657223796033995E-2</v>
          </cell>
          <cell r="O32">
            <v>7.2029084299022952E-2</v>
          </cell>
          <cell r="P32" t="str">
            <v>O</v>
          </cell>
        </row>
        <row r="33">
          <cell r="E33" t="str">
            <v>WT1410NHEG. ABGPPTH</v>
          </cell>
          <cell r="F33">
            <v>0.13718411552346571</v>
          </cell>
          <cell r="G33">
            <v>0.14186851211072665</v>
          </cell>
          <cell r="H33">
            <v>0.16477272727272727</v>
          </cell>
          <cell r="I33">
            <v>0.20527859237536658</v>
          </cell>
          <cell r="J33">
            <v>0.18731117824773413</v>
          </cell>
          <cell r="K33">
            <v>0.18450704225352113</v>
          </cell>
          <cell r="L33">
            <v>0.10944527736131934</v>
          </cell>
          <cell r="M33">
            <v>0.17066666666666666</v>
          </cell>
          <cell r="N33">
            <v>0.14164305949008499</v>
          </cell>
          <cell r="O33">
            <v>0.16200863440127244</v>
          </cell>
          <cell r="P33" t="str">
            <v>O</v>
          </cell>
        </row>
        <row r="34">
          <cell r="E34" t="str">
            <v>WT2116SHEG. ABGPETH</v>
          </cell>
          <cell r="F34">
            <v>0.27075812274368233</v>
          </cell>
          <cell r="G34">
            <v>0.37024221453287198</v>
          </cell>
          <cell r="H34">
            <v>0.32386363636363635</v>
          </cell>
          <cell r="I34">
            <v>0.2316715542521994</v>
          </cell>
          <cell r="J34">
            <v>0.26888217522658608</v>
          </cell>
          <cell r="K34">
            <v>0.21408450704225351</v>
          </cell>
          <cell r="L34">
            <v>0.22338830584707647</v>
          </cell>
          <cell r="M34">
            <v>0.20933333333333334</v>
          </cell>
          <cell r="N34">
            <v>0.25495750708215298</v>
          </cell>
          <cell r="O34">
            <v>0.2501704158145876</v>
          </cell>
          <cell r="P34" t="str">
            <v>O</v>
          </cell>
        </row>
        <row r="35">
          <cell r="E35" t="str">
            <v>WT1410NHEN. ABNPPTH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8.4507042253521118E-3</v>
          </cell>
          <cell r="L35">
            <v>5.2473763118440778E-2</v>
          </cell>
          <cell r="M35">
            <v>1.3333333333333334E-2</v>
          </cell>
          <cell r="N35">
            <v>1.9830028328611898E-2</v>
          </cell>
          <cell r="O35">
            <v>1.3178822994773916E-2</v>
          </cell>
          <cell r="P35" t="str">
            <v>O</v>
          </cell>
        </row>
        <row r="36">
          <cell r="E36" t="str">
            <v>TX2723ST5J. APBPETH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4.2253521126760559E-3</v>
          </cell>
          <cell r="L36">
            <v>8.2458770614692659E-2</v>
          </cell>
          <cell r="M36">
            <v>0.10666666666666667</v>
          </cell>
          <cell r="N36">
            <v>0.11898016997167139</v>
          </cell>
          <cell r="O36">
            <v>4.0899795501022497E-2</v>
          </cell>
          <cell r="P36" t="str">
            <v>X</v>
          </cell>
          <cell r="Q36" t="str">
            <v>Apply after inventory runs out</v>
          </cell>
          <cell r="R36">
            <v>2512</v>
          </cell>
        </row>
        <row r="37">
          <cell r="E37" t="str">
            <v>F2520RNTB. AEBPETH</v>
          </cell>
          <cell r="P37" t="str">
            <v>O</v>
          </cell>
        </row>
        <row r="38">
          <cell r="E38" t="str">
            <v>FV1409H4W. ABWPETH</v>
          </cell>
          <cell r="P38" t="str">
            <v>X</v>
          </cell>
          <cell r="Q38" t="str">
            <v>Apply after inventory runs out</v>
          </cell>
          <cell r="R38">
            <v>2510</v>
          </cell>
        </row>
        <row r="39">
          <cell r="E39" t="str">
            <v>RV10VHP4B. BMBPETH</v>
          </cell>
          <cell r="F39">
            <v>1</v>
          </cell>
          <cell r="G39">
            <v>1</v>
          </cell>
          <cell r="H39">
            <v>1</v>
          </cell>
          <cell r="I39">
            <v>1</v>
          </cell>
          <cell r="J39">
            <v>1</v>
          </cell>
          <cell r="K39">
            <v>1</v>
          </cell>
          <cell r="L39">
            <v>1</v>
          </cell>
          <cell r="M39">
            <v>1</v>
          </cell>
          <cell r="N39">
            <v>1</v>
          </cell>
          <cell r="O39">
            <v>1</v>
          </cell>
          <cell r="P39" t="str">
            <v>O</v>
          </cell>
        </row>
        <row r="40">
          <cell r="E40" t="str">
            <v>S5GOC. ALGPETH</v>
          </cell>
          <cell r="F40">
            <v>1</v>
          </cell>
          <cell r="G40">
            <v>1</v>
          </cell>
          <cell r="H40">
            <v>1</v>
          </cell>
          <cell r="I40">
            <v>1</v>
          </cell>
          <cell r="J40">
            <v>1</v>
          </cell>
          <cell r="K40">
            <v>1</v>
          </cell>
          <cell r="L40">
            <v>1</v>
          </cell>
          <cell r="M40">
            <v>1</v>
          </cell>
          <cell r="N40">
            <v>1</v>
          </cell>
          <cell r="O40">
            <v>1</v>
          </cell>
          <cell r="P40" t="str">
            <v>O</v>
          </cell>
        </row>
        <row r="41">
          <cell r="E41" t="str">
            <v>A9T-CORE. DCGPETH</v>
          </cell>
          <cell r="F41">
            <v>0.1553398058252427</v>
          </cell>
          <cell r="G41">
            <v>6.9306930693069313E-2</v>
          </cell>
          <cell r="H41">
            <v>0.2608695652173913</v>
          </cell>
          <cell r="I41">
            <v>0.16129032258064516</v>
          </cell>
          <cell r="J41">
            <v>7.874015748031496E-2</v>
          </cell>
          <cell r="K41">
            <v>0.1402439024390244</v>
          </cell>
          <cell r="L41">
            <v>0.14210526315789473</v>
          </cell>
          <cell r="M41">
            <v>0.15189873417721519</v>
          </cell>
          <cell r="N41">
            <v>8.2191780821917804E-2</v>
          </cell>
          <cell r="O41">
            <v>0.14131338320864506</v>
          </cell>
          <cell r="P41" t="str">
            <v>O</v>
          </cell>
        </row>
        <row r="42">
          <cell r="E42" t="str">
            <v>A9T-ULTRA. DCBPETH</v>
          </cell>
          <cell r="F42">
            <v>0.84466019417475724</v>
          </cell>
          <cell r="G42">
            <v>0.93069306930693074</v>
          </cell>
          <cell r="H42">
            <v>0.73913043478260865</v>
          </cell>
          <cell r="I42">
            <v>0.83870967741935487</v>
          </cell>
          <cell r="J42">
            <v>0.92125984251968507</v>
          </cell>
          <cell r="K42">
            <v>0.8597560975609756</v>
          </cell>
          <cell r="L42">
            <v>0.81052631578947365</v>
          </cell>
          <cell r="M42">
            <v>0.73417721518987344</v>
          </cell>
          <cell r="N42">
            <v>0.8904109589041096</v>
          </cell>
          <cell r="O42">
            <v>0.82709891936824609</v>
          </cell>
          <cell r="P42" t="str">
            <v>O</v>
          </cell>
        </row>
        <row r="43">
          <cell r="E43" t="str">
            <v>A9T-LITE. DCGPETH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4.736842105263158E-2</v>
          </cell>
          <cell r="M43">
            <v>0.11392405063291139</v>
          </cell>
          <cell r="N43">
            <v>2.7397260273972601E-2</v>
          </cell>
          <cell r="O43">
            <v>3.1587697423108893E-2</v>
          </cell>
          <cell r="P43" t="str">
            <v>X</v>
          </cell>
          <cell r="Q43" t="str">
            <v>Apply after inventory runs out</v>
          </cell>
          <cell r="R43">
            <v>2510</v>
          </cell>
        </row>
        <row r="44">
          <cell r="E44" t="str">
            <v>SAQ11A. S11</v>
          </cell>
          <cell r="F44">
            <v>0</v>
          </cell>
          <cell r="G44">
            <v>3.4632034632034632E-2</v>
          </cell>
          <cell r="H44">
            <v>6.5462753950338598E-2</v>
          </cell>
          <cell r="I44">
            <v>9.7633136094674555E-2</v>
          </cell>
          <cell r="J44">
            <v>6.8627450980392163E-2</v>
          </cell>
          <cell r="K44">
            <v>0.11776859504132231</v>
          </cell>
          <cell r="L44">
            <v>6.9230769230769235E-2</v>
          </cell>
          <cell r="M44">
            <v>9.9715099715099717E-2</v>
          </cell>
          <cell r="N44">
            <v>4.4354838709677422E-2</v>
          </cell>
          <cell r="O44">
            <v>7.7981651376146793E-2</v>
          </cell>
          <cell r="P44" t="str">
            <v>O</v>
          </cell>
        </row>
        <row r="45">
          <cell r="E45" t="str">
            <v>SAQ13A. S11</v>
          </cell>
          <cell r="F45">
            <v>3.5087719298245612E-2</v>
          </cell>
          <cell r="G45">
            <v>9.5238095238095233E-2</v>
          </cell>
          <cell r="H45">
            <v>0.16930022573363432</v>
          </cell>
          <cell r="I45">
            <v>0.21005917159763313</v>
          </cell>
          <cell r="J45">
            <v>0.20098039215686275</v>
          </cell>
          <cell r="K45">
            <v>0.2024793388429752</v>
          </cell>
          <cell r="L45">
            <v>0.18653846153846154</v>
          </cell>
          <cell r="M45">
            <v>0.14672364672364671</v>
          </cell>
          <cell r="N45">
            <v>0.18548387096774194</v>
          </cell>
          <cell r="O45">
            <v>0.17144495412844038</v>
          </cell>
          <cell r="P45" t="str">
            <v>O</v>
          </cell>
        </row>
        <row r="46">
          <cell r="E46" t="str">
            <v>SCQ18A. S11</v>
          </cell>
          <cell r="F46">
            <v>8.771929824561403E-3</v>
          </cell>
          <cell r="G46">
            <v>8.2251082251082255E-2</v>
          </cell>
          <cell r="H46">
            <v>9.480812641083522E-2</v>
          </cell>
          <cell r="I46">
            <v>0.15088757396449703</v>
          </cell>
          <cell r="J46">
            <v>0.1053921568627451</v>
          </cell>
          <cell r="K46">
            <v>0.12603305785123967</v>
          </cell>
          <cell r="L46">
            <v>8.269230769230769E-2</v>
          </cell>
          <cell r="M46">
            <v>0.10541310541310542</v>
          </cell>
          <cell r="N46">
            <v>0.10080645161290322</v>
          </cell>
          <cell r="O46">
            <v>0.10292431192660551</v>
          </cell>
          <cell r="P46" t="str">
            <v>O</v>
          </cell>
        </row>
        <row r="47">
          <cell r="E47" t="str">
            <v>SCQ24A. S11</v>
          </cell>
          <cell r="F47">
            <v>0</v>
          </cell>
          <cell r="G47">
            <v>8.2251082251082255E-2</v>
          </cell>
          <cell r="H47">
            <v>7.6749435665914217E-2</v>
          </cell>
          <cell r="I47">
            <v>8.8757396449704137E-2</v>
          </cell>
          <cell r="J47">
            <v>5.3921568627450983E-2</v>
          </cell>
          <cell r="K47">
            <v>8.4710743801652888E-2</v>
          </cell>
          <cell r="L47">
            <v>6.3461538461538458E-2</v>
          </cell>
          <cell r="M47">
            <v>7.2649572649572655E-2</v>
          </cell>
          <cell r="N47">
            <v>8.0645161290322578E-2</v>
          </cell>
          <cell r="O47">
            <v>7.1674311926605505E-2</v>
          </cell>
          <cell r="P47" t="str">
            <v>O</v>
          </cell>
        </row>
        <row r="48">
          <cell r="E48" t="str">
            <v>SEQ11A. S01</v>
          </cell>
          <cell r="F48">
            <v>8.771929824561403E-3</v>
          </cell>
          <cell r="G48">
            <v>6.9264069264069264E-2</v>
          </cell>
          <cell r="H48">
            <v>0.12415349887133183</v>
          </cell>
          <cell r="I48">
            <v>0.14201183431952663</v>
          </cell>
          <cell r="J48">
            <v>0.16176470588235295</v>
          </cell>
          <cell r="K48">
            <v>0.16735537190082644</v>
          </cell>
          <cell r="L48">
            <v>0.13076923076923078</v>
          </cell>
          <cell r="M48">
            <v>9.5441595441595445E-2</v>
          </cell>
          <cell r="N48">
            <v>0.10483870967741936</v>
          </cell>
          <cell r="O48">
            <v>0.12270642201834862</v>
          </cell>
          <cell r="P48" t="str">
            <v>X</v>
          </cell>
          <cell r="Q48" t="str">
            <v>Apply after inventory runs out</v>
          </cell>
          <cell r="R48">
            <v>2511</v>
          </cell>
        </row>
        <row r="49">
          <cell r="E49" t="str">
            <v>SEQ13A. S01</v>
          </cell>
          <cell r="F49">
            <v>8.771929824561403E-3</v>
          </cell>
          <cell r="G49">
            <v>4.7619047619047616E-2</v>
          </cell>
          <cell r="H49">
            <v>0.1670428893905192</v>
          </cell>
          <cell r="I49">
            <v>0.12130177514792899</v>
          </cell>
          <cell r="J49">
            <v>0.16911764705882354</v>
          </cell>
          <cell r="K49">
            <v>0.14669421487603307</v>
          </cell>
          <cell r="L49">
            <v>0.1673076923076923</v>
          </cell>
          <cell r="M49">
            <v>0.14245014245014245</v>
          </cell>
          <cell r="N49">
            <v>8.8709677419354843E-2</v>
          </cell>
          <cell r="O49">
            <v>0.13646788990825687</v>
          </cell>
          <cell r="P49" t="str">
            <v>X</v>
          </cell>
          <cell r="Q49" t="str">
            <v>Apply after inventory runs out</v>
          </cell>
          <cell r="R49">
            <v>2511</v>
          </cell>
        </row>
        <row r="50">
          <cell r="E50" t="str">
            <v>SEQ18A. S11</v>
          </cell>
          <cell r="F50">
            <v>0</v>
          </cell>
          <cell r="G50">
            <v>7.792207792207792E-2</v>
          </cell>
          <cell r="H50">
            <v>0.1489841986455982</v>
          </cell>
          <cell r="I50">
            <v>8.5798816568047331E-2</v>
          </cell>
          <cell r="J50">
            <v>0.12254901960784313</v>
          </cell>
          <cell r="K50">
            <v>0.10950413223140495</v>
          </cell>
          <cell r="L50">
            <v>0.10192307692307692</v>
          </cell>
          <cell r="M50">
            <v>7.5498575498575499E-2</v>
          </cell>
          <cell r="N50">
            <v>8.4677419354838704E-2</v>
          </cell>
          <cell r="O50">
            <v>9.8337155963302753E-2</v>
          </cell>
          <cell r="P50" t="str">
            <v>X</v>
          </cell>
          <cell r="Q50" t="str">
            <v>Apply after inventory runs out</v>
          </cell>
          <cell r="R50">
            <v>2511</v>
          </cell>
        </row>
        <row r="51">
          <cell r="E51" t="str">
            <v>SEQ24A. S11</v>
          </cell>
          <cell r="F51">
            <v>0</v>
          </cell>
          <cell r="G51">
            <v>7.792207792207792E-2</v>
          </cell>
          <cell r="H51">
            <v>0.11060948081264109</v>
          </cell>
          <cell r="I51">
            <v>0.10059171597633136</v>
          </cell>
          <cell r="J51">
            <v>9.8039215686274508E-2</v>
          </cell>
          <cell r="K51">
            <v>4.3388429752066117E-2</v>
          </cell>
          <cell r="L51">
            <v>0.10192307692307692</v>
          </cell>
          <cell r="M51">
            <v>5.2706552706552709E-2</v>
          </cell>
          <cell r="N51">
            <v>7.6612903225806453E-2</v>
          </cell>
          <cell r="O51">
            <v>7.7694954128440366E-2</v>
          </cell>
          <cell r="P51" t="str">
            <v>X</v>
          </cell>
          <cell r="Q51" t="str">
            <v>Apply after inventory runs out</v>
          </cell>
          <cell r="R51">
            <v>2511</v>
          </cell>
        </row>
        <row r="52">
          <cell r="E52" t="str">
            <v>ICE13M. JU1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9.6153846153846159E-2</v>
          </cell>
          <cell r="M52">
            <v>0.20940170940170941</v>
          </cell>
          <cell r="N52">
            <v>0.18145161290322581</v>
          </cell>
          <cell r="O52">
            <v>6.9380733944954129E-2</v>
          </cell>
          <cell r="P52" t="str">
            <v>X</v>
          </cell>
          <cell r="Q52" t="str">
            <v>Apply after inventory runs out</v>
          </cell>
          <cell r="R52">
            <v>2602</v>
          </cell>
        </row>
        <row r="53">
          <cell r="E53" t="str">
            <v>ICE18M. KU1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5.2419354838709679E-2</v>
          </cell>
          <cell r="O53">
            <v>3.7270642201834864E-3</v>
          </cell>
          <cell r="P53" t="str">
            <v>X</v>
          </cell>
          <cell r="Q53" t="str">
            <v>Apply after inventory runs out</v>
          </cell>
          <cell r="R53">
            <v>2602</v>
          </cell>
        </row>
        <row r="54">
          <cell r="E54" t="str">
            <v>ICE24M. KU1</v>
          </cell>
          <cell r="P54" t="str">
            <v>X</v>
          </cell>
          <cell r="Q54" t="str">
            <v>Apply after inventory runs out</v>
          </cell>
          <cell r="R54">
            <v>2602</v>
          </cell>
        </row>
        <row r="55">
          <cell r="E55" t="str">
            <v>AS10GDBY0. ABAE</v>
          </cell>
          <cell r="F55">
            <v>0</v>
          </cell>
          <cell r="G55">
            <v>1.6216216216216217E-2</v>
          </cell>
          <cell r="H55">
            <v>0.14285714285714285</v>
          </cell>
          <cell r="I55">
            <v>0.13043478260869565</v>
          </cell>
          <cell r="J55">
            <v>0.16666666666666666</v>
          </cell>
          <cell r="K55">
            <v>0.12030075187969924</v>
          </cell>
          <cell r="L55">
            <v>0.06</v>
          </cell>
          <cell r="M55">
            <v>9.9315068493150679E-2</v>
          </cell>
          <cell r="N55">
            <v>0.17910447761194029</v>
          </cell>
          <cell r="O55">
            <v>8.3533653846153841E-2</v>
          </cell>
          <cell r="P55" t="str">
            <v>O</v>
          </cell>
        </row>
        <row r="56">
          <cell r="E56" t="str">
            <v>AS60GHWG0. ABAE</v>
          </cell>
          <cell r="F56">
            <v>0.45578231292517007</v>
          </cell>
          <cell r="G56">
            <v>0.19459459459459461</v>
          </cell>
          <cell r="H56">
            <v>0.23152709359605911</v>
          </cell>
          <cell r="I56">
            <v>0.18115942028985507</v>
          </cell>
          <cell r="J56">
            <v>0.31372549019607843</v>
          </cell>
          <cell r="K56">
            <v>0.18796992481203006</v>
          </cell>
          <cell r="L56">
            <v>0.19600000000000001</v>
          </cell>
          <cell r="M56">
            <v>8.5616438356164379E-2</v>
          </cell>
          <cell r="N56">
            <v>0.1044776119402985</v>
          </cell>
          <cell r="O56">
            <v>0.22836538461538461</v>
          </cell>
          <cell r="P56" t="str">
            <v>O</v>
          </cell>
        </row>
        <row r="57">
          <cell r="E57" t="str">
            <v>AS65GDBY0. ABAE</v>
          </cell>
          <cell r="F57">
            <v>0</v>
          </cell>
          <cell r="G57">
            <v>3.2432432432432434E-2</v>
          </cell>
          <cell r="H57">
            <v>0.42364532019704432</v>
          </cell>
          <cell r="I57">
            <v>0.41304347826086957</v>
          </cell>
          <cell r="J57">
            <v>0.48039215686274511</v>
          </cell>
          <cell r="K57">
            <v>0.35338345864661652</v>
          </cell>
          <cell r="L57">
            <v>0.21199999999999999</v>
          </cell>
          <cell r="M57">
            <v>0.33904109589041098</v>
          </cell>
          <cell r="N57">
            <v>0.31343283582089554</v>
          </cell>
          <cell r="O57">
            <v>0.25120192307692307</v>
          </cell>
          <cell r="P57" t="str">
            <v>O</v>
          </cell>
        </row>
        <row r="58">
          <cell r="E58" t="str">
            <v>AS55GGWX0. ABAE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0.33834586466165412</v>
          </cell>
          <cell r="L58">
            <v>0.16400000000000001</v>
          </cell>
          <cell r="M58">
            <v>0.11986301369863013</v>
          </cell>
          <cell r="N58">
            <v>5.9701492537313432E-2</v>
          </cell>
          <cell r="O58">
            <v>7.5120192307692304E-2</v>
          </cell>
          <cell r="P58" t="str">
            <v>O</v>
          </cell>
        </row>
        <row r="59">
          <cell r="E59" t="str">
            <v>AS35GGW10. ATH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0.36799999999999999</v>
          </cell>
          <cell r="M59">
            <v>0.35616438356164382</v>
          </cell>
          <cell r="N59">
            <v>0.34328358208955223</v>
          </cell>
          <cell r="O59">
            <v>0.13161057692307693</v>
          </cell>
          <cell r="P59" t="str">
            <v>O</v>
          </cell>
          <cell r="Q59" t="str">
            <v>EOL after season end</v>
          </cell>
        </row>
        <row r="60">
          <cell r="E60" t="str">
            <v>MD19GQGA1. ATH</v>
          </cell>
          <cell r="F60">
            <v>1</v>
          </cell>
          <cell r="G60">
            <v>1</v>
          </cell>
          <cell r="H60">
            <v>1</v>
          </cell>
          <cell r="I60">
            <v>1</v>
          </cell>
          <cell r="J60">
            <v>1</v>
          </cell>
          <cell r="K60">
            <v>1</v>
          </cell>
          <cell r="L60">
            <v>1</v>
          </cell>
          <cell r="M60">
            <v>1</v>
          </cell>
          <cell r="N60">
            <v>1</v>
          </cell>
          <cell r="O60">
            <v>1</v>
          </cell>
          <cell r="P60" t="str">
            <v>X</v>
          </cell>
          <cell r="Q60" t="str">
            <v>Apply after inventory runs out</v>
          </cell>
          <cell r="R60">
            <v>2602</v>
          </cell>
        </row>
        <row r="61">
          <cell r="E61" t="str">
            <v>ZV-Q18GM1E0. EWGHATH</v>
          </cell>
          <cell r="K61">
            <v>0</v>
          </cell>
          <cell r="L61">
            <v>0</v>
          </cell>
          <cell r="M61">
            <v>3.8461538461538464E-2</v>
          </cell>
          <cell r="N61">
            <v>7.6923076923076927E-2</v>
          </cell>
          <cell r="O61">
            <v>2.9850746268656716E-2</v>
          </cell>
          <cell r="P61" t="str">
            <v>X</v>
          </cell>
        </row>
        <row r="62">
          <cell r="E62" t="str">
            <v>ZV-Q24GM1E0. EWGHATH</v>
          </cell>
          <cell r="K62">
            <v>0</v>
          </cell>
          <cell r="L62">
            <v>0</v>
          </cell>
          <cell r="M62">
            <v>3.8461538461538464E-2</v>
          </cell>
          <cell r="N62">
            <v>0</v>
          </cell>
          <cell r="O62">
            <v>1.4925373134328358E-2</v>
          </cell>
          <cell r="P62" t="str">
            <v>X</v>
          </cell>
        </row>
        <row r="63">
          <cell r="E63" t="str">
            <v>ZV-Q36GM2E0. EWGHATH</v>
          </cell>
          <cell r="K63">
            <v>0</v>
          </cell>
          <cell r="L63">
            <v>0.22222222222222221</v>
          </cell>
          <cell r="M63">
            <v>0.15384615384615385</v>
          </cell>
          <cell r="N63">
            <v>0</v>
          </cell>
          <cell r="O63">
            <v>8.9552238805970144E-2</v>
          </cell>
          <cell r="P63" t="str">
            <v>X</v>
          </cell>
        </row>
        <row r="64">
          <cell r="E64" t="str">
            <v>ZT-Q18GPLE0. EWGHATH</v>
          </cell>
          <cell r="K64">
            <v>0.10526315789473684</v>
          </cell>
          <cell r="L64">
            <v>0</v>
          </cell>
          <cell r="M64">
            <v>0</v>
          </cell>
          <cell r="N64">
            <v>0</v>
          </cell>
          <cell r="O64">
            <v>2.9850746268656716E-2</v>
          </cell>
          <cell r="P64" t="str">
            <v>X</v>
          </cell>
        </row>
        <row r="65">
          <cell r="E65" t="str">
            <v>ZT-Q24GPLA0. EWGHATH</v>
          </cell>
          <cell r="K65">
            <v>0.21052631578947367</v>
          </cell>
          <cell r="L65">
            <v>0</v>
          </cell>
          <cell r="M65">
            <v>0.30769230769230771</v>
          </cell>
          <cell r="N65">
            <v>0.61538461538461542</v>
          </cell>
          <cell r="O65">
            <v>0.29850746268656714</v>
          </cell>
          <cell r="P65" t="str">
            <v>X</v>
          </cell>
        </row>
        <row r="66">
          <cell r="E66" t="str">
            <v>ZT-Q36GNLA0. EWGHATH</v>
          </cell>
          <cell r="K66">
            <v>0.21052631578947367</v>
          </cell>
          <cell r="L66">
            <v>0.33333333333333331</v>
          </cell>
          <cell r="M66">
            <v>0.19230769230769232</v>
          </cell>
          <cell r="N66">
            <v>0.15384615384615385</v>
          </cell>
          <cell r="O66">
            <v>0.20895522388059701</v>
          </cell>
          <cell r="P66" t="str">
            <v>X</v>
          </cell>
        </row>
        <row r="67">
          <cell r="E67" t="str">
            <v>ZT-Q12GULA0. EWGHATH</v>
          </cell>
          <cell r="K67">
            <v>0.15789473684210525</v>
          </cell>
          <cell r="L67">
            <v>0</v>
          </cell>
          <cell r="M67">
            <v>0</v>
          </cell>
          <cell r="N67">
            <v>0</v>
          </cell>
          <cell r="O67">
            <v>4.4776119402985072E-2</v>
          </cell>
          <cell r="P67" t="str">
            <v>X</v>
          </cell>
        </row>
        <row r="68">
          <cell r="E68" t="str">
            <v>ZT-Q18GTLA0. EWGHATH</v>
          </cell>
          <cell r="O68">
            <v>0</v>
          </cell>
          <cell r="P68" t="str">
            <v>X</v>
          </cell>
        </row>
        <row r="69">
          <cell r="E69" t="str">
            <v>ZT-Q24GTLA0. EWGHATH</v>
          </cell>
          <cell r="K69">
            <v>0.10526315789473684</v>
          </cell>
          <cell r="L69">
            <v>0</v>
          </cell>
          <cell r="M69">
            <v>0</v>
          </cell>
          <cell r="N69">
            <v>0</v>
          </cell>
          <cell r="O69">
            <v>2.9850746268656716E-2</v>
          </cell>
          <cell r="P69" t="str">
            <v>X</v>
          </cell>
        </row>
        <row r="70">
          <cell r="E70" t="str">
            <v>ZT-Q36GYLA0. EWGHATH</v>
          </cell>
          <cell r="K70">
            <v>0.15789473684210525</v>
          </cell>
          <cell r="L70">
            <v>0.1111111111111111</v>
          </cell>
          <cell r="M70">
            <v>0.23076923076923078</v>
          </cell>
          <cell r="N70">
            <v>0</v>
          </cell>
          <cell r="O70">
            <v>0.14925373134328357</v>
          </cell>
          <cell r="P70" t="str">
            <v>X</v>
          </cell>
        </row>
        <row r="71">
          <cell r="E71" t="str">
            <v>ZT-Q48GYLA0. EWGHATH</v>
          </cell>
          <cell r="K71">
            <v>5.2631578947368418E-2</v>
          </cell>
          <cell r="L71">
            <v>0.1111111111111111</v>
          </cell>
          <cell r="M71">
            <v>0</v>
          </cell>
          <cell r="N71">
            <v>0.15384615384615385</v>
          </cell>
          <cell r="O71">
            <v>5.9701492537313432E-2</v>
          </cell>
          <cell r="P71" t="str">
            <v>X</v>
          </cell>
        </row>
        <row r="72">
          <cell r="E72" t="str">
            <v>ZT-Q48GMLA0. EWGHATH</v>
          </cell>
          <cell r="K72">
            <v>0</v>
          </cell>
          <cell r="L72">
            <v>0.22222222222222221</v>
          </cell>
          <cell r="M72">
            <v>3.8461538461538464E-2</v>
          </cell>
          <cell r="N72">
            <v>0</v>
          </cell>
          <cell r="O72">
            <v>4.4776119402985072E-2</v>
          </cell>
          <cell r="P72" t="str">
            <v>X</v>
          </cell>
        </row>
        <row r="73">
          <cell r="E73" t="str">
            <v>32LQ630BPSA. ATM</v>
          </cell>
          <cell r="F73">
            <v>0</v>
          </cell>
          <cell r="G73">
            <v>0</v>
          </cell>
          <cell r="H73">
            <v>0</v>
          </cell>
          <cell r="I73">
            <v>0.08</v>
          </cell>
          <cell r="J73">
            <v>9.0909090909090912E-2</v>
          </cell>
          <cell r="K73">
            <v>0.17316017316017315</v>
          </cell>
          <cell r="L73">
            <v>0.14538310412573674</v>
          </cell>
          <cell r="M73">
            <v>0.1443089430894309</v>
          </cell>
          <cell r="N73">
            <v>0.13089005235602094</v>
          </cell>
          <cell r="O73">
            <v>0.12104825291181365</v>
          </cell>
          <cell r="P73" t="str">
            <v>O</v>
          </cell>
        </row>
        <row r="74">
          <cell r="E74" t="str">
            <v>65UA8450PSA. ATM</v>
          </cell>
          <cell r="F74">
            <v>0</v>
          </cell>
          <cell r="G74">
            <v>0</v>
          </cell>
          <cell r="H74">
            <v>0</v>
          </cell>
          <cell r="I74">
            <v>0.04</v>
          </cell>
          <cell r="J74">
            <v>0.31034482758620691</v>
          </cell>
          <cell r="K74">
            <v>0.2857142857142857</v>
          </cell>
          <cell r="L74">
            <v>0.18860510805500982</v>
          </cell>
          <cell r="M74">
            <v>0.21747967479674796</v>
          </cell>
          <cell r="N74">
            <v>0.2879581151832461</v>
          </cell>
          <cell r="O74">
            <v>0.20590682196339435</v>
          </cell>
          <cell r="P74" t="str">
            <v>O</v>
          </cell>
        </row>
        <row r="75">
          <cell r="E75" t="str">
            <v>75UA8450PSA. ATMQ</v>
          </cell>
          <cell r="F75">
            <v>0</v>
          </cell>
          <cell r="G75">
            <v>0</v>
          </cell>
          <cell r="H75">
            <v>0</v>
          </cell>
          <cell r="I75">
            <v>6.6666666666666671E-3</v>
          </cell>
          <cell r="J75">
            <v>3.134796238244514E-3</v>
          </cell>
          <cell r="K75">
            <v>4.329004329004329E-3</v>
          </cell>
          <cell r="L75">
            <v>0.13948919449901767</v>
          </cell>
          <cell r="M75">
            <v>5.4878048780487805E-2</v>
          </cell>
          <cell r="N75">
            <v>7.8534031413612565E-2</v>
          </cell>
          <cell r="O75">
            <v>4.8668885191347752E-2</v>
          </cell>
          <cell r="P75" t="str">
            <v>O</v>
          </cell>
        </row>
        <row r="76">
          <cell r="E76" t="str">
            <v>55QNED80ASA. ATM</v>
          </cell>
          <cell r="F76">
            <v>0</v>
          </cell>
          <cell r="G76">
            <v>0</v>
          </cell>
          <cell r="H76">
            <v>0</v>
          </cell>
          <cell r="I76">
            <v>6.6666666666666671E-3</v>
          </cell>
          <cell r="J76">
            <v>0.13793103448275862</v>
          </cell>
          <cell r="K76">
            <v>0.11255411255411256</v>
          </cell>
          <cell r="L76">
            <v>0.14341846758349705</v>
          </cell>
          <cell r="M76">
            <v>0.14227642276422764</v>
          </cell>
          <cell r="N76">
            <v>9.947643979057591E-2</v>
          </cell>
          <cell r="O76">
            <v>0.10773710482529118</v>
          </cell>
          <cell r="P76" t="str">
            <v>O</v>
          </cell>
        </row>
        <row r="77">
          <cell r="E77" t="str">
            <v>65QNED82ASA. ATM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9.823182711198428E-3</v>
          </cell>
          <cell r="M77">
            <v>9.7560975609756101E-2</v>
          </cell>
          <cell r="N77">
            <v>0.14659685863874344</v>
          </cell>
          <cell r="O77">
            <v>3.3693843594009981E-2</v>
          </cell>
          <cell r="P77" t="str">
            <v>X</v>
          </cell>
          <cell r="R77">
            <v>2510</v>
          </cell>
        </row>
        <row r="78">
          <cell r="E78" t="str">
            <v>75QNED86ASA. ATM</v>
          </cell>
          <cell r="F78">
            <v>0</v>
          </cell>
          <cell r="G78">
            <v>0</v>
          </cell>
          <cell r="H78">
            <v>0</v>
          </cell>
          <cell r="I78">
            <v>1.3333333333333334E-2</v>
          </cell>
          <cell r="J78">
            <v>7.2100313479623826E-2</v>
          </cell>
          <cell r="K78">
            <v>3.896103896103896E-2</v>
          </cell>
          <cell r="L78">
            <v>4.5186640471512773E-2</v>
          </cell>
          <cell r="M78">
            <v>4.4715447154471545E-2</v>
          </cell>
          <cell r="N78">
            <v>6.2827225130890049E-2</v>
          </cell>
          <cell r="O78">
            <v>4.1597337770382693E-2</v>
          </cell>
          <cell r="P78" t="str">
            <v>O</v>
          </cell>
        </row>
        <row r="79">
          <cell r="E79" t="str">
            <v>86QNED80ASA. ATM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1.7316017316017316E-2</v>
          </cell>
          <cell r="L79">
            <v>2.5540275049115914E-2</v>
          </cell>
          <cell r="M79">
            <v>2.2357723577235773E-2</v>
          </cell>
          <cell r="N79">
            <v>4.712041884816754E-2</v>
          </cell>
          <cell r="O79">
            <v>1.7054908485856904E-2</v>
          </cell>
          <cell r="P79" t="str">
            <v>X</v>
          </cell>
          <cell r="R79">
            <v>2510</v>
          </cell>
        </row>
        <row r="80">
          <cell r="E80" t="str">
            <v>OLED77C5PSA. ATM</v>
          </cell>
          <cell r="F80">
            <v>0</v>
          </cell>
          <cell r="G80">
            <v>0</v>
          </cell>
          <cell r="H80">
            <v>0</v>
          </cell>
          <cell r="I80">
            <v>2.6666666666666668E-2</v>
          </cell>
          <cell r="J80">
            <v>8.4639498432601878E-2</v>
          </cell>
          <cell r="K80">
            <v>4.7619047619047616E-2</v>
          </cell>
          <cell r="L80">
            <v>6.0903732809430254E-2</v>
          </cell>
          <cell r="M80">
            <v>6.7073170731707321E-2</v>
          </cell>
          <cell r="N80">
            <v>5.7591623036649213E-2</v>
          </cell>
          <cell r="O80">
            <v>5.3244592346089852E-2</v>
          </cell>
          <cell r="P80" t="str">
            <v>O</v>
          </cell>
        </row>
        <row r="81">
          <cell r="E81" t="str">
            <v>OLED55C5PSA. ATM</v>
          </cell>
          <cell r="F81">
            <v>0</v>
          </cell>
          <cell r="G81">
            <v>0</v>
          </cell>
          <cell r="H81">
            <v>0</v>
          </cell>
          <cell r="I81">
            <v>6.6666666666666671E-3</v>
          </cell>
          <cell r="J81">
            <v>7.2100313479623826E-2</v>
          </cell>
          <cell r="K81">
            <v>4.5454545454545456E-2</v>
          </cell>
          <cell r="L81">
            <v>3.536345776031434E-2</v>
          </cell>
          <cell r="M81">
            <v>7.7235772357723581E-2</v>
          </cell>
          <cell r="N81">
            <v>1.5706806282722512E-2</v>
          </cell>
          <cell r="O81">
            <v>4.3261231281198007E-2</v>
          </cell>
          <cell r="P81" t="str">
            <v>O</v>
          </cell>
        </row>
        <row r="82">
          <cell r="E82" t="str">
            <v>OLED65C5PSA. ATM</v>
          </cell>
          <cell r="F82">
            <v>0</v>
          </cell>
          <cell r="G82">
            <v>0</v>
          </cell>
          <cell r="H82">
            <v>0</v>
          </cell>
          <cell r="I82">
            <v>1.3333333333333334E-2</v>
          </cell>
          <cell r="J82">
            <v>8.7774294670846395E-2</v>
          </cell>
          <cell r="K82">
            <v>7.575757575757576E-2</v>
          </cell>
          <cell r="L82">
            <v>9.4302554027504912E-2</v>
          </cell>
          <cell r="M82">
            <v>6.3008130081300809E-2</v>
          </cell>
          <cell r="N82">
            <v>3.1413612565445025E-2</v>
          </cell>
          <cell r="O82">
            <v>6.2396006655574043E-2</v>
          </cell>
          <cell r="P82" t="str">
            <v>O</v>
          </cell>
        </row>
        <row r="83">
          <cell r="E83" t="str">
            <v>OLED48C5PSA. ATM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5.6426332288401257E-2</v>
          </cell>
          <cell r="K83">
            <v>4.3290043290043288E-2</v>
          </cell>
          <cell r="L83">
            <v>2.9469548133595286E-2</v>
          </cell>
          <cell r="M83">
            <v>4.065040650406504E-2</v>
          </cell>
          <cell r="N83">
            <v>4.1884816753926704E-2</v>
          </cell>
          <cell r="O83">
            <v>3.3693843594009981E-2</v>
          </cell>
          <cell r="P83" t="str">
            <v>X</v>
          </cell>
          <cell r="R83">
            <v>2510</v>
          </cell>
        </row>
        <row r="84">
          <cell r="E84" t="str">
            <v>27LX6TDGA. ATM</v>
          </cell>
          <cell r="P84" t="str">
            <v>O</v>
          </cell>
        </row>
        <row r="85">
          <cell r="E85" t="str">
            <v>S20A. CTHALLK</v>
          </cell>
          <cell r="P85" t="str">
            <v>X</v>
          </cell>
          <cell r="Q85" t="str">
            <v>Apply after inventory runs out</v>
          </cell>
          <cell r="R85">
            <v>2602</v>
          </cell>
        </row>
        <row r="86">
          <cell r="E86" t="str">
            <v>S40T. DTHALLK</v>
          </cell>
          <cell r="F86">
            <v>0.11538461538461539</v>
          </cell>
          <cell r="G86">
            <v>0.17857142857142858</v>
          </cell>
          <cell r="H86">
            <v>0.17857142857142858</v>
          </cell>
          <cell r="I86">
            <v>0.18181818181818182</v>
          </cell>
          <cell r="J86">
            <v>0.21052631578947367</v>
          </cell>
          <cell r="K86">
            <v>0.19277108433734941</v>
          </cell>
          <cell r="L86">
            <v>0.11976047904191617</v>
          </cell>
          <cell r="M86">
            <v>8.8397790055248615E-2</v>
          </cell>
          <cell r="N86">
            <v>4.9689440993788817E-2</v>
          </cell>
          <cell r="O86">
            <v>0.12132822477650064</v>
          </cell>
          <cell r="P86" t="str">
            <v>X</v>
          </cell>
          <cell r="R86">
            <v>2511</v>
          </cell>
        </row>
        <row r="87">
          <cell r="E87" t="str">
            <v>S70TY. ATHALLK</v>
          </cell>
          <cell r="F87">
            <v>0.11538461538461539</v>
          </cell>
          <cell r="G87">
            <v>0.17857142857142858</v>
          </cell>
          <cell r="H87">
            <v>0.14285714285714285</v>
          </cell>
          <cell r="I87">
            <v>0.24242424242424243</v>
          </cell>
          <cell r="J87">
            <v>0.19736842105263158</v>
          </cell>
          <cell r="K87">
            <v>0.3493975903614458</v>
          </cell>
          <cell r="L87">
            <v>0.24550898203592814</v>
          </cell>
          <cell r="M87">
            <v>0.16574585635359115</v>
          </cell>
          <cell r="N87">
            <v>8.0745341614906832E-2</v>
          </cell>
          <cell r="O87">
            <v>0.18901660280970625</v>
          </cell>
          <cell r="P87" t="str">
            <v>X</v>
          </cell>
          <cell r="R87">
            <v>2511</v>
          </cell>
        </row>
        <row r="88">
          <cell r="E88" t="str">
            <v>SG10TY. DTHALLK</v>
          </cell>
          <cell r="F88">
            <v>0.30769230769230771</v>
          </cell>
          <cell r="G88">
            <v>0.14285714285714285</v>
          </cell>
          <cell r="H88">
            <v>0.21428571428571427</v>
          </cell>
          <cell r="I88">
            <v>0.27272727272727271</v>
          </cell>
          <cell r="J88">
            <v>0.25</v>
          </cell>
          <cell r="K88">
            <v>6.0240963855421686E-2</v>
          </cell>
          <cell r="L88">
            <v>0.12574850299401197</v>
          </cell>
          <cell r="M88">
            <v>0.16022099447513813</v>
          </cell>
          <cell r="N88">
            <v>6.2111801242236021E-3</v>
          </cell>
          <cell r="O88">
            <v>0.13026819923371646</v>
          </cell>
          <cell r="P88" t="str">
            <v>X</v>
          </cell>
          <cell r="R88">
            <v>2511</v>
          </cell>
        </row>
        <row r="89">
          <cell r="E89" t="str">
            <v>BOUNCE. ATHALBK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3.614457831325301E-2</v>
          </cell>
          <cell r="L89">
            <v>0.23353293413173654</v>
          </cell>
          <cell r="M89">
            <v>0.287292817679558</v>
          </cell>
          <cell r="N89">
            <v>0.55900621118012417</v>
          </cell>
          <cell r="O89">
            <v>0.23499361430395913</v>
          </cell>
          <cell r="P89" t="str">
            <v>O</v>
          </cell>
        </row>
        <row r="90">
          <cell r="E90" t="str">
            <v>SC9S. DTHALLM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7.2289156626506021E-2</v>
          </cell>
          <cell r="L90">
            <v>0.18562874251497005</v>
          </cell>
          <cell r="M90">
            <v>9.3922651933701654E-2</v>
          </cell>
          <cell r="N90">
            <v>0</v>
          </cell>
          <cell r="O90">
            <v>6.8965517241379309E-2</v>
          </cell>
          <cell r="P90" t="str">
            <v>O</v>
          </cell>
        </row>
        <row r="91">
          <cell r="E91" t="str">
            <v>GRAB. ATHALBK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8.9820359281437126E-2</v>
          </cell>
          <cell r="M91">
            <v>0.20441988950276244</v>
          </cell>
          <cell r="N91">
            <v>0.30434782608695654</v>
          </cell>
          <cell r="O91">
            <v>0.12899106002554278</v>
          </cell>
          <cell r="P91" t="str">
            <v>O</v>
          </cell>
        </row>
        <row r="92">
          <cell r="E92" t="str">
            <v>27GX790A-B. ATM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9.7826086956521743E-2</v>
          </cell>
          <cell r="K92">
            <v>0.16666666666666666</v>
          </cell>
          <cell r="L92">
            <v>6.5384615384615388E-2</v>
          </cell>
          <cell r="M92">
            <v>3.9344262295081971E-2</v>
          </cell>
          <cell r="N92">
            <v>5.6179775280898875E-2</v>
          </cell>
          <cell r="O92">
            <v>4.912280701754386E-2</v>
          </cell>
          <cell r="P92" t="str">
            <v>X</v>
          </cell>
          <cell r="R92">
            <v>2510</v>
          </cell>
        </row>
        <row r="93">
          <cell r="E93" t="str">
            <v>32U889SA-W. ATM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3.8461538461538464E-2</v>
          </cell>
          <cell r="L93">
            <v>0.75</v>
          </cell>
          <cell r="M93">
            <v>0.6262295081967213</v>
          </cell>
          <cell r="N93">
            <v>0.6853932584269663</v>
          </cell>
          <cell r="O93">
            <v>0.39473684210526316</v>
          </cell>
          <cell r="P93" t="str">
            <v>O</v>
          </cell>
        </row>
        <row r="94">
          <cell r="E94" t="str">
            <v>27U411A-B. ATMQ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1.282051282051282E-2</v>
          </cell>
          <cell r="L94">
            <v>6.5384615384615388E-2</v>
          </cell>
          <cell r="M94">
            <v>9.1803278688524587E-2</v>
          </cell>
          <cell r="N94">
            <v>7.8651685393258425E-2</v>
          </cell>
          <cell r="O94">
            <v>4.6491228070175437E-2</v>
          </cell>
          <cell r="P94" t="str">
            <v>X</v>
          </cell>
          <cell r="R94">
            <v>2510</v>
          </cell>
        </row>
        <row r="95">
          <cell r="E95" t="str">
            <v>34GX90SA-W. ATM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0.14754098360655737</v>
          </cell>
          <cell r="N95">
            <v>0.16853932584269662</v>
          </cell>
          <cell r="O95">
            <v>5.2631578947368418E-2</v>
          </cell>
          <cell r="P95" t="str">
            <v>O</v>
          </cell>
        </row>
        <row r="96">
          <cell r="E96" t="str">
            <v>32U731SA-W. ATM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3.2786885245901639E-3</v>
          </cell>
          <cell r="N96">
            <v>1.1235955056179775E-2</v>
          </cell>
          <cell r="O96">
            <v>1.7543859649122807E-3</v>
          </cell>
          <cell r="P96" t="str">
            <v>O</v>
          </cell>
        </row>
        <row r="97">
          <cell r="E97" t="str">
            <v>45GX950A-B. ATM</v>
          </cell>
          <cell r="P97" t="str">
            <v>O</v>
          </cell>
        </row>
        <row r="98">
          <cell r="E98" t="str">
            <v>AS25GCBY0. ABAE</v>
          </cell>
          <cell r="P98" t="str">
            <v>O</v>
          </cell>
        </row>
        <row r="99">
          <cell r="E99" t="str">
            <v>DD23GMWE1</v>
          </cell>
          <cell r="P99" t="str">
            <v>O</v>
          </cell>
        </row>
        <row r="100">
          <cell r="E100" t="str">
            <v>SAQ18B. S21</v>
          </cell>
          <cell r="P100" t="str">
            <v>O</v>
          </cell>
        </row>
        <row r="101">
          <cell r="E101" t="str">
            <v>SAQ24B. S21</v>
          </cell>
          <cell r="P101" t="str">
            <v>O</v>
          </cell>
        </row>
        <row r="102">
          <cell r="E102" t="str">
            <v>SIQ11B. S01</v>
          </cell>
          <cell r="P102" t="str">
            <v>O</v>
          </cell>
        </row>
        <row r="103">
          <cell r="E103" t="str">
            <v>SIQ13B. S01</v>
          </cell>
          <cell r="P103" t="str">
            <v>O</v>
          </cell>
        </row>
        <row r="104">
          <cell r="E104" t="str">
            <v>SIQ18B. S11</v>
          </cell>
          <cell r="P104" t="str">
            <v>O</v>
          </cell>
        </row>
        <row r="105">
          <cell r="E105" t="str">
            <v>SIQ24B. S11</v>
          </cell>
          <cell r="P105" t="str">
            <v>O</v>
          </cell>
        </row>
        <row r="106">
          <cell r="E106" t="str">
            <v>IXY11A. JU1</v>
          </cell>
          <cell r="P106" t="str">
            <v>O</v>
          </cell>
        </row>
        <row r="107">
          <cell r="E107" t="str">
            <v>IXY13A. JU1</v>
          </cell>
          <cell r="P107" t="str">
            <v>O</v>
          </cell>
        </row>
        <row r="108">
          <cell r="E108" t="str">
            <v>IXY18A. KU1</v>
          </cell>
          <cell r="P108" t="str">
            <v>O</v>
          </cell>
        </row>
        <row r="109">
          <cell r="E109" t="str">
            <v>IXY24A. KU1</v>
          </cell>
          <cell r="P109" t="str">
            <v>O</v>
          </cell>
        </row>
        <row r="110">
          <cell r="E110" t="str">
            <v>Stage301</v>
          </cell>
          <cell r="P110" t="str">
            <v>O</v>
          </cell>
        </row>
        <row r="111">
          <cell r="E111" t="str">
            <v>AS25GCBY0.ABAE</v>
          </cell>
          <cell r="P111" t="str">
            <v>O</v>
          </cell>
        </row>
        <row r="112">
          <cell r="E112" t="str">
            <v>SAQ18B.S21</v>
          </cell>
          <cell r="P112" t="str">
            <v>O</v>
          </cell>
        </row>
        <row r="113">
          <cell r="E113" t="str">
            <v>SAQ24B.S21</v>
          </cell>
          <cell r="P113" t="str">
            <v>O</v>
          </cell>
        </row>
        <row r="114">
          <cell r="E114" t="str">
            <v>SIQ11B.S01</v>
          </cell>
          <cell r="P114" t="str">
            <v>O</v>
          </cell>
        </row>
        <row r="115">
          <cell r="E115" t="str">
            <v>SIQ13B.S01</v>
          </cell>
          <cell r="P115" t="str">
            <v>O</v>
          </cell>
        </row>
        <row r="116">
          <cell r="E116" t="str">
            <v>SIQ18B.S11</v>
          </cell>
          <cell r="P116" t="str">
            <v>O</v>
          </cell>
        </row>
        <row r="117">
          <cell r="E117" t="str">
            <v>SIQ24B.S11</v>
          </cell>
          <cell r="P117" t="str">
            <v>O</v>
          </cell>
        </row>
        <row r="118">
          <cell r="E118" t="str">
            <v>27GX704A</v>
          </cell>
          <cell r="P118" t="str">
            <v>O</v>
          </cell>
        </row>
        <row r="119">
          <cell r="E119" t="str">
            <v>34U650A-B.ATM</v>
          </cell>
        </row>
        <row r="120">
          <cell r="E120" t="str">
            <v>GC-X257CMHW.AEEPLMT</v>
          </cell>
          <cell r="P120" t="str">
            <v>O</v>
          </cell>
        </row>
        <row r="121">
          <cell r="E121" t="str">
            <v>VN3 G</v>
          </cell>
        </row>
        <row r="122">
          <cell r="E122" t="str">
            <v>VN3 G</v>
          </cell>
        </row>
        <row r="123">
          <cell r="E123" t="str">
            <v>VN5 G</v>
          </cell>
        </row>
        <row r="124">
          <cell r="E124" t="str">
            <v>WT2520NHEG.ABGPETH</v>
          </cell>
          <cell r="P124" t="str">
            <v>O</v>
          </cell>
        </row>
        <row r="125">
          <cell r="E125" t="str">
            <v>WT2520NHEN.ABNPETH</v>
          </cell>
          <cell r="P125" t="str">
            <v>O</v>
          </cell>
        </row>
        <row r="126">
          <cell r="E126" t="str">
            <v>VX X950 (600)</v>
          </cell>
        </row>
        <row r="127">
          <cell r="E127" t="str">
            <v>GVX X500(550)</v>
          </cell>
        </row>
        <row r="128">
          <cell r="E128" t="str">
            <v>FX</v>
          </cell>
        </row>
        <row r="129">
          <cell r="E129" t="str">
            <v>XV X700(600)</v>
          </cell>
        </row>
        <row r="130">
          <cell r="E130" t="str">
            <v>TX 27" X750S</v>
          </cell>
        </row>
        <row r="131">
          <cell r="E131" t="str">
            <v>25” TX X750S​</v>
          </cell>
        </row>
        <row r="132">
          <cell r="E132" t="str">
            <v>TX2315DT5G.DEGPETH</v>
          </cell>
          <cell r="P132" t="str">
            <v>O</v>
          </cell>
        </row>
        <row r="133">
          <cell r="E133" t="str">
            <v>VX-D X700​</v>
          </cell>
        </row>
        <row r="134">
          <cell r="E134" t="str">
            <v>IX2.0</v>
          </cell>
        </row>
        <row r="135">
          <cell r="E135" t="str">
            <v>MX냉온정</v>
          </cell>
        </row>
        <row r="136">
          <cell r="E136" t="str">
            <v>V Refresh</v>
          </cell>
        </row>
        <row r="137">
          <cell r="E137" t="str">
            <v>직수 RO</v>
          </cell>
        </row>
        <row r="138">
          <cell r="E138" t="str">
            <v>S1, S2 Refresh</v>
          </cell>
        </row>
        <row r="139">
          <cell r="E139" t="str">
            <v>A9X-Lite</v>
          </cell>
        </row>
        <row r="140">
          <cell r="E140" t="str">
            <v>A9X</v>
          </cell>
        </row>
        <row r="141">
          <cell r="E141" t="str">
            <v>Arte Up</v>
          </cell>
        </row>
        <row r="142">
          <cell r="E142" t="str">
            <v>전통형 안마의자</v>
          </cell>
        </row>
        <row r="143">
          <cell r="E143" t="str">
            <v>월핏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IRINART SRITHONGKHAM/LGETH DST SUBSCRIPTION" id="{441CFDE8-1BA6-4DB1-AC52-CF923E16414E}" userId="S::sirinart.kung@lge.com::451d3330-e457-4e9c-858f-9900a7be737c" providerId="AD"/>
</personList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15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5" dT="2026-01-20T14:33:36.08" personId="{441CFDE8-1BA6-4DB1-AC52-CF923E16414E}" id="{D98FB6C3-33AC-45EA-9021-43D531F03FD9}">
    <text>Start 21.01.2026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B1:AS24"/>
  <sheetViews>
    <sheetView showGridLines="0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H14" sqref="H14"/>
    </sheetView>
  </sheetViews>
  <sheetFormatPr defaultColWidth="8.81640625" defaultRowHeight="16" customHeight="1"/>
  <cols>
    <col min="1" max="1" width="1.26953125" style="1" customWidth="1"/>
    <col min="2" max="2" width="12" style="130" customWidth="1"/>
    <col min="3" max="3" width="20.453125" style="1" customWidth="1"/>
    <col min="4" max="4" width="26.7265625" style="1" hidden="1" customWidth="1"/>
    <col min="5" max="5" width="7.26953125" style="3" customWidth="1"/>
    <col min="6" max="6" width="9.54296875" style="4" customWidth="1"/>
    <col min="7" max="7" width="10" style="3" customWidth="1"/>
    <col min="8" max="8" width="9.81640625" style="4" customWidth="1"/>
    <col min="9" max="9" width="9.453125" style="2" customWidth="1"/>
    <col min="10" max="10" width="8.26953125" style="1" customWidth="1"/>
    <col min="11" max="11" width="8.453125" style="149" customWidth="1"/>
    <col min="12" max="12" width="8.453125" style="1" customWidth="1"/>
    <col min="13" max="13" width="8.453125" style="1" hidden="1" customWidth="1"/>
    <col min="14" max="14" width="10.81640625" style="1" customWidth="1"/>
    <col min="15" max="16" width="9.453125" style="5" hidden="1" customWidth="1"/>
    <col min="17" max="17" width="8.453125" style="5" customWidth="1"/>
    <col min="18" max="18" width="7.453125" style="130" customWidth="1"/>
    <col min="19" max="19" width="7.1796875" style="1" customWidth="1"/>
    <col min="20" max="21" width="8.453125" style="8" customWidth="1"/>
    <col min="22" max="22" width="8.453125" style="8" hidden="1" customWidth="1"/>
    <col min="23" max="23" width="10.36328125" style="8" customWidth="1"/>
    <col min="24" max="25" width="11.7265625" style="5" hidden="1" customWidth="1"/>
    <col min="26" max="26" width="8.453125" style="5" customWidth="1"/>
    <col min="27" max="27" width="9.26953125" style="130" customWidth="1"/>
    <col min="28" max="28" width="7.26953125" style="1" customWidth="1"/>
    <col min="29" max="29" width="6.81640625" style="1" customWidth="1"/>
    <col min="30" max="30" width="12.54296875" style="1" customWidth="1"/>
    <col min="31" max="31" width="8.453125" style="1" hidden="1" customWidth="1"/>
    <col min="32" max="32" width="10.54296875" style="1" customWidth="1"/>
    <col min="33" max="34" width="10.54296875" style="1" hidden="1" customWidth="1"/>
    <col min="35" max="35" width="8.7265625" style="1" customWidth="1"/>
    <col min="36" max="36" width="7.54296875" style="91" customWidth="1"/>
    <col min="37" max="37" width="6.81640625" style="1" customWidth="1"/>
    <col min="38" max="38" width="6.81640625" style="91" customWidth="1"/>
    <col min="39" max="39" width="9.7265625" style="1" customWidth="1"/>
    <col min="40" max="40" width="9.7265625" style="1" hidden="1" customWidth="1"/>
    <col min="41" max="41" width="9.7265625" style="1" customWidth="1"/>
    <col min="42" max="43" width="10.81640625" style="1" hidden="1" customWidth="1"/>
    <col min="44" max="44" width="9.1796875" style="91" customWidth="1"/>
    <col min="45" max="45" width="8.453125" style="1" customWidth="1"/>
    <col min="46" max="16384" width="8.81640625" style="1"/>
  </cols>
  <sheetData>
    <row r="1" spans="2:45" ht="12" customHeight="1"/>
    <row r="2" spans="2:45" ht="23.25" customHeight="1">
      <c r="C2" s="9" t="s">
        <v>818</v>
      </c>
    </row>
    <row r="3" spans="2:45" ht="22.5" customHeight="1">
      <c r="B3" s="373"/>
      <c r="C3" s="29"/>
      <c r="D3" s="16"/>
      <c r="E3" s="1256" t="s">
        <v>32</v>
      </c>
      <c r="F3" s="1257"/>
      <c r="G3" s="1257"/>
      <c r="H3" s="1258"/>
      <c r="I3" s="1244" t="s">
        <v>192</v>
      </c>
      <c r="J3" s="1241" t="s">
        <v>81</v>
      </c>
      <c r="K3" s="1242"/>
      <c r="L3" s="1242"/>
      <c r="M3" s="1242"/>
      <c r="N3" s="1242"/>
      <c r="O3" s="1242"/>
      <c r="P3" s="1242"/>
      <c r="Q3" s="1242"/>
      <c r="R3" s="1242"/>
      <c r="S3" s="1242"/>
      <c r="T3" s="1242"/>
      <c r="U3" s="1242"/>
      <c r="V3" s="1242"/>
      <c r="W3" s="1242"/>
      <c r="X3" s="1242"/>
      <c r="Y3" s="1242"/>
      <c r="Z3" s="1242"/>
      <c r="AA3" s="1242"/>
      <c r="AB3" s="1242"/>
      <c r="AC3" s="1242"/>
      <c r="AD3" s="1242"/>
      <c r="AE3" s="1242"/>
      <c r="AF3" s="1242"/>
      <c r="AG3" s="1242"/>
      <c r="AH3" s="1242"/>
      <c r="AI3" s="1242"/>
      <c r="AJ3" s="1242"/>
      <c r="AK3" s="1242"/>
      <c r="AL3" s="1242"/>
      <c r="AM3" s="1242"/>
      <c r="AN3" s="1242"/>
      <c r="AO3" s="1242"/>
      <c r="AP3" s="1242"/>
      <c r="AQ3" s="1242"/>
      <c r="AR3" s="1242"/>
      <c r="AS3" s="1243"/>
    </row>
    <row r="4" spans="2:45" ht="30" customHeight="1">
      <c r="B4" s="374"/>
      <c r="C4" s="30"/>
      <c r="D4" s="6"/>
      <c r="E4" s="1259"/>
      <c r="F4" s="1260"/>
      <c r="G4" s="1260"/>
      <c r="H4" s="1261"/>
      <c r="I4" s="1245"/>
      <c r="J4" s="1246" t="s">
        <v>185</v>
      </c>
      <c r="K4" s="1247"/>
      <c r="L4" s="1247"/>
      <c r="M4" s="1247"/>
      <c r="N4" s="1247"/>
      <c r="O4" s="1247"/>
      <c r="P4" s="1247"/>
      <c r="Q4" s="1247"/>
      <c r="R4" s="1247"/>
      <c r="S4" s="1247"/>
      <c r="T4" s="1248"/>
      <c r="U4" s="1248"/>
      <c r="V4" s="1248"/>
      <c r="W4" s="1248"/>
      <c r="X4" s="1248"/>
      <c r="Y4" s="1248"/>
      <c r="Z4" s="1248"/>
      <c r="AA4" s="1249"/>
      <c r="AB4" s="1236" t="s">
        <v>187</v>
      </c>
      <c r="AC4" s="1236"/>
      <c r="AD4" s="1236"/>
      <c r="AE4" s="1236"/>
      <c r="AF4" s="1236"/>
      <c r="AG4" s="1236"/>
      <c r="AH4" s="1236"/>
      <c r="AI4" s="1236"/>
      <c r="AJ4" s="1236"/>
      <c r="AK4" s="1236"/>
      <c r="AL4" s="1236"/>
      <c r="AM4" s="1236"/>
      <c r="AN4" s="1236"/>
      <c r="AO4" s="1236"/>
      <c r="AP4" s="1236"/>
      <c r="AQ4" s="1236"/>
      <c r="AR4" s="1236"/>
      <c r="AS4" s="1237"/>
    </row>
    <row r="5" spans="2:45" ht="30" customHeight="1">
      <c r="B5" s="374"/>
      <c r="C5" s="30"/>
      <c r="D5" s="6"/>
      <c r="E5" s="1262"/>
      <c r="F5" s="1263"/>
      <c r="G5" s="1263"/>
      <c r="H5" s="1264"/>
      <c r="I5" s="314"/>
      <c r="J5" s="1250" t="s">
        <v>238</v>
      </c>
      <c r="K5" s="1251"/>
      <c r="L5" s="1251"/>
      <c r="M5" s="1251"/>
      <c r="N5" s="1251"/>
      <c r="O5" s="1251"/>
      <c r="P5" s="1251"/>
      <c r="Q5" s="1251"/>
      <c r="R5" s="1252"/>
      <c r="S5" s="1253" t="s">
        <v>237</v>
      </c>
      <c r="T5" s="1248"/>
      <c r="U5" s="1248"/>
      <c r="V5" s="1248"/>
      <c r="W5" s="1248"/>
      <c r="X5" s="1248"/>
      <c r="Y5" s="1248"/>
      <c r="Z5" s="1248"/>
      <c r="AA5" s="1249"/>
      <c r="AB5" s="1254" t="s">
        <v>238</v>
      </c>
      <c r="AC5" s="1236"/>
      <c r="AD5" s="1236"/>
      <c r="AE5" s="1236"/>
      <c r="AF5" s="1236"/>
      <c r="AG5" s="1236"/>
      <c r="AH5" s="1236"/>
      <c r="AI5" s="1236"/>
      <c r="AJ5" s="1255"/>
      <c r="AK5" s="1236" t="s">
        <v>237</v>
      </c>
      <c r="AL5" s="1236"/>
      <c r="AM5" s="1236"/>
      <c r="AN5" s="1236"/>
      <c r="AO5" s="1236"/>
      <c r="AP5" s="1236"/>
      <c r="AQ5" s="1236"/>
      <c r="AR5" s="1236"/>
      <c r="AS5" s="1237"/>
    </row>
    <row r="6" spans="2:45" ht="52" customHeight="1">
      <c r="B6" s="375" t="s">
        <v>259</v>
      </c>
      <c r="C6" s="170" t="s">
        <v>40</v>
      </c>
      <c r="D6" s="6"/>
      <c r="E6" s="18" t="s">
        <v>25</v>
      </c>
      <c r="F6" s="19" t="s">
        <v>76</v>
      </c>
      <c r="G6" s="18" t="s">
        <v>0</v>
      </c>
      <c r="H6" s="19" t="s">
        <v>76</v>
      </c>
      <c r="I6" s="119"/>
      <c r="J6" s="139" t="s">
        <v>181</v>
      </c>
      <c r="K6" s="276" t="s">
        <v>180</v>
      </c>
      <c r="L6" s="128" t="s">
        <v>43</v>
      </c>
      <c r="M6" s="311" t="s">
        <v>204</v>
      </c>
      <c r="N6" s="774" t="s">
        <v>839</v>
      </c>
      <c r="O6" s="31" t="s">
        <v>89</v>
      </c>
      <c r="P6" s="336" t="s">
        <v>251</v>
      </c>
      <c r="Q6" s="675" t="s">
        <v>175</v>
      </c>
      <c r="R6" s="287" t="s">
        <v>42</v>
      </c>
      <c r="S6" s="139" t="s">
        <v>182</v>
      </c>
      <c r="T6" s="134" t="s">
        <v>180</v>
      </c>
      <c r="U6" s="128" t="s">
        <v>43</v>
      </c>
      <c r="V6" s="311" t="s">
        <v>204</v>
      </c>
      <c r="W6" s="774" t="s">
        <v>839</v>
      </c>
      <c r="X6" s="31" t="s">
        <v>89</v>
      </c>
      <c r="Y6" s="677" t="s">
        <v>251</v>
      </c>
      <c r="Z6" s="675" t="s">
        <v>175</v>
      </c>
      <c r="AA6" s="287" t="s">
        <v>42</v>
      </c>
      <c r="AB6" s="139" t="s">
        <v>183</v>
      </c>
      <c r="AC6" s="127" t="s">
        <v>180</v>
      </c>
      <c r="AD6" s="128" t="s">
        <v>43</v>
      </c>
      <c r="AE6" s="192" t="s">
        <v>204</v>
      </c>
      <c r="AF6" s="774" t="s">
        <v>839</v>
      </c>
      <c r="AG6" s="307" t="s">
        <v>89</v>
      </c>
      <c r="AH6" s="677" t="s">
        <v>251</v>
      </c>
      <c r="AI6" s="675" t="s">
        <v>175</v>
      </c>
      <c r="AJ6" s="289" t="s">
        <v>42</v>
      </c>
      <c r="AK6" s="139" t="s">
        <v>184</v>
      </c>
      <c r="AL6" s="164" t="s">
        <v>180</v>
      </c>
      <c r="AM6" s="128" t="s">
        <v>43</v>
      </c>
      <c r="AN6" s="192" t="s">
        <v>204</v>
      </c>
      <c r="AO6" s="774" t="s">
        <v>839</v>
      </c>
      <c r="AP6" s="691" t="s">
        <v>89</v>
      </c>
      <c r="AQ6" s="336" t="s">
        <v>251</v>
      </c>
      <c r="AR6" s="138" t="s">
        <v>175</v>
      </c>
      <c r="AS6" s="290" t="s">
        <v>42</v>
      </c>
    </row>
    <row r="7" spans="2:45" ht="20.149999999999999" customHeight="1">
      <c r="B7" s="1238" t="s">
        <v>1</v>
      </c>
      <c r="C7" s="1085" t="s">
        <v>2</v>
      </c>
      <c r="D7" s="17" t="s">
        <v>3</v>
      </c>
      <c r="E7" s="341">
        <v>37900</v>
      </c>
      <c r="F7" s="342">
        <f>ROUNDDOWN(E7*0.9,0)</f>
        <v>34110</v>
      </c>
      <c r="G7" s="341">
        <v>34900</v>
      </c>
      <c r="H7" s="343">
        <f t="shared" ref="H7:H13" si="0">ROUNDDOWN(G7*0.9,0)</f>
        <v>31410</v>
      </c>
      <c r="I7" s="344" t="s">
        <v>26</v>
      </c>
      <c r="J7" s="769">
        <v>799</v>
      </c>
      <c r="K7" s="345">
        <v>60</v>
      </c>
      <c r="L7" s="346">
        <f t="shared" ref="L7:L14" si="1">K7*J7</f>
        <v>47940</v>
      </c>
      <c r="M7" s="347"/>
      <c r="N7" s="347">
        <v>149</v>
      </c>
      <c r="O7" s="670"/>
      <c r="P7" s="348"/>
      <c r="Q7" s="676">
        <f>(N7*6)+(J7*54)</f>
        <v>44040</v>
      </c>
      <c r="R7" s="350">
        <f>L7-Q7</f>
        <v>3900</v>
      </c>
      <c r="S7" s="762">
        <v>699</v>
      </c>
      <c r="T7" s="351">
        <v>60</v>
      </c>
      <c r="U7" s="346">
        <f t="shared" ref="U7:U14" si="2">T7*S7</f>
        <v>41940</v>
      </c>
      <c r="V7" s="347"/>
      <c r="W7" s="347">
        <v>149</v>
      </c>
      <c r="X7" s="670"/>
      <c r="Y7" s="678"/>
      <c r="Z7" s="676">
        <f>(W7*6)+(S7*54)</f>
        <v>38640</v>
      </c>
      <c r="AA7" s="350">
        <f t="shared" ref="AA7:AA14" si="3">U7-Z7</f>
        <v>3300</v>
      </c>
      <c r="AB7" s="764">
        <v>599</v>
      </c>
      <c r="AC7" s="352">
        <v>84</v>
      </c>
      <c r="AD7" s="346">
        <f t="shared" ref="AD7:AD14" si="4">AC7*AB7</f>
        <v>50316</v>
      </c>
      <c r="AE7" s="353"/>
      <c r="AF7" s="347">
        <v>149</v>
      </c>
      <c r="AG7" s="681"/>
      <c r="AH7" s="685"/>
      <c r="AI7" s="676">
        <f>(AF7*6)+(AB7*78)</f>
        <v>47616</v>
      </c>
      <c r="AJ7" s="350">
        <f t="shared" ref="AJ7:AJ14" si="5">AD7-AI7</f>
        <v>2700</v>
      </c>
      <c r="AK7" s="766">
        <v>499</v>
      </c>
      <c r="AL7" s="345">
        <v>84</v>
      </c>
      <c r="AM7" s="346">
        <f>AL7*AK7</f>
        <v>41916</v>
      </c>
      <c r="AN7" s="353"/>
      <c r="AO7" s="775">
        <v>149</v>
      </c>
      <c r="AP7" s="692"/>
      <c r="AQ7" s="688"/>
      <c r="AR7" s="676">
        <f>(AO7*6)+(AK7*78)</f>
        <v>39816</v>
      </c>
      <c r="AS7" s="354">
        <f>AM7-AR7</f>
        <v>2100</v>
      </c>
    </row>
    <row r="8" spans="2:45" ht="20.149999999999999" customHeight="1">
      <c r="B8" s="1239"/>
      <c r="C8" s="1086" t="s">
        <v>4</v>
      </c>
      <c r="D8" s="7" t="s">
        <v>5</v>
      </c>
      <c r="E8" s="10">
        <v>37900</v>
      </c>
      <c r="F8" s="11">
        <f t="shared" ref="F8:F13" si="6">ROUNDDOWN(E8*0.9,0)</f>
        <v>34110</v>
      </c>
      <c r="G8" s="10">
        <v>34900</v>
      </c>
      <c r="H8" s="12">
        <f t="shared" si="0"/>
        <v>31410</v>
      </c>
      <c r="I8" s="13" t="s">
        <v>26</v>
      </c>
      <c r="J8" s="770">
        <v>799</v>
      </c>
      <c r="K8" s="136">
        <v>60</v>
      </c>
      <c r="L8" s="129">
        <f t="shared" si="1"/>
        <v>47940</v>
      </c>
      <c r="M8" s="312"/>
      <c r="N8" s="312">
        <v>149</v>
      </c>
      <c r="O8" s="671"/>
      <c r="P8" s="337"/>
      <c r="Q8" s="674">
        <f t="shared" ref="Q8:Q14" si="7">(N8*6)+(J8*54)</f>
        <v>44040</v>
      </c>
      <c r="R8" s="288">
        <f t="shared" ref="R8:R14" si="8">L8-Q8</f>
        <v>3900</v>
      </c>
      <c r="S8" s="763">
        <v>699</v>
      </c>
      <c r="T8" s="135">
        <v>60</v>
      </c>
      <c r="U8" s="129">
        <f t="shared" si="2"/>
        <v>41940</v>
      </c>
      <c r="V8" s="312"/>
      <c r="W8" s="312">
        <v>149</v>
      </c>
      <c r="X8" s="671"/>
      <c r="Y8" s="679"/>
      <c r="Z8" s="674">
        <f t="shared" ref="Z8:Z14" si="9">(W8*6)+(S8*54)</f>
        <v>38640</v>
      </c>
      <c r="AA8" s="288">
        <f t="shared" si="3"/>
        <v>3300</v>
      </c>
      <c r="AB8" s="765">
        <v>599</v>
      </c>
      <c r="AC8" s="15">
        <v>84</v>
      </c>
      <c r="AD8" s="129">
        <f t="shared" si="4"/>
        <v>50316</v>
      </c>
      <c r="AE8" s="193"/>
      <c r="AF8" s="312">
        <v>149</v>
      </c>
      <c r="AG8" s="682"/>
      <c r="AH8" s="686"/>
      <c r="AI8" s="674">
        <f t="shared" ref="AI8:AI14" si="10">(AF8*6)+(AB8*78)</f>
        <v>47616</v>
      </c>
      <c r="AJ8" s="288">
        <f t="shared" si="5"/>
        <v>2700</v>
      </c>
      <c r="AK8" s="767">
        <v>499</v>
      </c>
      <c r="AL8" s="136">
        <v>84</v>
      </c>
      <c r="AM8" s="129">
        <f t="shared" ref="AM8:AM13" si="11">AL8*AK8</f>
        <v>41916</v>
      </c>
      <c r="AN8" s="193"/>
      <c r="AO8" s="776">
        <v>149</v>
      </c>
      <c r="AP8" s="693"/>
      <c r="AQ8" s="689"/>
      <c r="AR8" s="674">
        <f t="shared" ref="AR8:AR13" si="12">(AO8*6)+(AK8*78)</f>
        <v>39816</v>
      </c>
      <c r="AS8" s="291">
        <f t="shared" ref="AS8:AS12" si="13">AM8-AR8</f>
        <v>2100</v>
      </c>
    </row>
    <row r="9" spans="2:45" ht="20.149999999999999" customHeight="1">
      <c r="B9" s="1239"/>
      <c r="C9" s="1086" t="s">
        <v>6</v>
      </c>
      <c r="D9" s="7" t="s">
        <v>7</v>
      </c>
      <c r="E9" s="10">
        <v>37900</v>
      </c>
      <c r="F9" s="11">
        <f t="shared" si="6"/>
        <v>34110</v>
      </c>
      <c r="G9" s="10">
        <v>34900</v>
      </c>
      <c r="H9" s="12">
        <f t="shared" si="0"/>
        <v>31410</v>
      </c>
      <c r="I9" s="13" t="s">
        <v>26</v>
      </c>
      <c r="J9" s="770">
        <v>799</v>
      </c>
      <c r="K9" s="136">
        <v>60</v>
      </c>
      <c r="L9" s="129">
        <f t="shared" si="1"/>
        <v>47940</v>
      </c>
      <c r="M9" s="312"/>
      <c r="N9" s="312">
        <v>149</v>
      </c>
      <c r="O9" s="672"/>
      <c r="P9" s="337"/>
      <c r="Q9" s="674">
        <f t="shared" si="7"/>
        <v>44040</v>
      </c>
      <c r="R9" s="288">
        <f t="shared" si="8"/>
        <v>3900</v>
      </c>
      <c r="S9" s="763">
        <v>699</v>
      </c>
      <c r="T9" s="135">
        <v>60</v>
      </c>
      <c r="U9" s="129">
        <f t="shared" si="2"/>
        <v>41940</v>
      </c>
      <c r="V9" s="312"/>
      <c r="W9" s="312">
        <v>149</v>
      </c>
      <c r="X9" s="672"/>
      <c r="Y9" s="679"/>
      <c r="Z9" s="674">
        <f t="shared" si="9"/>
        <v>38640</v>
      </c>
      <c r="AA9" s="288">
        <f t="shared" si="3"/>
        <v>3300</v>
      </c>
      <c r="AB9" s="765">
        <v>599</v>
      </c>
      <c r="AC9" s="15">
        <v>84</v>
      </c>
      <c r="AD9" s="129">
        <f t="shared" si="4"/>
        <v>50316</v>
      </c>
      <c r="AE9" s="193"/>
      <c r="AF9" s="312">
        <v>149</v>
      </c>
      <c r="AG9" s="683"/>
      <c r="AH9" s="686"/>
      <c r="AI9" s="674">
        <f t="shared" si="10"/>
        <v>47616</v>
      </c>
      <c r="AJ9" s="288">
        <f t="shared" si="5"/>
        <v>2700</v>
      </c>
      <c r="AK9" s="767">
        <v>499</v>
      </c>
      <c r="AL9" s="136">
        <v>84</v>
      </c>
      <c r="AM9" s="129">
        <f t="shared" si="11"/>
        <v>41916</v>
      </c>
      <c r="AN9" s="193"/>
      <c r="AO9" s="776">
        <v>149</v>
      </c>
      <c r="AP9" s="694"/>
      <c r="AQ9" s="689"/>
      <c r="AR9" s="674">
        <f t="shared" si="12"/>
        <v>39816</v>
      </c>
      <c r="AS9" s="291">
        <f t="shared" si="13"/>
        <v>2100</v>
      </c>
    </row>
    <row r="10" spans="2:45" ht="20.149999999999999" customHeight="1">
      <c r="B10" s="1239"/>
      <c r="C10" s="1086" t="s">
        <v>8</v>
      </c>
      <c r="D10" s="7" t="s">
        <v>9</v>
      </c>
      <c r="E10" s="10">
        <v>37900</v>
      </c>
      <c r="F10" s="11">
        <f t="shared" si="6"/>
        <v>34110</v>
      </c>
      <c r="G10" s="10">
        <v>34900</v>
      </c>
      <c r="H10" s="12">
        <f t="shared" si="0"/>
        <v>31410</v>
      </c>
      <c r="I10" s="13" t="s">
        <v>26</v>
      </c>
      <c r="J10" s="770">
        <v>799</v>
      </c>
      <c r="K10" s="136">
        <v>60</v>
      </c>
      <c r="L10" s="129">
        <f t="shared" si="1"/>
        <v>47940</v>
      </c>
      <c r="M10" s="312"/>
      <c r="N10" s="312">
        <v>149</v>
      </c>
      <c r="O10" s="672"/>
      <c r="P10" s="337"/>
      <c r="Q10" s="674">
        <f t="shared" si="7"/>
        <v>44040</v>
      </c>
      <c r="R10" s="288">
        <f t="shared" ref="R10:R13" si="14">L10-Q10</f>
        <v>3900</v>
      </c>
      <c r="S10" s="763">
        <v>699</v>
      </c>
      <c r="T10" s="135">
        <v>60</v>
      </c>
      <c r="U10" s="129">
        <f t="shared" si="2"/>
        <v>41940</v>
      </c>
      <c r="V10" s="312"/>
      <c r="W10" s="312">
        <v>149</v>
      </c>
      <c r="X10" s="672"/>
      <c r="Y10" s="679"/>
      <c r="Z10" s="674">
        <f t="shared" si="9"/>
        <v>38640</v>
      </c>
      <c r="AA10" s="288">
        <f t="shared" si="3"/>
        <v>3300</v>
      </c>
      <c r="AB10" s="765">
        <v>599</v>
      </c>
      <c r="AC10" s="15">
        <v>84</v>
      </c>
      <c r="AD10" s="129">
        <f t="shared" si="4"/>
        <v>50316</v>
      </c>
      <c r="AE10" s="193"/>
      <c r="AF10" s="312">
        <v>149</v>
      </c>
      <c r="AG10" s="683"/>
      <c r="AH10" s="686"/>
      <c r="AI10" s="674">
        <f t="shared" si="10"/>
        <v>47616</v>
      </c>
      <c r="AJ10" s="288">
        <f t="shared" si="5"/>
        <v>2700</v>
      </c>
      <c r="AK10" s="767">
        <v>499</v>
      </c>
      <c r="AL10" s="136">
        <v>84</v>
      </c>
      <c r="AM10" s="129">
        <f t="shared" si="11"/>
        <v>41916</v>
      </c>
      <c r="AN10" s="193"/>
      <c r="AO10" s="776">
        <v>149</v>
      </c>
      <c r="AP10" s="694"/>
      <c r="AQ10" s="689"/>
      <c r="AR10" s="674">
        <f t="shared" si="12"/>
        <v>39816</v>
      </c>
      <c r="AS10" s="291">
        <f t="shared" si="13"/>
        <v>2100</v>
      </c>
    </row>
    <row r="11" spans="2:45" ht="20.149999999999999" customHeight="1">
      <c r="B11" s="1239"/>
      <c r="C11" s="1086" t="s">
        <v>10</v>
      </c>
      <c r="D11" s="7" t="s">
        <v>11</v>
      </c>
      <c r="E11" s="10">
        <v>37900</v>
      </c>
      <c r="F11" s="11">
        <f t="shared" si="6"/>
        <v>34110</v>
      </c>
      <c r="G11" s="10">
        <v>34900</v>
      </c>
      <c r="H11" s="12">
        <f t="shared" si="0"/>
        <v>31410</v>
      </c>
      <c r="I11" s="13" t="s">
        <v>26</v>
      </c>
      <c r="J11" s="770">
        <v>799</v>
      </c>
      <c r="K11" s="136">
        <v>60</v>
      </c>
      <c r="L11" s="129">
        <f t="shared" si="1"/>
        <v>47940</v>
      </c>
      <c r="M11" s="312"/>
      <c r="N11" s="312">
        <v>149</v>
      </c>
      <c r="O11" s="672"/>
      <c r="P11" s="337"/>
      <c r="Q11" s="674">
        <f t="shared" si="7"/>
        <v>44040</v>
      </c>
      <c r="R11" s="288">
        <f t="shared" si="14"/>
        <v>3900</v>
      </c>
      <c r="S11" s="763">
        <v>699</v>
      </c>
      <c r="T11" s="135">
        <v>60</v>
      </c>
      <c r="U11" s="129">
        <f t="shared" si="2"/>
        <v>41940</v>
      </c>
      <c r="V11" s="312"/>
      <c r="W11" s="312">
        <v>149</v>
      </c>
      <c r="X11" s="672"/>
      <c r="Y11" s="679"/>
      <c r="Z11" s="674">
        <f t="shared" si="9"/>
        <v>38640</v>
      </c>
      <c r="AA11" s="288">
        <f t="shared" si="3"/>
        <v>3300</v>
      </c>
      <c r="AB11" s="765">
        <v>599</v>
      </c>
      <c r="AC11" s="15">
        <v>84</v>
      </c>
      <c r="AD11" s="129">
        <f t="shared" si="4"/>
        <v>50316</v>
      </c>
      <c r="AE11" s="193"/>
      <c r="AF11" s="312">
        <v>149</v>
      </c>
      <c r="AG11" s="683"/>
      <c r="AH11" s="686"/>
      <c r="AI11" s="674">
        <f t="shared" si="10"/>
        <v>47616</v>
      </c>
      <c r="AJ11" s="288">
        <f t="shared" si="5"/>
        <v>2700</v>
      </c>
      <c r="AK11" s="767">
        <v>499</v>
      </c>
      <c r="AL11" s="136">
        <v>84</v>
      </c>
      <c r="AM11" s="129">
        <f t="shared" si="11"/>
        <v>41916</v>
      </c>
      <c r="AN11" s="193"/>
      <c r="AO11" s="776">
        <v>149</v>
      </c>
      <c r="AP11" s="694"/>
      <c r="AQ11" s="689"/>
      <c r="AR11" s="674">
        <f t="shared" si="12"/>
        <v>39816</v>
      </c>
      <c r="AS11" s="291">
        <f t="shared" si="13"/>
        <v>2100</v>
      </c>
    </row>
    <row r="12" spans="2:45" ht="20.149999999999999" customHeight="1">
      <c r="B12" s="1239"/>
      <c r="C12" s="1086" t="s">
        <v>12</v>
      </c>
      <c r="D12" s="7" t="s">
        <v>13</v>
      </c>
      <c r="E12" s="10">
        <v>37900</v>
      </c>
      <c r="F12" s="11">
        <f t="shared" si="6"/>
        <v>34110</v>
      </c>
      <c r="G12" s="10">
        <v>34900</v>
      </c>
      <c r="H12" s="12">
        <f t="shared" si="0"/>
        <v>31410</v>
      </c>
      <c r="I12" s="13" t="s">
        <v>26</v>
      </c>
      <c r="J12" s="770">
        <v>799</v>
      </c>
      <c r="K12" s="136">
        <v>60</v>
      </c>
      <c r="L12" s="129">
        <f t="shared" si="1"/>
        <v>47940</v>
      </c>
      <c r="M12" s="312"/>
      <c r="N12" s="312">
        <v>149</v>
      </c>
      <c r="O12" s="672"/>
      <c r="P12" s="337"/>
      <c r="Q12" s="674">
        <f t="shared" si="7"/>
        <v>44040</v>
      </c>
      <c r="R12" s="288">
        <f t="shared" si="14"/>
        <v>3900</v>
      </c>
      <c r="S12" s="763">
        <v>699</v>
      </c>
      <c r="T12" s="135">
        <v>60</v>
      </c>
      <c r="U12" s="129">
        <f t="shared" si="2"/>
        <v>41940</v>
      </c>
      <c r="V12" s="312"/>
      <c r="W12" s="312">
        <v>149</v>
      </c>
      <c r="X12" s="672"/>
      <c r="Y12" s="679"/>
      <c r="Z12" s="674">
        <f t="shared" si="9"/>
        <v>38640</v>
      </c>
      <c r="AA12" s="288">
        <f t="shared" si="3"/>
        <v>3300</v>
      </c>
      <c r="AB12" s="765">
        <v>599</v>
      </c>
      <c r="AC12" s="15">
        <v>84</v>
      </c>
      <c r="AD12" s="129">
        <f t="shared" si="4"/>
        <v>50316</v>
      </c>
      <c r="AE12" s="193"/>
      <c r="AF12" s="312">
        <v>149</v>
      </c>
      <c r="AG12" s="683"/>
      <c r="AH12" s="686"/>
      <c r="AI12" s="674">
        <f t="shared" si="10"/>
        <v>47616</v>
      </c>
      <c r="AJ12" s="288">
        <f t="shared" si="5"/>
        <v>2700</v>
      </c>
      <c r="AK12" s="767">
        <v>499</v>
      </c>
      <c r="AL12" s="136">
        <v>84</v>
      </c>
      <c r="AM12" s="129">
        <f t="shared" si="11"/>
        <v>41916</v>
      </c>
      <c r="AN12" s="193"/>
      <c r="AO12" s="776">
        <v>149</v>
      </c>
      <c r="AP12" s="694"/>
      <c r="AQ12" s="689"/>
      <c r="AR12" s="674">
        <f t="shared" si="12"/>
        <v>39816</v>
      </c>
      <c r="AS12" s="291">
        <f t="shared" si="13"/>
        <v>2100</v>
      </c>
    </row>
    <row r="13" spans="2:45" ht="20.149999999999999" customHeight="1">
      <c r="B13" s="1239"/>
      <c r="C13" s="1087" t="s">
        <v>79</v>
      </c>
      <c r="D13" s="7" t="s">
        <v>34</v>
      </c>
      <c r="E13" s="10">
        <v>0</v>
      </c>
      <c r="F13" s="11">
        <f t="shared" si="6"/>
        <v>0</v>
      </c>
      <c r="G13" s="10">
        <v>0</v>
      </c>
      <c r="H13" s="12">
        <f t="shared" si="0"/>
        <v>0</v>
      </c>
      <c r="I13" s="13" t="s">
        <v>26</v>
      </c>
      <c r="J13" s="770">
        <v>549</v>
      </c>
      <c r="K13" s="136">
        <v>60</v>
      </c>
      <c r="L13" s="129">
        <f t="shared" si="1"/>
        <v>32940</v>
      </c>
      <c r="M13" s="312"/>
      <c r="N13" s="312">
        <v>99</v>
      </c>
      <c r="O13" s="672"/>
      <c r="P13" s="337"/>
      <c r="Q13" s="674">
        <f t="shared" si="7"/>
        <v>30240</v>
      </c>
      <c r="R13" s="288">
        <f t="shared" si="14"/>
        <v>2700</v>
      </c>
      <c r="S13" s="763">
        <v>499</v>
      </c>
      <c r="T13" s="135">
        <v>60</v>
      </c>
      <c r="U13" s="129">
        <f t="shared" si="2"/>
        <v>29940</v>
      </c>
      <c r="V13" s="312"/>
      <c r="W13" s="312">
        <v>99</v>
      </c>
      <c r="X13" s="672"/>
      <c r="Y13" s="679"/>
      <c r="Z13" s="674">
        <f t="shared" si="9"/>
        <v>27540</v>
      </c>
      <c r="AA13" s="288">
        <f t="shared" si="3"/>
        <v>2400</v>
      </c>
      <c r="AB13" s="765">
        <v>449</v>
      </c>
      <c r="AC13" s="15">
        <v>84</v>
      </c>
      <c r="AD13" s="129">
        <f>AC13*AB13</f>
        <v>37716</v>
      </c>
      <c r="AE13" s="193"/>
      <c r="AF13" s="312">
        <v>99</v>
      </c>
      <c r="AG13" s="683"/>
      <c r="AH13" s="686"/>
      <c r="AI13" s="674">
        <f t="shared" si="10"/>
        <v>35616</v>
      </c>
      <c r="AJ13" s="288">
        <f t="shared" si="5"/>
        <v>2100</v>
      </c>
      <c r="AK13" s="768">
        <v>399</v>
      </c>
      <c r="AL13" s="137">
        <v>84</v>
      </c>
      <c r="AM13" s="129">
        <f t="shared" si="11"/>
        <v>33516</v>
      </c>
      <c r="AN13" s="193"/>
      <c r="AO13" s="776">
        <v>99</v>
      </c>
      <c r="AP13" s="694"/>
      <c r="AQ13" s="689"/>
      <c r="AR13" s="674">
        <f t="shared" si="12"/>
        <v>31716</v>
      </c>
      <c r="AS13" s="291">
        <f>AM13-AR13</f>
        <v>1800</v>
      </c>
    </row>
    <row r="14" spans="2:45" ht="20.149999999999999" customHeight="1">
      <c r="B14" s="1240"/>
      <c r="C14" s="1088" t="s">
        <v>70</v>
      </c>
      <c r="D14" s="292" t="s">
        <v>71</v>
      </c>
      <c r="E14" s="293">
        <v>0</v>
      </c>
      <c r="F14" s="294">
        <f>ROUNDDOWN(E14*0.9,0)</f>
        <v>0</v>
      </c>
      <c r="G14" s="293">
        <v>0</v>
      </c>
      <c r="H14" s="295">
        <f>ROUNDDOWN(G14*0.9,0)</f>
        <v>0</v>
      </c>
      <c r="I14" s="296" t="s">
        <v>69</v>
      </c>
      <c r="J14" s="881">
        <f>1049+50</f>
        <v>1099</v>
      </c>
      <c r="K14" s="297">
        <v>60</v>
      </c>
      <c r="L14" s="298">
        <f t="shared" si="1"/>
        <v>65940</v>
      </c>
      <c r="M14" s="313"/>
      <c r="N14" s="313">
        <v>149</v>
      </c>
      <c r="O14" s="673"/>
      <c r="P14" s="355"/>
      <c r="Q14" s="680">
        <f t="shared" si="7"/>
        <v>60240</v>
      </c>
      <c r="R14" s="300">
        <f t="shared" si="8"/>
        <v>5700</v>
      </c>
      <c r="S14" s="301"/>
      <c r="T14" s="302"/>
      <c r="U14" s="298">
        <f t="shared" si="2"/>
        <v>0</v>
      </c>
      <c r="V14" s="313"/>
      <c r="W14" s="313"/>
      <c r="X14" s="673"/>
      <c r="Y14" s="340"/>
      <c r="Z14" s="680">
        <f t="shared" si="9"/>
        <v>0</v>
      </c>
      <c r="AA14" s="300">
        <f t="shared" si="3"/>
        <v>0</v>
      </c>
      <c r="AB14" s="882">
        <f>849+50</f>
        <v>899</v>
      </c>
      <c r="AC14" s="303">
        <v>84</v>
      </c>
      <c r="AD14" s="298">
        <f t="shared" si="4"/>
        <v>75516</v>
      </c>
      <c r="AE14" s="299"/>
      <c r="AF14" s="313">
        <v>149</v>
      </c>
      <c r="AG14" s="684"/>
      <c r="AH14" s="687"/>
      <c r="AI14" s="680">
        <f t="shared" si="10"/>
        <v>71016</v>
      </c>
      <c r="AJ14" s="300">
        <f t="shared" si="5"/>
        <v>4500</v>
      </c>
      <c r="AK14" s="304"/>
      <c r="AL14" s="305"/>
      <c r="AM14" s="298">
        <f>AL14*AK14</f>
        <v>0</v>
      </c>
      <c r="AN14" s="299"/>
      <c r="AO14" s="777" t="s">
        <v>252</v>
      </c>
      <c r="AP14" s="695"/>
      <c r="AQ14" s="690"/>
      <c r="AR14" s="680"/>
      <c r="AS14" s="306"/>
    </row>
    <row r="15" spans="2:45" ht="16" customHeight="1">
      <c r="AM15" s="28"/>
      <c r="AN15" s="28"/>
      <c r="AO15" s="28"/>
    </row>
    <row r="16" spans="2:45" ht="16" customHeight="1">
      <c r="J16" s="339"/>
      <c r="P16" s="338"/>
      <c r="R16" s="131"/>
    </row>
    <row r="17" spans="10:10" ht="16" customHeight="1">
      <c r="J17" s="339"/>
    </row>
    <row r="18" spans="10:10" ht="16" customHeight="1">
      <c r="J18" s="339"/>
    </row>
    <row r="19" spans="10:10" ht="16" customHeight="1">
      <c r="J19" s="339"/>
    </row>
    <row r="23" spans="10:10" ht="16" customHeight="1">
      <c r="J23" s="339"/>
    </row>
    <row r="24" spans="10:10" ht="16" customHeight="1">
      <c r="J24" s="339"/>
    </row>
  </sheetData>
  <mergeCells count="10">
    <mergeCell ref="AB4:AS4"/>
    <mergeCell ref="B7:B14"/>
    <mergeCell ref="J3:AS3"/>
    <mergeCell ref="I3:I4"/>
    <mergeCell ref="J4:AA4"/>
    <mergeCell ref="J5:R5"/>
    <mergeCell ref="S5:AA5"/>
    <mergeCell ref="AB5:AJ5"/>
    <mergeCell ref="AK5:AS5"/>
    <mergeCell ref="E3:H5"/>
  </mergeCells>
  <phoneticPr fontId="20" type="noConversion"/>
  <printOptions horizontalCentered="1"/>
  <pageMargins left="0.25" right="0.25" top="0.25" bottom="0.25" header="0.3" footer="0.3"/>
  <pageSetup paperSize="8" scale="71" orientation="landscape" r:id="rId1"/>
  <headerFooter>
    <oddHeader>&amp;C&amp;"Calibri"&amp;12&amp;K000000 LGE Internal Use Only&amp;1#_x000D_</oddHead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C1:BW49"/>
  <sheetViews>
    <sheetView showGridLines="0" tabSelected="1" zoomScale="85" zoomScaleNormal="85" workbookViewId="0">
      <pane xSplit="6" ySplit="5" topLeftCell="K6" activePane="bottomRight" state="frozen"/>
      <selection pane="topRight" activeCell="G1" sqref="G1"/>
      <selection pane="bottomLeft" activeCell="A6" sqref="A6"/>
      <selection pane="bottomRight" activeCell="U22" sqref="U22"/>
    </sheetView>
  </sheetViews>
  <sheetFormatPr defaultColWidth="8.81640625" defaultRowHeight="16" customHeight="1"/>
  <cols>
    <col min="1" max="1" width="1.26953125" style="1" customWidth="1"/>
    <col min="2" max="2" width="3" style="1" customWidth="1"/>
    <col min="3" max="3" width="10.26953125" style="91" customWidth="1"/>
    <col min="4" max="4" width="17.81640625" style="39" customWidth="1"/>
    <col min="5" max="5" width="25.26953125" style="1" bestFit="1" customWidth="1"/>
    <col min="6" max="6" width="46.26953125" style="1" hidden="1" customWidth="1"/>
    <col min="7" max="7" width="22.81640625" style="1" hidden="1" customWidth="1"/>
    <col min="8" max="8" width="23" style="1" hidden="1" customWidth="1"/>
    <col min="9" max="9" width="20.54296875" style="1" hidden="1" customWidth="1"/>
    <col min="10" max="10" width="11.81640625" style="2" hidden="1" customWidth="1"/>
    <col min="11" max="11" width="8.26953125" style="1" customWidth="1"/>
    <col min="12" max="12" width="8.453125" style="149" customWidth="1"/>
    <col min="13" max="13" width="9.81640625" style="91" customWidth="1"/>
    <col min="14" max="14" width="9.81640625" style="91" hidden="1" customWidth="1"/>
    <col min="15" max="16" width="10" style="5" hidden="1" customWidth="1"/>
    <col min="17" max="21" width="8.54296875" style="5" customWidth="1"/>
    <col min="22" max="22" width="9.453125" style="5" hidden="1" customWidth="1"/>
    <col min="23" max="24" width="9.453125" style="5" customWidth="1"/>
    <col min="25" max="25" width="9.453125" style="5" hidden="1" customWidth="1"/>
    <col min="26" max="26" width="11.08984375" style="5" customWidth="1"/>
    <col min="27" max="27" width="8.26953125" style="145" customWidth="1"/>
    <col min="28" max="28" width="8.26953125" style="91" customWidth="1"/>
    <col min="29" max="29" width="11.54296875" style="149" customWidth="1"/>
    <col min="30" max="30" width="10.7265625" style="149" customWidth="1"/>
    <col min="31" max="31" width="9.81640625" style="91" hidden="1" customWidth="1"/>
    <col min="32" max="32" width="9.54296875" style="5" hidden="1" customWidth="1"/>
    <col min="33" max="33" width="10.90625" style="5" hidden="1" customWidth="1"/>
    <col min="34" max="34" width="10.90625" style="5" customWidth="1"/>
    <col min="35" max="36" width="8.54296875" style="5" customWidth="1"/>
    <col min="37" max="37" width="9.453125" style="5" hidden="1" customWidth="1"/>
    <col min="38" max="39" width="9.453125" style="5" customWidth="1"/>
    <col min="40" max="40" width="9.453125" style="5" hidden="1" customWidth="1"/>
    <col min="41" max="41" width="12.54296875" style="145" customWidth="1"/>
    <col min="42" max="42" width="10.81640625" style="145" customWidth="1"/>
    <col min="43" max="44" width="8.453125" style="91" customWidth="1"/>
    <col min="45" max="45" width="10.7265625" style="91" customWidth="1"/>
    <col min="46" max="46" width="9.81640625" style="91" hidden="1" customWidth="1"/>
    <col min="47" max="47" width="8.7265625" style="5" hidden="1" customWidth="1"/>
    <col min="48" max="48" width="10.7265625" style="5" hidden="1" customWidth="1"/>
    <col min="49" max="53" width="8.54296875" style="5" customWidth="1"/>
    <col min="54" max="54" width="9.453125" style="5" hidden="1" customWidth="1"/>
    <col min="55" max="55" width="9.453125" style="145" customWidth="1"/>
    <col min="56" max="56" width="9.453125" style="5" customWidth="1"/>
    <col min="57" max="57" width="9.453125" style="5" hidden="1" customWidth="1"/>
    <col min="58" max="58" width="11.453125" style="145" customWidth="1"/>
    <col min="59" max="59" width="10" style="145" customWidth="1"/>
    <col min="60" max="60" width="8.453125" style="91" customWidth="1"/>
    <col min="61" max="61" width="7" style="91" customWidth="1"/>
    <col min="62" max="62" width="12.7265625" style="91" customWidth="1"/>
    <col min="63" max="63" width="10" style="91" hidden="1" customWidth="1"/>
    <col min="64" max="64" width="8.7265625" style="5" hidden="1" customWidth="1"/>
    <col min="65" max="65" width="8.7265625" style="14" hidden="1" customWidth="1"/>
    <col min="66" max="66" width="8.7265625" style="14" customWidth="1"/>
    <col min="67" max="68" width="8.54296875" style="5" customWidth="1"/>
    <col min="69" max="71" width="9.453125" style="5" customWidth="1"/>
    <col min="72" max="72" width="9.453125" style="5" hidden="1" customWidth="1"/>
    <col min="73" max="73" width="10.36328125" style="145" customWidth="1"/>
    <col min="74" max="74" width="8.26953125" style="145" customWidth="1"/>
    <col min="75" max="75" width="11.26953125" style="5" customWidth="1"/>
    <col min="76" max="16384" width="8.81640625" style="1"/>
  </cols>
  <sheetData>
    <row r="1" spans="3:75" ht="23.25" customHeight="1">
      <c r="C1" s="89"/>
      <c r="D1" s="222"/>
      <c r="E1" s="9" t="s">
        <v>818</v>
      </c>
      <c r="F1" s="20"/>
      <c r="G1" s="20"/>
      <c r="H1" s="20"/>
      <c r="I1" s="20"/>
      <c r="J1" s="21"/>
      <c r="K1" s="20"/>
      <c r="L1" s="89"/>
      <c r="M1" s="89"/>
      <c r="N1" s="89"/>
      <c r="O1" s="25"/>
      <c r="P1" s="25"/>
      <c r="Q1" s="26"/>
      <c r="R1" s="26"/>
      <c r="S1" s="26"/>
      <c r="T1" s="26"/>
      <c r="U1" s="26"/>
      <c r="V1" s="26"/>
      <c r="W1" s="26"/>
      <c r="X1" s="26"/>
      <c r="Y1" s="26"/>
      <c r="Z1" s="26"/>
      <c r="AA1" s="160"/>
      <c r="AB1" s="557"/>
      <c r="AC1" s="89"/>
      <c r="AD1" s="89"/>
      <c r="AE1" s="89"/>
      <c r="AF1" s="25"/>
      <c r="AG1" s="25"/>
      <c r="AH1" s="25"/>
      <c r="AI1" s="25"/>
      <c r="AJ1" s="25"/>
      <c r="AK1" s="25"/>
      <c r="AL1" s="25"/>
      <c r="AM1" s="25"/>
      <c r="AN1" s="25"/>
      <c r="AO1" s="142"/>
      <c r="AP1" s="142"/>
      <c r="AQ1" s="89"/>
      <c r="AR1" s="89"/>
      <c r="AS1" s="89"/>
      <c r="AT1" s="89"/>
      <c r="AU1" s="25"/>
      <c r="AV1" s="26"/>
      <c r="AW1" s="26"/>
      <c r="AX1" s="26"/>
      <c r="AY1" s="26"/>
      <c r="AZ1" s="26"/>
      <c r="BA1" s="26"/>
      <c r="BB1" s="26"/>
      <c r="BC1" s="160"/>
      <c r="BD1" s="26"/>
      <c r="BE1" s="26"/>
      <c r="BF1" s="160"/>
      <c r="BG1" s="142"/>
      <c r="BH1" s="89"/>
      <c r="BI1" s="89"/>
      <c r="BJ1" s="89"/>
      <c r="BK1" s="89"/>
      <c r="BL1" s="25"/>
      <c r="BM1" s="25"/>
      <c r="BN1" s="25"/>
      <c r="BO1" s="25"/>
      <c r="BP1" s="25"/>
      <c r="BQ1" s="25"/>
      <c r="BR1" s="25"/>
      <c r="BS1" s="25"/>
      <c r="BT1" s="25"/>
      <c r="BU1" s="142"/>
      <c r="BV1" s="142"/>
      <c r="BW1" s="25"/>
    </row>
    <row r="2" spans="3:75" ht="24" customHeight="1">
      <c r="C2" s="367"/>
      <c r="D2" s="1282"/>
      <c r="E2" s="258"/>
      <c r="F2" s="217"/>
      <c r="G2" s="173"/>
      <c r="H2" s="217"/>
      <c r="I2" s="258"/>
      <c r="J2" s="1267"/>
      <c r="K2" s="1269"/>
      <c r="L2" s="1270"/>
      <c r="M2" s="1270"/>
      <c r="N2" s="1270"/>
      <c r="O2" s="1270"/>
      <c r="P2" s="1270"/>
      <c r="Q2" s="1270"/>
      <c r="R2" s="1270"/>
      <c r="S2" s="1270"/>
      <c r="T2" s="1270"/>
      <c r="U2" s="1270"/>
      <c r="V2" s="1270"/>
      <c r="W2" s="1270"/>
      <c r="X2" s="1270"/>
      <c r="Y2" s="1270"/>
      <c r="Z2" s="1270"/>
      <c r="AA2" s="1270"/>
      <c r="AB2" s="1270"/>
      <c r="AC2" s="1270"/>
      <c r="AD2" s="1270"/>
      <c r="AE2" s="1270"/>
      <c r="AF2" s="1270"/>
      <c r="AG2" s="1270"/>
      <c r="AH2" s="1270"/>
      <c r="AI2" s="1270"/>
      <c r="AJ2" s="1270"/>
      <c r="AK2" s="1270"/>
      <c r="AL2" s="1270"/>
      <c r="AM2" s="1270"/>
      <c r="AN2" s="1270"/>
      <c r="AO2" s="1270"/>
      <c r="AP2" s="1270"/>
      <c r="AQ2" s="1270"/>
      <c r="AR2" s="1270"/>
      <c r="AS2" s="1270"/>
      <c r="AT2" s="1270"/>
      <c r="AU2" s="1270"/>
      <c r="AV2" s="1270"/>
      <c r="AW2" s="1270"/>
      <c r="AX2" s="1270"/>
      <c r="AY2" s="1270"/>
      <c r="AZ2" s="1270"/>
      <c r="BA2" s="1270"/>
      <c r="BB2" s="1270"/>
      <c r="BC2" s="1270"/>
      <c r="BD2" s="1270"/>
      <c r="BE2" s="1270"/>
      <c r="BF2" s="1270"/>
      <c r="BG2" s="1270"/>
      <c r="BH2" s="1270"/>
      <c r="BI2" s="1270"/>
      <c r="BJ2" s="1270"/>
      <c r="BK2" s="1270"/>
      <c r="BL2" s="1270"/>
      <c r="BM2" s="1270"/>
      <c r="BN2" s="1270"/>
      <c r="BO2" s="1270"/>
      <c r="BP2" s="1270"/>
      <c r="BQ2" s="1270"/>
      <c r="BR2" s="1270"/>
      <c r="BS2" s="1270"/>
      <c r="BT2" s="1270"/>
      <c r="BU2" s="1270"/>
      <c r="BV2" s="1271"/>
      <c r="BW2" s="32"/>
    </row>
    <row r="3" spans="3:75" ht="27" customHeight="1">
      <c r="C3" s="368"/>
      <c r="D3" s="1283"/>
      <c r="E3" s="182"/>
      <c r="F3" s="218"/>
      <c r="G3" s="219"/>
      <c r="H3" s="218"/>
      <c r="I3" s="182"/>
      <c r="J3" s="1268"/>
      <c r="K3" s="1272" t="s">
        <v>185</v>
      </c>
      <c r="L3" s="1273"/>
      <c r="M3" s="1273"/>
      <c r="N3" s="1273"/>
      <c r="O3" s="1273"/>
      <c r="P3" s="1273"/>
      <c r="Q3" s="1273"/>
      <c r="R3" s="1273"/>
      <c r="S3" s="1273"/>
      <c r="T3" s="1273"/>
      <c r="U3" s="1273"/>
      <c r="V3" s="1273"/>
      <c r="W3" s="1273"/>
      <c r="X3" s="1273"/>
      <c r="Y3" s="1273"/>
      <c r="Z3" s="1273"/>
      <c r="AA3" s="1273"/>
      <c r="AB3" s="1273"/>
      <c r="AC3" s="1273"/>
      <c r="AD3" s="1273"/>
      <c r="AE3" s="1273"/>
      <c r="AF3" s="1273"/>
      <c r="AG3" s="1273"/>
      <c r="AH3" s="1273"/>
      <c r="AI3" s="1273"/>
      <c r="AJ3" s="1273"/>
      <c r="AK3" s="1273"/>
      <c r="AL3" s="1273"/>
      <c r="AM3" s="1273"/>
      <c r="AN3" s="1273"/>
      <c r="AO3" s="1273"/>
      <c r="AP3" s="1273"/>
      <c r="AQ3" s="1274" t="s">
        <v>186</v>
      </c>
      <c r="AR3" s="1275"/>
      <c r="AS3" s="1275"/>
      <c r="AT3" s="1275"/>
      <c r="AU3" s="1275"/>
      <c r="AV3" s="1275"/>
      <c r="AW3" s="1275"/>
      <c r="AX3" s="1275"/>
      <c r="AY3" s="1275"/>
      <c r="AZ3" s="1275"/>
      <c r="BA3" s="1275"/>
      <c r="BB3" s="1275"/>
      <c r="BC3" s="1275"/>
      <c r="BD3" s="1275"/>
      <c r="BE3" s="1275"/>
      <c r="BF3" s="1275"/>
      <c r="BG3" s="1275"/>
      <c r="BH3" s="1275"/>
      <c r="BI3" s="1275"/>
      <c r="BJ3" s="1275"/>
      <c r="BK3" s="1275"/>
      <c r="BL3" s="1275"/>
      <c r="BM3" s="1275"/>
      <c r="BN3" s="1275"/>
      <c r="BO3" s="1275"/>
      <c r="BP3" s="1275"/>
      <c r="BQ3" s="1275"/>
      <c r="BR3" s="1275"/>
      <c r="BS3" s="1275"/>
      <c r="BT3" s="1275"/>
      <c r="BU3" s="1275"/>
      <c r="BV3" s="1275"/>
      <c r="BW3" s="33"/>
    </row>
    <row r="4" spans="3:75" ht="27" customHeight="1" thickBot="1">
      <c r="C4" s="370"/>
      <c r="D4" s="1284"/>
      <c r="E4" s="182"/>
      <c r="F4" s="218"/>
      <c r="G4" s="219"/>
      <c r="H4" s="218"/>
      <c r="I4" s="182"/>
      <c r="J4" s="218"/>
      <c r="K4" s="1278" t="s">
        <v>238</v>
      </c>
      <c r="L4" s="1279"/>
      <c r="M4" s="1279"/>
      <c r="N4" s="1279"/>
      <c r="O4" s="1279"/>
      <c r="P4" s="1279"/>
      <c r="Q4" s="1279"/>
      <c r="R4" s="1279"/>
      <c r="S4" s="1279"/>
      <c r="T4" s="1279"/>
      <c r="U4" s="1279"/>
      <c r="V4" s="1279"/>
      <c r="W4" s="1279"/>
      <c r="X4" s="1279"/>
      <c r="Y4" s="1279"/>
      <c r="Z4" s="1279"/>
      <c r="AA4" s="1279"/>
      <c r="AB4" s="1279" t="s">
        <v>237</v>
      </c>
      <c r="AC4" s="1279"/>
      <c r="AD4" s="1279"/>
      <c r="AE4" s="1279"/>
      <c r="AF4" s="1279"/>
      <c r="AG4" s="1279"/>
      <c r="AH4" s="1279"/>
      <c r="AI4" s="1279"/>
      <c r="AJ4" s="1279"/>
      <c r="AK4" s="1279"/>
      <c r="AL4" s="1279"/>
      <c r="AM4" s="1279"/>
      <c r="AN4" s="1279"/>
      <c r="AO4" s="1279"/>
      <c r="AP4" s="1279"/>
      <c r="AQ4" s="1280" t="s">
        <v>238</v>
      </c>
      <c r="AR4" s="1280"/>
      <c r="AS4" s="1280"/>
      <c r="AT4" s="1280"/>
      <c r="AU4" s="1280"/>
      <c r="AV4" s="1280"/>
      <c r="AW4" s="1280"/>
      <c r="AX4" s="1280"/>
      <c r="AY4" s="1280"/>
      <c r="AZ4" s="1280"/>
      <c r="BA4" s="1280"/>
      <c r="BB4" s="1280"/>
      <c r="BC4" s="1280"/>
      <c r="BD4" s="1280"/>
      <c r="BE4" s="1280"/>
      <c r="BF4" s="1280"/>
      <c r="BG4" s="1280"/>
      <c r="BH4" s="1280" t="s">
        <v>237</v>
      </c>
      <c r="BI4" s="1280"/>
      <c r="BJ4" s="1280"/>
      <c r="BK4" s="1280"/>
      <c r="BL4" s="1280"/>
      <c r="BM4" s="1280"/>
      <c r="BN4" s="1280"/>
      <c r="BO4" s="1280"/>
      <c r="BP4" s="1280"/>
      <c r="BQ4" s="1280"/>
      <c r="BR4" s="1280"/>
      <c r="BS4" s="1280"/>
      <c r="BT4" s="1280"/>
      <c r="BU4" s="1280"/>
      <c r="BV4" s="1281"/>
      <c r="BW4" s="33"/>
    </row>
    <row r="5" spans="3:75" s="268" customFormat="1" ht="48" customHeight="1">
      <c r="C5" s="559" t="s">
        <v>259</v>
      </c>
      <c r="D5" s="1185" t="s">
        <v>280</v>
      </c>
      <c r="E5" s="1186" t="s">
        <v>40</v>
      </c>
      <c r="F5" s="1187"/>
      <c r="G5" s="1188" t="s">
        <v>247</v>
      </c>
      <c r="H5" s="1187" t="s">
        <v>245</v>
      </c>
      <c r="I5" s="1189" t="s">
        <v>246</v>
      </c>
      <c r="J5" s="1190" t="s">
        <v>192</v>
      </c>
      <c r="K5" s="1191" t="s">
        <v>181</v>
      </c>
      <c r="L5" s="1192" t="s">
        <v>180</v>
      </c>
      <c r="M5" s="1193" t="s">
        <v>43</v>
      </c>
      <c r="N5" s="1194" t="s">
        <v>204</v>
      </c>
      <c r="O5" s="1195" t="s">
        <v>840</v>
      </c>
      <c r="P5" s="1196" t="s">
        <v>176</v>
      </c>
      <c r="Q5" s="1197" t="s">
        <v>479</v>
      </c>
      <c r="R5" s="1198" t="s">
        <v>945</v>
      </c>
      <c r="S5" s="1198" t="s">
        <v>944</v>
      </c>
      <c r="T5" s="1197" t="s">
        <v>230</v>
      </c>
      <c r="U5" s="1198" t="s">
        <v>946</v>
      </c>
      <c r="V5" s="1197" t="s">
        <v>231</v>
      </c>
      <c r="W5" s="1178" t="s">
        <v>943</v>
      </c>
      <c r="X5" s="1199" t="s">
        <v>841</v>
      </c>
      <c r="Y5" s="1199" t="s">
        <v>839</v>
      </c>
      <c r="Z5" s="1200" t="s">
        <v>175</v>
      </c>
      <c r="AA5" s="1201" t="s">
        <v>68</v>
      </c>
      <c r="AB5" s="1202" t="s">
        <v>182</v>
      </c>
      <c r="AC5" s="1203" t="s">
        <v>180</v>
      </c>
      <c r="AD5" s="1204" t="s">
        <v>43</v>
      </c>
      <c r="AE5" s="1194" t="s">
        <v>204</v>
      </c>
      <c r="AF5" s="1195" t="s">
        <v>840</v>
      </c>
      <c r="AG5" s="1205" t="s">
        <v>176</v>
      </c>
      <c r="AH5" s="1198" t="s">
        <v>944</v>
      </c>
      <c r="AI5" s="1197" t="s">
        <v>230</v>
      </c>
      <c r="AJ5" s="1198" t="s">
        <v>946</v>
      </c>
      <c r="AK5" s="1197" t="s">
        <v>231</v>
      </c>
      <c r="AL5" s="1178" t="s">
        <v>943</v>
      </c>
      <c r="AM5" s="1199" t="s">
        <v>841</v>
      </c>
      <c r="AN5" s="1199" t="s">
        <v>839</v>
      </c>
      <c r="AO5" s="1200" t="s">
        <v>175</v>
      </c>
      <c r="AP5" s="1206" t="s">
        <v>68</v>
      </c>
      <c r="AQ5" s="1207" t="s">
        <v>228</v>
      </c>
      <c r="AR5" s="1192" t="s">
        <v>180</v>
      </c>
      <c r="AS5" s="1203" t="s">
        <v>43</v>
      </c>
      <c r="AT5" s="1194" t="s">
        <v>204</v>
      </c>
      <c r="AU5" s="1195" t="s">
        <v>840</v>
      </c>
      <c r="AV5" s="1196" t="s">
        <v>176</v>
      </c>
      <c r="AW5" s="1197" t="s">
        <v>479</v>
      </c>
      <c r="AX5" s="1198" t="s">
        <v>945</v>
      </c>
      <c r="AY5" s="1198" t="s">
        <v>944</v>
      </c>
      <c r="AZ5" s="1197" t="s">
        <v>230</v>
      </c>
      <c r="BA5" s="1198" t="s">
        <v>946</v>
      </c>
      <c r="BB5" s="1197" t="s">
        <v>231</v>
      </c>
      <c r="BC5" s="1178" t="s">
        <v>943</v>
      </c>
      <c r="BD5" s="1199" t="s">
        <v>841</v>
      </c>
      <c r="BE5" s="1199" t="s">
        <v>839</v>
      </c>
      <c r="BF5" s="1208" t="s">
        <v>175</v>
      </c>
      <c r="BG5" s="1201" t="s">
        <v>68</v>
      </c>
      <c r="BH5" s="1209" t="s">
        <v>229</v>
      </c>
      <c r="BI5" s="1192" t="s">
        <v>180</v>
      </c>
      <c r="BJ5" s="1203" t="s">
        <v>43</v>
      </c>
      <c r="BK5" s="1194" t="s">
        <v>204</v>
      </c>
      <c r="BL5" s="1195" t="s">
        <v>840</v>
      </c>
      <c r="BM5" s="1196" t="s">
        <v>176</v>
      </c>
      <c r="BN5" s="1198" t="s">
        <v>944</v>
      </c>
      <c r="BO5" s="1197" t="s">
        <v>230</v>
      </c>
      <c r="BP5" s="1198" t="s">
        <v>946</v>
      </c>
      <c r="BQ5" s="1197" t="s">
        <v>231</v>
      </c>
      <c r="BR5" s="1178" t="s">
        <v>943</v>
      </c>
      <c r="BS5" s="1199" t="s">
        <v>841</v>
      </c>
      <c r="BT5" s="1199" t="s">
        <v>839</v>
      </c>
      <c r="BU5" s="1210" t="s">
        <v>175</v>
      </c>
      <c r="BV5" s="1211" t="s">
        <v>68</v>
      </c>
      <c r="BW5" s="267"/>
    </row>
    <row r="6" spans="3:75" customFormat="1" ht="25" customHeight="1">
      <c r="C6" s="1276" t="s">
        <v>14</v>
      </c>
      <c r="D6" s="1212"/>
      <c r="E6" s="1213" t="s">
        <v>15</v>
      </c>
      <c r="F6" s="1214" t="s">
        <v>477</v>
      </c>
      <c r="G6" s="1215"/>
      <c r="H6" s="1214"/>
      <c r="I6" s="1216"/>
      <c r="J6" s="1217" t="s">
        <v>50</v>
      </c>
      <c r="K6" s="1218">
        <f>1199+50</f>
        <v>1249</v>
      </c>
      <c r="L6" s="1219">
        <v>60</v>
      </c>
      <c r="M6" s="1220">
        <f t="shared" ref="M6:M20" si="0">L6*K6</f>
        <v>74940</v>
      </c>
      <c r="N6" s="1221"/>
      <c r="O6" s="1222"/>
      <c r="P6" s="1223">
        <f>MIN(K6,O6)*57</f>
        <v>71193</v>
      </c>
      <c r="Q6" s="235"/>
      <c r="R6" s="1158">
        <f>ROUNDDOWN(MIN(K6,O6)*0.5,0)</f>
        <v>624</v>
      </c>
      <c r="S6" s="235"/>
      <c r="T6" s="235"/>
      <c r="U6" s="235"/>
      <c r="V6" s="235"/>
      <c r="W6" s="1158">
        <v>149</v>
      </c>
      <c r="X6" s="235"/>
      <c r="Y6" s="235"/>
      <c r="Z6" s="1224">
        <f>P6+(W6*1)+(R6*2)</f>
        <v>72590</v>
      </c>
      <c r="AA6" s="521">
        <f t="shared" ref="AA6" si="1">M6-Z6</f>
        <v>2350</v>
      </c>
      <c r="AB6" s="1225"/>
      <c r="AC6" s="1226"/>
      <c r="AD6" s="1227"/>
      <c r="AE6" s="1221"/>
      <c r="AF6" s="85"/>
      <c r="AG6" s="1228"/>
      <c r="AH6" s="1228"/>
      <c r="AI6" s="85"/>
      <c r="AJ6" s="1222"/>
      <c r="AK6" s="1222"/>
      <c r="AL6" s="1222"/>
      <c r="AM6" s="1222"/>
      <c r="AN6" s="1222"/>
      <c r="AO6" s="1229"/>
      <c r="AP6" s="1230"/>
      <c r="AQ6" s="1231">
        <f>999+50</f>
        <v>1049</v>
      </c>
      <c r="AR6" s="1219">
        <v>72</v>
      </c>
      <c r="AS6" s="1232">
        <f t="shared" ref="AS6:AS33" si="2">AR6*AQ6</f>
        <v>75528</v>
      </c>
      <c r="AT6" s="1221"/>
      <c r="AU6" s="1222"/>
      <c r="AV6" s="85">
        <f>MIN(AQ6,AU6)*69</f>
        <v>72381</v>
      </c>
      <c r="AW6" s="235"/>
      <c r="AX6" s="1158">
        <f>ROUNDDOWN(MIN(AQ6,AU6)*0.5,0)</f>
        <v>524</v>
      </c>
      <c r="AY6" s="235"/>
      <c r="AZ6" s="235"/>
      <c r="BA6" s="235"/>
      <c r="BB6" s="235"/>
      <c r="BC6" s="1158">
        <v>149</v>
      </c>
      <c r="BD6" s="235"/>
      <c r="BE6" s="235"/>
      <c r="BF6" s="236">
        <f>AV6+(BC6*1)+(AX6*2)</f>
        <v>73578</v>
      </c>
      <c r="BG6" s="521">
        <f t="shared" ref="BG6:BG33" si="3">AS6-BF6</f>
        <v>1950</v>
      </c>
      <c r="BH6" s="1233"/>
      <c r="BI6" s="1234"/>
      <c r="BJ6" s="1226"/>
      <c r="BK6" s="1221"/>
      <c r="BL6" s="85"/>
      <c r="BM6" s="85"/>
      <c r="BN6" s="85"/>
      <c r="BO6" s="85"/>
      <c r="BP6" s="85"/>
      <c r="BQ6" s="85"/>
      <c r="BR6" s="85"/>
      <c r="BS6" s="85"/>
      <c r="BT6" s="85"/>
      <c r="BU6" s="1226"/>
      <c r="BV6" s="1235"/>
      <c r="BW6" s="34"/>
    </row>
    <row r="7" spans="3:75" customFormat="1" ht="24.75" customHeight="1">
      <c r="C7" s="1277"/>
      <c r="D7" s="544"/>
      <c r="E7" s="1149" t="s">
        <v>16</v>
      </c>
      <c r="F7" s="45" t="s">
        <v>83</v>
      </c>
      <c r="G7" s="178"/>
      <c r="H7" s="45"/>
      <c r="I7" s="183"/>
      <c r="J7" s="49" t="s">
        <v>27</v>
      </c>
      <c r="K7" s="758">
        <f>949+50+50</f>
        <v>1049</v>
      </c>
      <c r="L7" s="253">
        <v>60</v>
      </c>
      <c r="M7" s="415">
        <f t="shared" si="0"/>
        <v>62940</v>
      </c>
      <c r="N7" s="196"/>
      <c r="O7" s="123"/>
      <c r="P7" s="71">
        <f>MIN(K7,O7)*57</f>
        <v>59793</v>
      </c>
      <c r="Q7" s="47"/>
      <c r="R7" s="1151">
        <f>ROUNDDOWN(MIN(K7,O7)*0.5,0)</f>
        <v>524</v>
      </c>
      <c r="S7" s="47"/>
      <c r="T7" s="47"/>
      <c r="U7" s="47"/>
      <c r="V7" s="47"/>
      <c r="W7" s="1151">
        <v>149</v>
      </c>
      <c r="X7" s="47"/>
      <c r="Y7" s="47"/>
      <c r="Z7" s="111">
        <f>P7+(W7*1)+(R7*2)</f>
        <v>60990</v>
      </c>
      <c r="AA7" s="120">
        <f t="shared" ref="AA7" si="4">M7-Z7</f>
        <v>1950</v>
      </c>
      <c r="AB7" s="321"/>
      <c r="AC7" s="72"/>
      <c r="AD7" s="260"/>
      <c r="AE7" s="196"/>
      <c r="AF7" s="185"/>
      <c r="AG7" s="65"/>
      <c r="AH7" s="65"/>
      <c r="AI7" s="185"/>
      <c r="AJ7" s="123"/>
      <c r="AK7" s="123"/>
      <c r="AL7" s="123"/>
      <c r="AM7" s="123"/>
      <c r="AN7" s="123"/>
      <c r="AO7" s="240"/>
      <c r="AP7" s="226"/>
      <c r="AQ7" s="759">
        <f>799+50+50</f>
        <v>899</v>
      </c>
      <c r="AR7" s="253">
        <v>72</v>
      </c>
      <c r="AS7" s="125">
        <f t="shared" si="2"/>
        <v>64728</v>
      </c>
      <c r="AT7" s="196"/>
      <c r="AU7" s="123"/>
      <c r="AV7" s="185">
        <f>MIN(AQ7,AU7)*69</f>
        <v>62031</v>
      </c>
      <c r="AW7" s="47"/>
      <c r="AX7" s="1151">
        <f>ROUNDDOWN(MIN(AQ7,AU7)*0.5,0)</f>
        <v>449</v>
      </c>
      <c r="AY7" s="47"/>
      <c r="AZ7" s="47"/>
      <c r="BA7" s="47"/>
      <c r="BB7" s="47"/>
      <c r="BC7" s="1151">
        <v>149</v>
      </c>
      <c r="BD7" s="47"/>
      <c r="BE7" s="47"/>
      <c r="BF7" s="132">
        <f>AV7+(BC7*1)+(AX7*2)</f>
        <v>63078</v>
      </c>
      <c r="BG7" s="120">
        <f t="shared" si="3"/>
        <v>1650</v>
      </c>
      <c r="BH7" s="326"/>
      <c r="BI7" s="228"/>
      <c r="BJ7" s="72"/>
      <c r="BK7" s="196"/>
      <c r="BL7" s="185"/>
      <c r="BM7" s="185"/>
      <c r="BN7" s="185"/>
      <c r="BO7" s="185"/>
      <c r="BP7" s="185"/>
      <c r="BQ7" s="185"/>
      <c r="BR7" s="185"/>
      <c r="BS7" s="185"/>
      <c r="BT7" s="185"/>
      <c r="BU7" s="72"/>
      <c r="BV7" s="281"/>
      <c r="BW7" s="34"/>
    </row>
    <row r="8" spans="3:75" customFormat="1" ht="25" customHeight="1">
      <c r="C8" s="1277"/>
      <c r="D8" s="411"/>
      <c r="E8" s="1090" t="s">
        <v>210</v>
      </c>
      <c r="F8" s="45" t="s">
        <v>842</v>
      </c>
      <c r="G8" s="178"/>
      <c r="H8" s="45"/>
      <c r="I8" s="183"/>
      <c r="J8" s="49" t="s">
        <v>50</v>
      </c>
      <c r="K8" s="318">
        <v>849</v>
      </c>
      <c r="L8" s="253">
        <v>60</v>
      </c>
      <c r="M8" s="415">
        <f t="shared" si="0"/>
        <v>50940</v>
      </c>
      <c r="N8" s="196"/>
      <c r="O8" s="65"/>
      <c r="P8" s="71">
        <f>MIN(K8,O8)*57</f>
        <v>48393</v>
      </c>
      <c r="Q8" s="47">
        <f>ROUNDDOWN(MIN(K8,O8)*0.5,0)</f>
        <v>424</v>
      </c>
      <c r="R8" s="47"/>
      <c r="S8" s="47"/>
      <c r="T8" s="47"/>
      <c r="U8" s="47"/>
      <c r="V8" s="47"/>
      <c r="W8" s="228"/>
      <c r="X8" s="47"/>
      <c r="Y8" s="47"/>
      <c r="Z8" s="111">
        <f>P8+(Q8*3)</f>
        <v>49665</v>
      </c>
      <c r="AA8" s="120">
        <f t="shared" ref="AA8" si="5">M8-Z8</f>
        <v>1275</v>
      </c>
      <c r="AB8" s="321"/>
      <c r="AC8" s="72"/>
      <c r="AD8" s="260"/>
      <c r="AE8" s="196"/>
      <c r="AF8" s="185"/>
      <c r="AG8" s="65"/>
      <c r="AH8" s="65"/>
      <c r="AI8" s="185"/>
      <c r="AJ8" s="123"/>
      <c r="AK8" s="123"/>
      <c r="AL8" s="123"/>
      <c r="AM8" s="123"/>
      <c r="AN8" s="123"/>
      <c r="AO8" s="240"/>
      <c r="AP8" s="226"/>
      <c r="AQ8" s="324">
        <v>749</v>
      </c>
      <c r="AR8" s="253">
        <v>72</v>
      </c>
      <c r="AS8" s="125">
        <f t="shared" si="2"/>
        <v>53928</v>
      </c>
      <c r="AT8" s="196"/>
      <c r="AU8" s="65"/>
      <c r="AV8" s="185">
        <f t="shared" ref="AV8" si="6">MIN(AQ8,AU8)*69</f>
        <v>51681</v>
      </c>
      <c r="AW8" s="47">
        <f>ROUNDDOWN(MIN(AQ8,AU8)*0.5,0)</f>
        <v>374</v>
      </c>
      <c r="AX8" s="47"/>
      <c r="AY8" s="47"/>
      <c r="AZ8" s="47"/>
      <c r="BA8" s="47"/>
      <c r="BB8" s="47"/>
      <c r="BC8" s="228"/>
      <c r="BD8" s="47"/>
      <c r="BE8" s="47"/>
      <c r="BF8" s="132">
        <f>AV8+(AW8*3)</f>
        <v>52803</v>
      </c>
      <c r="BG8" s="120">
        <f t="shared" si="3"/>
        <v>1125</v>
      </c>
      <c r="BH8" s="326"/>
      <c r="BI8" s="228"/>
      <c r="BJ8" s="72"/>
      <c r="BK8" s="196"/>
      <c r="BL8" s="185"/>
      <c r="BM8" s="185"/>
      <c r="BN8" s="185"/>
      <c r="BO8" s="47"/>
      <c r="BP8" s="47"/>
      <c r="BQ8" s="47"/>
      <c r="BR8" s="47"/>
      <c r="BS8" s="47"/>
      <c r="BT8" s="47"/>
      <c r="BU8" s="72"/>
      <c r="BV8" s="281"/>
      <c r="BW8" s="34"/>
    </row>
    <row r="9" spans="3:75" customFormat="1" ht="25" customHeight="1">
      <c r="C9" s="1277"/>
      <c r="D9" s="411"/>
      <c r="E9" s="1089" t="s">
        <v>390</v>
      </c>
      <c r="F9" s="45" t="s">
        <v>478</v>
      </c>
      <c r="G9" s="831" t="s">
        <v>456</v>
      </c>
      <c r="H9" s="329" t="s">
        <v>390</v>
      </c>
      <c r="I9" s="330" t="s">
        <v>207</v>
      </c>
      <c r="J9" s="49" t="s">
        <v>174</v>
      </c>
      <c r="K9" s="758">
        <f>1349+100</f>
        <v>1449</v>
      </c>
      <c r="L9" s="253">
        <v>60</v>
      </c>
      <c r="M9" s="415">
        <f t="shared" ref="M9:M10" si="7">L9*K9</f>
        <v>86940</v>
      </c>
      <c r="N9" s="196"/>
      <c r="O9" s="65"/>
      <c r="P9" s="71">
        <f>MIN(K9,O9)*60</f>
        <v>86940</v>
      </c>
      <c r="Q9" s="47"/>
      <c r="R9" s="47"/>
      <c r="S9" s="47"/>
      <c r="T9" s="47"/>
      <c r="U9" s="47"/>
      <c r="V9" s="47"/>
      <c r="W9" s="228"/>
      <c r="X9" s="47"/>
      <c r="Y9" s="47"/>
      <c r="Z9" s="111">
        <f t="shared" ref="Z9" si="8">P9+(Q9*3)</f>
        <v>86940</v>
      </c>
      <c r="AA9" s="120">
        <f t="shared" ref="AA9" si="9">M9-Z9</f>
        <v>0</v>
      </c>
      <c r="AB9" s="321"/>
      <c r="AC9" s="72"/>
      <c r="AD9" s="260"/>
      <c r="AE9" s="196"/>
      <c r="AF9" s="185"/>
      <c r="AG9" s="65"/>
      <c r="AH9" s="65"/>
      <c r="AI9" s="185"/>
      <c r="AJ9" s="123"/>
      <c r="AK9" s="123"/>
      <c r="AL9" s="123"/>
      <c r="AM9" s="123"/>
      <c r="AN9" s="123"/>
      <c r="AO9" s="240"/>
      <c r="AP9" s="226"/>
      <c r="AQ9" s="759">
        <f>1149+100</f>
        <v>1249</v>
      </c>
      <c r="AR9" s="253">
        <v>72</v>
      </c>
      <c r="AS9" s="125">
        <f t="shared" si="2"/>
        <v>89928</v>
      </c>
      <c r="AT9" s="196"/>
      <c r="AU9" s="65"/>
      <c r="AV9" s="185">
        <f>MIN(AQ9,AU9)*72</f>
        <v>89928</v>
      </c>
      <c r="AW9" s="47"/>
      <c r="AX9" s="47"/>
      <c r="AY9" s="47"/>
      <c r="AZ9" s="47"/>
      <c r="BA9" s="47"/>
      <c r="BB9" s="47"/>
      <c r="BC9" s="228"/>
      <c r="BD9" s="47"/>
      <c r="BE9" s="47"/>
      <c r="BF9" s="132">
        <f>AV9+(AW9*3)</f>
        <v>89928</v>
      </c>
      <c r="BG9" s="120">
        <f t="shared" si="3"/>
        <v>0</v>
      </c>
      <c r="BH9" s="326"/>
      <c r="BI9" s="228"/>
      <c r="BJ9" s="72"/>
      <c r="BK9" s="196"/>
      <c r="BL9" s="185"/>
      <c r="BM9" s="185"/>
      <c r="BN9" s="185"/>
      <c r="BO9" s="185"/>
      <c r="BP9" s="185"/>
      <c r="BQ9" s="185"/>
      <c r="BR9" s="185"/>
      <c r="BS9" s="185"/>
      <c r="BT9" s="185"/>
      <c r="BU9" s="72"/>
      <c r="BV9" s="281"/>
      <c r="BW9" s="34"/>
    </row>
    <row r="10" spans="3:75" customFormat="1" ht="25" customHeight="1">
      <c r="C10" s="1277"/>
      <c r="D10" s="411"/>
      <c r="E10" s="1150" t="s">
        <v>723</v>
      </c>
      <c r="F10" s="555" t="s">
        <v>727</v>
      </c>
      <c r="G10" s="178"/>
      <c r="H10" s="45"/>
      <c r="I10" s="183"/>
      <c r="J10" s="49" t="s">
        <v>50</v>
      </c>
      <c r="K10" s="758">
        <f>949+50</f>
        <v>999</v>
      </c>
      <c r="L10" s="253">
        <v>60</v>
      </c>
      <c r="M10" s="415">
        <f t="shared" si="7"/>
        <v>59940</v>
      </c>
      <c r="N10" s="196"/>
      <c r="O10" s="123"/>
      <c r="P10" s="71">
        <f>MIN(K10,O10)*57</f>
        <v>56943</v>
      </c>
      <c r="Q10" s="47">
        <f>ROUNDDOWN(MIN(K10,O10)*0.5,0)</f>
        <v>499</v>
      </c>
      <c r="R10" s="47"/>
      <c r="S10" s="47"/>
      <c r="T10" s="47"/>
      <c r="U10" s="47"/>
      <c r="V10" s="47"/>
      <c r="W10" s="228"/>
      <c r="X10" s="47"/>
      <c r="Y10" s="47"/>
      <c r="Z10" s="111">
        <f>P10+(Q10*3)</f>
        <v>58440</v>
      </c>
      <c r="AA10" s="120">
        <f t="shared" ref="AA10:AA12" si="10">M10-Z10</f>
        <v>1500</v>
      </c>
      <c r="AB10" s="321"/>
      <c r="AC10" s="72"/>
      <c r="AD10" s="260"/>
      <c r="AE10" s="196"/>
      <c r="AF10" s="185"/>
      <c r="AG10" s="78"/>
      <c r="AH10" s="78"/>
      <c r="AI10" s="47"/>
      <c r="AJ10" s="86"/>
      <c r="AK10" s="86"/>
      <c r="AL10" s="86"/>
      <c r="AM10" s="86"/>
      <c r="AN10" s="86"/>
      <c r="AO10" s="240"/>
      <c r="AP10" s="226"/>
      <c r="AQ10" s="759">
        <f>899+50</f>
        <v>949</v>
      </c>
      <c r="AR10" s="253">
        <v>72</v>
      </c>
      <c r="AS10" s="125">
        <f t="shared" ref="AS10" si="11">AR10*AQ10</f>
        <v>68328</v>
      </c>
      <c r="AT10" s="196"/>
      <c r="AU10" s="123"/>
      <c r="AV10" s="185">
        <f t="shared" ref="AV10" si="12">MIN(AQ10,AU10)*69</f>
        <v>65481</v>
      </c>
      <c r="AW10" s="47">
        <f>ROUNDDOWN(MIN(AQ10,AU10)*0.5,0)</f>
        <v>474</v>
      </c>
      <c r="AX10" s="47"/>
      <c r="AY10" s="47"/>
      <c r="AZ10" s="47"/>
      <c r="BA10" s="47"/>
      <c r="BB10" s="47"/>
      <c r="BC10" s="228"/>
      <c r="BD10" s="47"/>
      <c r="BE10" s="47"/>
      <c r="BF10" s="132">
        <f>AV10+(AW10*3)</f>
        <v>66903</v>
      </c>
      <c r="BG10" s="120">
        <f t="shared" si="3"/>
        <v>1425</v>
      </c>
      <c r="BH10" s="326"/>
      <c r="BI10" s="228"/>
      <c r="BJ10" s="72"/>
      <c r="BK10" s="196"/>
      <c r="BL10" s="185"/>
      <c r="BM10" s="185"/>
      <c r="BN10" s="185"/>
      <c r="BO10" s="47"/>
      <c r="BP10" s="47"/>
      <c r="BQ10" s="47"/>
      <c r="BR10" s="47"/>
      <c r="BS10" s="47"/>
      <c r="BT10" s="47"/>
      <c r="BU10" s="72"/>
      <c r="BV10" s="281"/>
      <c r="BW10" s="34"/>
    </row>
    <row r="11" spans="3:75" customFormat="1" ht="25" customHeight="1">
      <c r="C11" s="1277"/>
      <c r="D11" s="558"/>
      <c r="E11" s="1149" t="s">
        <v>47</v>
      </c>
      <c r="F11" s="555" t="s">
        <v>787</v>
      </c>
      <c r="G11" s="178"/>
      <c r="H11" s="45"/>
      <c r="I11" s="183"/>
      <c r="J11" s="49" t="s">
        <v>50</v>
      </c>
      <c r="K11" s="758">
        <f>849+50+50</f>
        <v>949</v>
      </c>
      <c r="L11" s="253">
        <v>60</v>
      </c>
      <c r="M11" s="415">
        <f t="shared" si="0"/>
        <v>56940</v>
      </c>
      <c r="N11" s="196"/>
      <c r="O11" s="123"/>
      <c r="P11" s="71">
        <f>MIN(K11,O11)*57</f>
        <v>54093</v>
      </c>
      <c r="Q11" s="47"/>
      <c r="R11" s="1151">
        <f>ROUNDDOWN(MIN(K11,O11)*0.5,0)</f>
        <v>474</v>
      </c>
      <c r="S11" s="47"/>
      <c r="T11" s="47"/>
      <c r="U11" s="47"/>
      <c r="V11" s="47"/>
      <c r="W11" s="1151">
        <v>149</v>
      </c>
      <c r="X11" s="47"/>
      <c r="Y11" s="47"/>
      <c r="Z11" s="111">
        <f>P11+(W11*1)+(R11*2)</f>
        <v>55190</v>
      </c>
      <c r="AA11" s="120">
        <f t="shared" si="10"/>
        <v>1750</v>
      </c>
      <c r="AB11" s="321"/>
      <c r="AC11" s="72"/>
      <c r="AD11" s="260"/>
      <c r="AE11" s="196"/>
      <c r="AF11" s="185"/>
      <c r="AG11" s="78"/>
      <c r="AH11" s="78"/>
      <c r="AI11" s="47"/>
      <c r="AJ11" s="86"/>
      <c r="AK11" s="86"/>
      <c r="AL11" s="86"/>
      <c r="AM11" s="86"/>
      <c r="AN11" s="86"/>
      <c r="AO11" s="240"/>
      <c r="AP11" s="226"/>
      <c r="AQ11" s="759">
        <f>699+50+50</f>
        <v>799</v>
      </c>
      <c r="AR11" s="253">
        <v>72</v>
      </c>
      <c r="AS11" s="125">
        <f t="shared" si="2"/>
        <v>57528</v>
      </c>
      <c r="AT11" s="196"/>
      <c r="AU11" s="123"/>
      <c r="AV11" s="185">
        <f>MIN(AQ11,AU11)*69</f>
        <v>55131</v>
      </c>
      <c r="AW11" s="47"/>
      <c r="AX11" s="1151">
        <f>ROUNDDOWN(MIN(AQ11,AU11)*0.5,0)</f>
        <v>399</v>
      </c>
      <c r="AY11" s="47"/>
      <c r="AZ11" s="47"/>
      <c r="BA11" s="47"/>
      <c r="BB11" s="47"/>
      <c r="BC11" s="1151">
        <v>149</v>
      </c>
      <c r="BD11" s="47"/>
      <c r="BE11" s="47"/>
      <c r="BF11" s="132">
        <f>AV11+(BC11*1)+(AX11*2)</f>
        <v>56078</v>
      </c>
      <c r="BG11" s="120">
        <f t="shared" si="3"/>
        <v>1450</v>
      </c>
      <c r="BH11" s="326"/>
      <c r="BI11" s="228"/>
      <c r="BJ11" s="72"/>
      <c r="BK11" s="196"/>
      <c r="BL11" s="185"/>
      <c r="BM11" s="185"/>
      <c r="BN11" s="185"/>
      <c r="BO11" s="47"/>
      <c r="BP11" s="47"/>
      <c r="BQ11" s="47"/>
      <c r="BR11" s="47"/>
      <c r="BS11" s="47"/>
      <c r="BT11" s="47"/>
      <c r="BU11" s="72"/>
      <c r="BV11" s="281"/>
      <c r="BW11" s="34"/>
    </row>
    <row r="12" spans="3:75" customFormat="1" ht="25" customHeight="1">
      <c r="C12" s="1277"/>
      <c r="D12" s="558"/>
      <c r="E12" s="1149" t="s">
        <v>196</v>
      </c>
      <c r="F12" s="45" t="s">
        <v>726</v>
      </c>
      <c r="G12" s="178"/>
      <c r="H12" s="45"/>
      <c r="I12" s="183"/>
      <c r="J12" s="49" t="s">
        <v>50</v>
      </c>
      <c r="K12" s="758">
        <f>1299+50</f>
        <v>1349</v>
      </c>
      <c r="L12" s="253">
        <v>60</v>
      </c>
      <c r="M12" s="415">
        <f t="shared" si="0"/>
        <v>80940</v>
      </c>
      <c r="N12" s="196"/>
      <c r="O12" s="123"/>
      <c r="P12" s="71">
        <f>MIN(K12,O12)*57</f>
        <v>76893</v>
      </c>
      <c r="Q12" s="47"/>
      <c r="R12" s="1151">
        <f>ROUNDDOWN(MIN(K12,O12)*0.5,0)</f>
        <v>674</v>
      </c>
      <c r="S12" s="47"/>
      <c r="T12" s="47"/>
      <c r="U12" s="47"/>
      <c r="V12" s="47"/>
      <c r="W12" s="1151">
        <v>149</v>
      </c>
      <c r="X12" s="47"/>
      <c r="Y12" s="47"/>
      <c r="Z12" s="111">
        <f>P12+(W12*1)+(R12*2)</f>
        <v>78390</v>
      </c>
      <c r="AA12" s="120">
        <f t="shared" si="10"/>
        <v>2550</v>
      </c>
      <c r="AB12" s="321"/>
      <c r="AC12" s="72"/>
      <c r="AD12" s="260"/>
      <c r="AE12" s="196"/>
      <c r="AF12" s="185"/>
      <c r="AG12" s="78"/>
      <c r="AH12" s="78"/>
      <c r="AI12" s="47"/>
      <c r="AJ12" s="86"/>
      <c r="AK12" s="86"/>
      <c r="AL12" s="86"/>
      <c r="AM12" s="86"/>
      <c r="AN12" s="86"/>
      <c r="AO12" s="240"/>
      <c r="AP12" s="226"/>
      <c r="AQ12" s="759">
        <f>1099+50</f>
        <v>1149</v>
      </c>
      <c r="AR12" s="253">
        <v>72</v>
      </c>
      <c r="AS12" s="125">
        <f t="shared" ref="AS12:AS14" si="13">AR12*AQ12</f>
        <v>82728</v>
      </c>
      <c r="AT12" s="196"/>
      <c r="AU12" s="123"/>
      <c r="AV12" s="185">
        <f>MIN(AQ12,AU12)*69</f>
        <v>79281</v>
      </c>
      <c r="AW12" s="47"/>
      <c r="AX12" s="1151">
        <f>ROUNDDOWN(MIN(AQ12,AU12)*0.5,0)</f>
        <v>574</v>
      </c>
      <c r="AY12" s="47"/>
      <c r="AZ12" s="47"/>
      <c r="BA12" s="47"/>
      <c r="BB12" s="47"/>
      <c r="BC12" s="1151">
        <v>149</v>
      </c>
      <c r="BD12" s="47"/>
      <c r="BE12" s="47"/>
      <c r="BF12" s="132">
        <f>AV12+(BC12*1)+(AX12*2)</f>
        <v>80578</v>
      </c>
      <c r="BG12" s="120">
        <f t="shared" si="3"/>
        <v>2150</v>
      </c>
      <c r="BH12" s="326"/>
      <c r="BI12" s="228"/>
      <c r="BJ12" s="72"/>
      <c r="BK12" s="196"/>
      <c r="BL12" s="185"/>
      <c r="BM12" s="185"/>
      <c r="BN12" s="185"/>
      <c r="BO12" s="47"/>
      <c r="BP12" s="47"/>
      <c r="BQ12" s="47"/>
      <c r="BR12" s="47"/>
      <c r="BS12" s="47"/>
      <c r="BT12" s="47"/>
      <c r="BU12" s="72"/>
      <c r="BV12" s="281"/>
      <c r="BW12" s="34"/>
    </row>
    <row r="13" spans="3:75" customFormat="1" ht="24.75" customHeight="1">
      <c r="C13" s="1277"/>
      <c r="D13" s="558"/>
      <c r="E13" s="1089" t="s">
        <v>240</v>
      </c>
      <c r="F13" s="45" t="s">
        <v>724</v>
      </c>
      <c r="G13" s="831" t="s">
        <v>248</v>
      </c>
      <c r="H13" s="543" t="s">
        <v>206</v>
      </c>
      <c r="I13" s="330" t="s">
        <v>207</v>
      </c>
      <c r="J13" s="49" t="s">
        <v>174</v>
      </c>
      <c r="K13" s="758">
        <f>1849-500+100</f>
        <v>1449</v>
      </c>
      <c r="L13" s="253">
        <v>60</v>
      </c>
      <c r="M13" s="415">
        <f>L13*K13</f>
        <v>86940</v>
      </c>
      <c r="N13" s="196"/>
      <c r="O13" s="123"/>
      <c r="P13" s="71">
        <f t="shared" ref="P13:P15" si="14">MIN(K13,O13)*57</f>
        <v>82593</v>
      </c>
      <c r="Q13" s="47"/>
      <c r="R13" s="47"/>
      <c r="S13" s="47"/>
      <c r="T13" s="47"/>
      <c r="U13" s="47"/>
      <c r="V13" s="47"/>
      <c r="W13" s="47"/>
      <c r="X13" s="880">
        <v>149</v>
      </c>
      <c r="Y13" s="47"/>
      <c r="Z13" s="111">
        <f>P13+(X13*3)</f>
        <v>83040</v>
      </c>
      <c r="AA13" s="120">
        <f t="shared" ref="AA13" si="15">M13-Z13</f>
        <v>3900</v>
      </c>
      <c r="AB13" s="321"/>
      <c r="AC13" s="72"/>
      <c r="AD13" s="260"/>
      <c r="AE13" s="196"/>
      <c r="AF13" s="185"/>
      <c r="AG13" s="78"/>
      <c r="AH13" s="78"/>
      <c r="AI13" s="47"/>
      <c r="AJ13" s="86"/>
      <c r="AK13" s="86"/>
      <c r="AL13" s="86"/>
      <c r="AM13" s="86"/>
      <c r="AN13" s="86"/>
      <c r="AO13" s="240"/>
      <c r="AP13" s="226"/>
      <c r="AQ13" s="759">
        <f>1649-500+100</f>
        <v>1249</v>
      </c>
      <c r="AR13" s="253">
        <v>72</v>
      </c>
      <c r="AS13" s="125">
        <f t="shared" si="13"/>
        <v>89928</v>
      </c>
      <c r="AT13" s="196"/>
      <c r="AU13" s="123"/>
      <c r="AV13" s="185">
        <f t="shared" ref="AV13:AV14" si="16">MIN(AQ13,AU13)*69</f>
        <v>86181</v>
      </c>
      <c r="AW13" s="47"/>
      <c r="AX13" s="47"/>
      <c r="AY13" s="47"/>
      <c r="AZ13" s="47"/>
      <c r="BA13" s="47"/>
      <c r="BB13" s="47"/>
      <c r="BC13" s="228"/>
      <c r="BD13" s="885">
        <v>149</v>
      </c>
      <c r="BE13" s="47"/>
      <c r="BF13" s="132">
        <f>AV13+(BD13*3)</f>
        <v>86628</v>
      </c>
      <c r="BG13" s="120">
        <f t="shared" si="3"/>
        <v>3300</v>
      </c>
      <c r="BH13" s="326"/>
      <c r="BI13" s="228"/>
      <c r="BJ13" s="72"/>
      <c r="BK13" s="196"/>
      <c r="BL13" s="185"/>
      <c r="BM13" s="185"/>
      <c r="BN13" s="185"/>
      <c r="BO13" s="47"/>
      <c r="BP13" s="47"/>
      <c r="BQ13" s="47"/>
      <c r="BR13" s="47"/>
      <c r="BS13" s="47"/>
      <c r="BT13" s="47"/>
      <c r="BU13" s="72"/>
      <c r="BV13" s="281"/>
      <c r="BW13" s="34"/>
    </row>
    <row r="14" spans="3:75" customFormat="1" ht="28.5" customHeight="1">
      <c r="C14" s="1277"/>
      <c r="D14" s="411"/>
      <c r="E14" s="1089" t="s">
        <v>241</v>
      </c>
      <c r="F14" s="45" t="s">
        <v>725</v>
      </c>
      <c r="G14" s="831" t="s">
        <v>249</v>
      </c>
      <c r="H14" s="329" t="s">
        <v>208</v>
      </c>
      <c r="I14" s="330" t="s">
        <v>207</v>
      </c>
      <c r="J14" s="49" t="s">
        <v>174</v>
      </c>
      <c r="K14" s="758">
        <f>1649-500+100</f>
        <v>1249</v>
      </c>
      <c r="L14" s="253">
        <v>60</v>
      </c>
      <c r="M14" s="415">
        <f t="shared" si="0"/>
        <v>74940</v>
      </c>
      <c r="N14" s="196"/>
      <c r="O14" s="123"/>
      <c r="P14" s="71">
        <f t="shared" si="14"/>
        <v>71193</v>
      </c>
      <c r="Q14" s="47"/>
      <c r="R14" s="47"/>
      <c r="S14" s="47"/>
      <c r="T14" s="47"/>
      <c r="U14" s="47"/>
      <c r="V14" s="47"/>
      <c r="W14" s="47"/>
      <c r="X14" s="880">
        <v>149</v>
      </c>
      <c r="Y14" s="47"/>
      <c r="Z14" s="111">
        <f>P14+(X14*3)</f>
        <v>71640</v>
      </c>
      <c r="AA14" s="120">
        <f t="shared" ref="AA14" si="17">M14-Z14</f>
        <v>3300</v>
      </c>
      <c r="AB14" s="321"/>
      <c r="AC14" s="72"/>
      <c r="AD14" s="260"/>
      <c r="AE14" s="196"/>
      <c r="AF14" s="185"/>
      <c r="AG14" s="78"/>
      <c r="AH14" s="78"/>
      <c r="AI14" s="47"/>
      <c r="AJ14" s="86"/>
      <c r="AK14" s="86"/>
      <c r="AL14" s="86"/>
      <c r="AM14" s="86"/>
      <c r="AN14" s="86"/>
      <c r="AO14" s="240"/>
      <c r="AP14" s="226"/>
      <c r="AQ14" s="759">
        <f>1449-500+100</f>
        <v>1049</v>
      </c>
      <c r="AR14" s="253">
        <v>72</v>
      </c>
      <c r="AS14" s="125">
        <f t="shared" si="13"/>
        <v>75528</v>
      </c>
      <c r="AT14" s="196"/>
      <c r="AU14" s="65"/>
      <c r="AV14" s="185">
        <f t="shared" si="16"/>
        <v>72381</v>
      </c>
      <c r="AW14" s="47"/>
      <c r="AX14" s="47"/>
      <c r="AY14" s="47"/>
      <c r="AZ14" s="47"/>
      <c r="BA14" s="47"/>
      <c r="BB14" s="47"/>
      <c r="BC14" s="228"/>
      <c r="BD14" s="885">
        <v>149</v>
      </c>
      <c r="BE14" s="47"/>
      <c r="BF14" s="132">
        <f>AV14+(BD14*3)</f>
        <v>72828</v>
      </c>
      <c r="BG14" s="120">
        <f t="shared" si="3"/>
        <v>2700</v>
      </c>
      <c r="BH14" s="326"/>
      <c r="BI14" s="228"/>
      <c r="BJ14" s="72"/>
      <c r="BK14" s="196"/>
      <c r="BL14" s="185"/>
      <c r="BM14" s="185"/>
      <c r="BN14" s="185"/>
      <c r="BO14" s="47"/>
      <c r="BP14" s="47"/>
      <c r="BQ14" s="47"/>
      <c r="BR14" s="47"/>
      <c r="BS14" s="47"/>
      <c r="BT14" s="47"/>
      <c r="BU14" s="72"/>
      <c r="BV14" s="281"/>
      <c r="BW14" s="34"/>
    </row>
    <row r="15" spans="3:75" customFormat="1" ht="25" customHeight="1">
      <c r="C15" s="1277"/>
      <c r="D15" s="544"/>
      <c r="E15" s="1145" t="s">
        <v>17</v>
      </c>
      <c r="F15" s="45" t="s">
        <v>41</v>
      </c>
      <c r="G15" s="669"/>
      <c r="H15" s="45"/>
      <c r="I15" s="183"/>
      <c r="J15" s="49" t="s">
        <v>27</v>
      </c>
      <c r="K15" s="758">
        <f>549+50</f>
        <v>599</v>
      </c>
      <c r="L15" s="253">
        <v>60</v>
      </c>
      <c r="M15" s="415">
        <f t="shared" si="0"/>
        <v>35940</v>
      </c>
      <c r="N15" s="196"/>
      <c r="O15" s="123"/>
      <c r="P15" s="71">
        <f t="shared" si="14"/>
        <v>34143</v>
      </c>
      <c r="Q15" s="47">
        <f>ROUNDDOWN(MIN(K15,O15)*0.5,0)</f>
        <v>299</v>
      </c>
      <c r="R15" s="47"/>
      <c r="S15" s="47"/>
      <c r="T15" s="47"/>
      <c r="U15" s="47"/>
      <c r="V15" s="47"/>
      <c r="W15" s="47"/>
      <c r="X15" s="47"/>
      <c r="Y15" s="47"/>
      <c r="Z15" s="111">
        <f t="shared" ref="Z15" si="18">P15+(Q15*3)</f>
        <v>35040</v>
      </c>
      <c r="AA15" s="120">
        <f t="shared" ref="AA15:AA18" si="19">M15-Z15</f>
        <v>900</v>
      </c>
      <c r="AB15" s="321"/>
      <c r="AC15" s="72"/>
      <c r="AD15" s="260"/>
      <c r="AE15" s="196"/>
      <c r="AF15" s="185"/>
      <c r="AG15" s="65"/>
      <c r="AH15" s="65"/>
      <c r="AI15" s="185"/>
      <c r="AJ15" s="123"/>
      <c r="AK15" s="123"/>
      <c r="AL15" s="123"/>
      <c r="AM15" s="123"/>
      <c r="AN15" s="123"/>
      <c r="AO15" s="240"/>
      <c r="AP15" s="226"/>
      <c r="AQ15" s="759">
        <f>449+50</f>
        <v>499</v>
      </c>
      <c r="AR15" s="253">
        <v>72</v>
      </c>
      <c r="AS15" s="125">
        <f t="shared" ref="AS15:AS19" si="20">AR15*AQ15</f>
        <v>35928</v>
      </c>
      <c r="AT15" s="196"/>
      <c r="AU15" s="65"/>
      <c r="AV15" s="185">
        <f>MIN(AQ15,AU15)*69</f>
        <v>34431</v>
      </c>
      <c r="AW15" s="47">
        <f>ROUNDDOWN(MIN(AQ15,AU15)*0.5,0)</f>
        <v>249</v>
      </c>
      <c r="AX15" s="47"/>
      <c r="AY15" s="47"/>
      <c r="AZ15" s="47"/>
      <c r="BA15" s="47"/>
      <c r="BB15" s="47"/>
      <c r="BC15" s="228"/>
      <c r="BD15" s="47"/>
      <c r="BE15" s="47"/>
      <c r="BF15" s="132">
        <f>AV15+(AW15*3)</f>
        <v>35178</v>
      </c>
      <c r="BG15" s="120">
        <f t="shared" si="3"/>
        <v>750</v>
      </c>
      <c r="BH15" s="326"/>
      <c r="BI15" s="228"/>
      <c r="BJ15" s="72"/>
      <c r="BK15" s="196"/>
      <c r="BL15" s="185"/>
      <c r="BM15" s="185"/>
      <c r="BN15" s="185"/>
      <c r="BO15" s="47"/>
      <c r="BP15" s="47"/>
      <c r="BQ15" s="47"/>
      <c r="BR15" s="47"/>
      <c r="BS15" s="47"/>
      <c r="BT15" s="47"/>
      <c r="BU15" s="72"/>
      <c r="BV15" s="281"/>
      <c r="BW15" s="34"/>
    </row>
    <row r="16" spans="3:75" customFormat="1" ht="22.5" customHeight="1">
      <c r="C16" s="1277"/>
      <c r="D16" s="165"/>
      <c r="E16" s="1090" t="s">
        <v>80</v>
      </c>
      <c r="F16" s="45" t="s">
        <v>225</v>
      </c>
      <c r="G16" s="178"/>
      <c r="H16" s="45"/>
      <c r="I16" s="183"/>
      <c r="J16" s="49" t="s">
        <v>50</v>
      </c>
      <c r="K16" s="318">
        <v>649</v>
      </c>
      <c r="L16" s="253">
        <v>60</v>
      </c>
      <c r="M16" s="415">
        <f t="shared" ref="M16:M19" si="21">L16*K16</f>
        <v>38940</v>
      </c>
      <c r="N16" s="196"/>
      <c r="O16" s="65"/>
      <c r="P16" s="71">
        <f t="shared" ref="P16" si="22">MIN(K16,O16)*57</f>
        <v>36993</v>
      </c>
      <c r="Q16" s="47">
        <f>ROUNDDOWN(MIN(K16,O16)*0.5,0)</f>
        <v>324</v>
      </c>
      <c r="R16" s="47"/>
      <c r="S16" s="47"/>
      <c r="T16" s="47"/>
      <c r="U16" s="47"/>
      <c r="V16" s="47"/>
      <c r="W16" s="47"/>
      <c r="X16" s="47"/>
      <c r="Y16" s="47"/>
      <c r="Z16" s="111">
        <f t="shared" ref="Z16:Z18" si="23">P16+(Q16*3)</f>
        <v>37965</v>
      </c>
      <c r="AA16" s="120">
        <f t="shared" si="19"/>
        <v>975</v>
      </c>
      <c r="AB16" s="321"/>
      <c r="AC16" s="72"/>
      <c r="AD16" s="260"/>
      <c r="AE16" s="196"/>
      <c r="AF16" s="185"/>
      <c r="AG16" s="78"/>
      <c r="AH16" s="78"/>
      <c r="AI16" s="47"/>
      <c r="AJ16" s="86"/>
      <c r="AK16" s="86"/>
      <c r="AL16" s="86"/>
      <c r="AM16" s="86"/>
      <c r="AN16" s="86"/>
      <c r="AO16" s="240"/>
      <c r="AP16" s="226"/>
      <c r="AQ16" s="324">
        <v>549</v>
      </c>
      <c r="AR16" s="253">
        <v>72</v>
      </c>
      <c r="AS16" s="125">
        <f t="shared" si="20"/>
        <v>39528</v>
      </c>
      <c r="AT16" s="196"/>
      <c r="AU16" s="123"/>
      <c r="AV16" s="185">
        <f>MIN(AQ16,AU16)*69</f>
        <v>37881</v>
      </c>
      <c r="AW16" s="47">
        <f>ROUNDDOWN(MIN(AQ16,AU16)*0.5,0)</f>
        <v>274</v>
      </c>
      <c r="AX16" s="47"/>
      <c r="AY16" s="47"/>
      <c r="AZ16" s="47"/>
      <c r="BA16" s="47"/>
      <c r="BB16" s="47"/>
      <c r="BC16" s="228"/>
      <c r="BD16" s="47"/>
      <c r="BE16" s="47"/>
      <c r="BF16" s="132">
        <f>AV16+(AW16*3)</f>
        <v>38703</v>
      </c>
      <c r="BG16" s="120">
        <f t="shared" si="3"/>
        <v>825</v>
      </c>
      <c r="BH16" s="326"/>
      <c r="BI16" s="228"/>
      <c r="BJ16" s="72"/>
      <c r="BK16" s="196"/>
      <c r="BL16" s="185"/>
      <c r="BM16" s="185"/>
      <c r="BN16" s="185"/>
      <c r="BO16" s="47"/>
      <c r="BP16" s="47"/>
      <c r="BQ16" s="47"/>
      <c r="BR16" s="47"/>
      <c r="BS16" s="47"/>
      <c r="BT16" s="47"/>
      <c r="BU16" s="72"/>
      <c r="BV16" s="281"/>
      <c r="BW16" s="34"/>
    </row>
    <row r="17" spans="3:75" customFormat="1" ht="25" customHeight="1">
      <c r="C17" s="1277"/>
      <c r="D17" s="781" t="s">
        <v>797</v>
      </c>
      <c r="E17" s="1091" t="s">
        <v>46</v>
      </c>
      <c r="F17" s="45" t="s">
        <v>84</v>
      </c>
      <c r="G17" s="178"/>
      <c r="H17" s="45"/>
      <c r="I17" s="183"/>
      <c r="J17" s="49" t="s">
        <v>50</v>
      </c>
      <c r="K17" s="758">
        <f>749+100-100</f>
        <v>749</v>
      </c>
      <c r="L17" s="253">
        <v>60</v>
      </c>
      <c r="M17" s="415">
        <f t="shared" si="21"/>
        <v>44940</v>
      </c>
      <c r="N17" s="196"/>
      <c r="O17" s="123"/>
      <c r="P17" s="71">
        <f>MIN(K17,O17)*60</f>
        <v>44940</v>
      </c>
      <c r="Q17" s="47"/>
      <c r="R17" s="47"/>
      <c r="S17" s="47"/>
      <c r="T17" s="47"/>
      <c r="U17" s="47"/>
      <c r="V17" s="47"/>
      <c r="W17" s="47"/>
      <c r="X17" s="47"/>
      <c r="Y17" s="47"/>
      <c r="Z17" s="111">
        <f>P17+(Q17)</f>
        <v>44940</v>
      </c>
      <c r="AA17" s="120">
        <f t="shared" si="19"/>
        <v>0</v>
      </c>
      <c r="AB17" s="321"/>
      <c r="AC17" s="72"/>
      <c r="AD17" s="260"/>
      <c r="AE17" s="196"/>
      <c r="AF17" s="185"/>
      <c r="AG17" s="78"/>
      <c r="AH17" s="78"/>
      <c r="AI17" s="185"/>
      <c r="AJ17" s="123"/>
      <c r="AK17" s="123"/>
      <c r="AL17" s="123"/>
      <c r="AM17" s="123"/>
      <c r="AN17" s="123"/>
      <c r="AO17" s="240"/>
      <c r="AP17" s="226"/>
      <c r="AQ17" s="759">
        <f>649+100-100</f>
        <v>649</v>
      </c>
      <c r="AR17" s="253">
        <v>72</v>
      </c>
      <c r="AS17" s="125">
        <f t="shared" si="20"/>
        <v>46728</v>
      </c>
      <c r="AT17" s="196"/>
      <c r="AU17" s="123"/>
      <c r="AV17" s="185">
        <f>MIN(AQ17,AU17)*72</f>
        <v>46728</v>
      </c>
      <c r="AW17" s="47"/>
      <c r="AX17" s="47"/>
      <c r="AY17" s="47"/>
      <c r="AZ17" s="47"/>
      <c r="BA17" s="47"/>
      <c r="BB17" s="47"/>
      <c r="BC17" s="228"/>
      <c r="BD17" s="47"/>
      <c r="BE17" s="47"/>
      <c r="BF17" s="132">
        <f>AV17+(AW17*3)</f>
        <v>46728</v>
      </c>
      <c r="BG17" s="120">
        <f t="shared" si="3"/>
        <v>0</v>
      </c>
      <c r="BH17" s="326"/>
      <c r="BI17" s="228"/>
      <c r="BJ17" s="72"/>
      <c r="BK17" s="196"/>
      <c r="BL17" s="185"/>
      <c r="BM17" s="185"/>
      <c r="BN17" s="185"/>
      <c r="BO17" s="47"/>
      <c r="BP17" s="47"/>
      <c r="BQ17" s="47"/>
      <c r="BR17" s="47"/>
      <c r="BS17" s="47"/>
      <c r="BT17" s="47"/>
      <c r="BU17" s="72"/>
      <c r="BV17" s="281"/>
      <c r="BW17" s="34"/>
    </row>
    <row r="18" spans="3:75" customFormat="1" ht="25" customHeight="1">
      <c r="C18" s="1277"/>
      <c r="D18" s="781" t="s">
        <v>917</v>
      </c>
      <c r="E18" s="1091" t="s">
        <v>813</v>
      </c>
      <c r="F18" s="45" t="s">
        <v>847</v>
      </c>
      <c r="G18" s="883"/>
      <c r="H18" s="879"/>
      <c r="I18" s="884"/>
      <c r="J18" s="49" t="s">
        <v>50</v>
      </c>
      <c r="K18" s="758">
        <f>599-50</f>
        <v>549</v>
      </c>
      <c r="L18" s="253">
        <v>60</v>
      </c>
      <c r="M18" s="415">
        <f t="shared" si="21"/>
        <v>32940</v>
      </c>
      <c r="N18" s="196"/>
      <c r="O18" s="65"/>
      <c r="P18" s="71">
        <f>MIN(K18,O18)*60</f>
        <v>32940</v>
      </c>
      <c r="Q18" s="47"/>
      <c r="R18" s="47"/>
      <c r="S18" s="47"/>
      <c r="T18" s="47"/>
      <c r="U18" s="47"/>
      <c r="V18" s="47"/>
      <c r="W18" s="47"/>
      <c r="X18" s="47"/>
      <c r="Y18" s="47"/>
      <c r="Z18" s="111">
        <f t="shared" si="23"/>
        <v>32940</v>
      </c>
      <c r="AA18" s="120">
        <f t="shared" si="19"/>
        <v>0</v>
      </c>
      <c r="AB18" s="321"/>
      <c r="AC18" s="72"/>
      <c r="AD18" s="260"/>
      <c r="AE18" s="196"/>
      <c r="AF18" s="185"/>
      <c r="AG18" s="65"/>
      <c r="AH18" s="65"/>
      <c r="AI18" s="185"/>
      <c r="AJ18" s="123"/>
      <c r="AK18" s="123"/>
      <c r="AL18" s="123"/>
      <c r="AM18" s="123"/>
      <c r="AN18" s="123"/>
      <c r="AO18" s="240"/>
      <c r="AP18" s="226"/>
      <c r="AQ18" s="759">
        <f>499-50</f>
        <v>449</v>
      </c>
      <c r="AR18" s="253">
        <v>72</v>
      </c>
      <c r="AS18" s="125">
        <f t="shared" si="20"/>
        <v>32328</v>
      </c>
      <c r="AT18" s="196"/>
      <c r="AU18" s="65"/>
      <c r="AV18" s="185">
        <f>MIN(AQ18,AU18)*72</f>
        <v>32328</v>
      </c>
      <c r="AW18" s="47"/>
      <c r="AX18" s="47"/>
      <c r="AY18" s="47"/>
      <c r="AZ18" s="47"/>
      <c r="BA18" s="47"/>
      <c r="BB18" s="47"/>
      <c r="BC18" s="228"/>
      <c r="BD18" s="47"/>
      <c r="BE18" s="47"/>
      <c r="BF18" s="132">
        <f>AV18+(AW18*3)</f>
        <v>32328</v>
      </c>
      <c r="BG18" s="120">
        <f t="shared" si="3"/>
        <v>0</v>
      </c>
      <c r="BH18" s="326"/>
      <c r="BI18" s="228"/>
      <c r="BJ18" s="72"/>
      <c r="BK18" s="196"/>
      <c r="BL18" s="185"/>
      <c r="BM18" s="185"/>
      <c r="BN18" s="185"/>
      <c r="BO18" s="185"/>
      <c r="BP18" s="185"/>
      <c r="BQ18" s="185"/>
      <c r="BR18" s="185"/>
      <c r="BS18" s="185"/>
      <c r="BT18" s="185"/>
      <c r="BU18" s="72"/>
      <c r="BV18" s="281"/>
      <c r="BW18" s="34"/>
    </row>
    <row r="19" spans="3:75" customFormat="1" ht="25" customHeight="1">
      <c r="C19" s="1277"/>
      <c r="D19" s="781" t="s">
        <v>797</v>
      </c>
      <c r="E19" s="1147" t="s">
        <v>236</v>
      </c>
      <c r="F19" s="555" t="s">
        <v>792</v>
      </c>
      <c r="G19" s="177"/>
      <c r="H19" s="45"/>
      <c r="I19" s="177"/>
      <c r="J19" s="49" t="s">
        <v>50</v>
      </c>
      <c r="K19" s="758">
        <f>849-150</f>
        <v>699</v>
      </c>
      <c r="L19" s="253">
        <v>60</v>
      </c>
      <c r="M19" s="415">
        <f t="shared" si="21"/>
        <v>41940</v>
      </c>
      <c r="N19" s="196"/>
      <c r="O19" s="65"/>
      <c r="P19" s="185">
        <f>MIN(K19,O19)*60</f>
        <v>41940</v>
      </c>
      <c r="Q19" s="47"/>
      <c r="R19" s="47"/>
      <c r="S19" s="47"/>
      <c r="T19" s="47"/>
      <c r="U19" s="47"/>
      <c r="V19" s="47"/>
      <c r="W19" s="47"/>
      <c r="X19" s="47"/>
      <c r="Y19" s="47"/>
      <c r="Z19" s="132">
        <f>P19+(V19*12)</f>
        <v>41940</v>
      </c>
      <c r="AA19" s="120">
        <f>M19-Z19</f>
        <v>0</v>
      </c>
      <c r="AB19" s="321"/>
      <c r="AC19" s="72"/>
      <c r="AD19" s="260"/>
      <c r="AE19" s="196"/>
      <c r="AF19" s="185"/>
      <c r="AG19" s="65"/>
      <c r="AH19" s="65"/>
      <c r="AI19" s="185"/>
      <c r="AJ19" s="123"/>
      <c r="AK19" s="123"/>
      <c r="AL19" s="123"/>
      <c r="AM19" s="123"/>
      <c r="AN19" s="123"/>
      <c r="AO19" s="240"/>
      <c r="AP19" s="226"/>
      <c r="AQ19" s="759">
        <f>699-100</f>
        <v>599</v>
      </c>
      <c r="AR19" s="253">
        <v>72</v>
      </c>
      <c r="AS19" s="125">
        <f t="shared" si="20"/>
        <v>43128</v>
      </c>
      <c r="AT19" s="196"/>
      <c r="AU19" s="65"/>
      <c r="AV19" s="185">
        <f>MIN(AQ19,AU19)*72</f>
        <v>43128</v>
      </c>
      <c r="AW19" s="47"/>
      <c r="AX19" s="47"/>
      <c r="AY19" s="47"/>
      <c r="AZ19" s="47"/>
      <c r="BA19" s="47"/>
      <c r="BB19" s="47"/>
      <c r="BC19" s="228"/>
      <c r="BD19" s="47"/>
      <c r="BE19" s="47"/>
      <c r="BF19" s="132">
        <f>AV19+(BB19*12)</f>
        <v>43128</v>
      </c>
      <c r="BG19" s="120">
        <f t="shared" si="3"/>
        <v>0</v>
      </c>
      <c r="BH19" s="326"/>
      <c r="BI19" s="228"/>
      <c r="BJ19" s="72"/>
      <c r="BK19" s="196"/>
      <c r="BL19" s="185"/>
      <c r="BM19" s="185"/>
      <c r="BN19" s="185"/>
      <c r="BO19" s="185"/>
      <c r="BP19" s="185"/>
      <c r="BQ19" s="185"/>
      <c r="BR19" s="185"/>
      <c r="BS19" s="185"/>
      <c r="BT19" s="185"/>
      <c r="BU19" s="72"/>
      <c r="BV19" s="281"/>
      <c r="BW19" s="34"/>
    </row>
    <row r="20" spans="3:75" customFormat="1" ht="25" customHeight="1" thickBot="1">
      <c r="C20" s="1277"/>
      <c r="D20" s="781" t="s">
        <v>797</v>
      </c>
      <c r="E20" s="1091" t="s">
        <v>67</v>
      </c>
      <c r="F20" s="45" t="s">
        <v>224</v>
      </c>
      <c r="G20" s="178"/>
      <c r="H20" s="45"/>
      <c r="I20" s="183"/>
      <c r="J20" s="49" t="s">
        <v>50</v>
      </c>
      <c r="K20" s="758">
        <f>499-50</f>
        <v>449</v>
      </c>
      <c r="L20" s="253">
        <v>60</v>
      </c>
      <c r="M20" s="415">
        <f t="shared" si="0"/>
        <v>26940</v>
      </c>
      <c r="N20" s="196"/>
      <c r="O20" s="123"/>
      <c r="P20" s="71">
        <f>MIN(K20,O20)*60</f>
        <v>26940</v>
      </c>
      <c r="Q20" s="47"/>
      <c r="R20" s="47"/>
      <c r="S20" s="47"/>
      <c r="T20" s="47"/>
      <c r="U20" s="47"/>
      <c r="V20" s="47"/>
      <c r="W20" s="47"/>
      <c r="X20" s="47"/>
      <c r="Y20" s="47"/>
      <c r="Z20" s="111">
        <f t="shared" ref="Z20" si="24">P20+(Q20*3)</f>
        <v>26940</v>
      </c>
      <c r="AA20" s="120">
        <f t="shared" ref="AA20" si="25">M20-Z20</f>
        <v>0</v>
      </c>
      <c r="AB20" s="321"/>
      <c r="AC20" s="72"/>
      <c r="AD20" s="260"/>
      <c r="AE20" s="196"/>
      <c r="AF20" s="185"/>
      <c r="AG20" s="78"/>
      <c r="AH20" s="78"/>
      <c r="AI20" s="47"/>
      <c r="AJ20" s="86"/>
      <c r="AK20" s="86"/>
      <c r="AL20" s="86"/>
      <c r="AM20" s="86"/>
      <c r="AN20" s="86"/>
      <c r="AO20" s="240"/>
      <c r="AP20" s="226"/>
      <c r="AQ20" s="759">
        <f>399-50</f>
        <v>349</v>
      </c>
      <c r="AR20" s="253">
        <v>72</v>
      </c>
      <c r="AS20" s="125">
        <f>AR20*AQ20</f>
        <v>25128</v>
      </c>
      <c r="AT20" s="196"/>
      <c r="AU20" s="65"/>
      <c r="AV20" s="185">
        <f>MIN(AQ20,AU20)*72</f>
        <v>25128</v>
      </c>
      <c r="AW20" s="47"/>
      <c r="AX20" s="47"/>
      <c r="AY20" s="47"/>
      <c r="AZ20" s="47"/>
      <c r="BA20" s="47"/>
      <c r="BB20" s="47"/>
      <c r="BC20" s="228"/>
      <c r="BD20" s="47"/>
      <c r="BE20" s="47"/>
      <c r="BF20" s="132">
        <f>AV20+(AW20)</f>
        <v>25128</v>
      </c>
      <c r="BG20" s="120">
        <f t="shared" si="3"/>
        <v>0</v>
      </c>
      <c r="BH20" s="326"/>
      <c r="BI20" s="228"/>
      <c r="BJ20" s="72"/>
      <c r="BK20" s="196"/>
      <c r="BL20" s="185"/>
      <c r="BM20" s="185"/>
      <c r="BN20" s="185"/>
      <c r="BO20" s="47"/>
      <c r="BP20" s="47"/>
      <c r="BQ20" s="47"/>
      <c r="BR20" s="47"/>
      <c r="BS20" s="47"/>
      <c r="BT20" s="47"/>
      <c r="BU20" s="72"/>
      <c r="BV20" s="281"/>
      <c r="BW20" s="34"/>
    </row>
    <row r="21" spans="3:75" customFormat="1" ht="25" customHeight="1">
      <c r="C21" s="1285" t="s">
        <v>18</v>
      </c>
      <c r="D21" s="1070"/>
      <c r="E21" s="1152" t="s">
        <v>443</v>
      </c>
      <c r="F21" s="50" t="s">
        <v>453</v>
      </c>
      <c r="G21" s="179"/>
      <c r="H21" s="50"/>
      <c r="I21" s="184"/>
      <c r="J21" s="51" t="s">
        <v>51</v>
      </c>
      <c r="K21" s="333">
        <v>2399</v>
      </c>
      <c r="L21" s="254">
        <v>60</v>
      </c>
      <c r="M21" s="262">
        <f t="shared" ref="M21:M33" si="26">L21*K21</f>
        <v>143940</v>
      </c>
      <c r="N21" s="1071"/>
      <c r="O21" s="1072"/>
      <c r="P21" s="81">
        <f t="shared" ref="P21:P26" si="27">MIN(K21,O21)*54</f>
        <v>129546</v>
      </c>
      <c r="Q21" s="52">
        <f t="shared" ref="Q21" si="28">ROUNDDOWN(MIN(J21,N21)*0.5,0)</f>
        <v>0</v>
      </c>
      <c r="R21" s="52"/>
      <c r="S21" s="1157">
        <f>ROUNDDOWN(MIN(K21,O21)*0.5,0)</f>
        <v>1199</v>
      </c>
      <c r="T21" s="52"/>
      <c r="U21" s="52"/>
      <c r="V21" s="52"/>
      <c r="W21" s="1157">
        <v>149</v>
      </c>
      <c r="X21" s="52"/>
      <c r="Y21" s="52"/>
      <c r="Z21" s="277">
        <f>P21+(W21*1)+(S21*5)</f>
        <v>135690</v>
      </c>
      <c r="AA21" s="121">
        <f t="shared" ref="AA21" si="29">M21-Z21</f>
        <v>8250</v>
      </c>
      <c r="AB21" s="322">
        <v>2199</v>
      </c>
      <c r="AC21" s="140">
        <v>60</v>
      </c>
      <c r="AD21" s="262">
        <f t="shared" ref="AD21:AD34" si="30">AC21*AB21</f>
        <v>131940</v>
      </c>
      <c r="AE21" s="195"/>
      <c r="AF21" s="1073"/>
      <c r="AG21" s="83">
        <f t="shared" ref="AG21:AG26" si="31">MIN(AB21,AF21)*54</f>
        <v>118746</v>
      </c>
      <c r="AH21" s="1157">
        <f>ROUNDDOWN((MIN(AB21,AF21)*0.5),0)</f>
        <v>1099</v>
      </c>
      <c r="AI21" s="52"/>
      <c r="AJ21" s="386"/>
      <c r="AK21" s="386"/>
      <c r="AL21" s="1157">
        <v>149</v>
      </c>
      <c r="AM21" s="386"/>
      <c r="AN21" s="386"/>
      <c r="AO21" s="144">
        <f>(AB21*54)+(AL21*1)+(AH21*5)</f>
        <v>124390</v>
      </c>
      <c r="AP21" s="121">
        <f t="shared" ref="AP21" si="32">AD21-AO21</f>
        <v>7550</v>
      </c>
      <c r="AQ21" s="325">
        <v>2199</v>
      </c>
      <c r="AR21" s="254">
        <v>72</v>
      </c>
      <c r="AS21" s="124">
        <f t="shared" si="2"/>
        <v>158328</v>
      </c>
      <c r="AT21" s="195"/>
      <c r="AU21" s="83"/>
      <c r="AV21" s="81">
        <f>MIN(AQ21,AU21)*66</f>
        <v>145134</v>
      </c>
      <c r="AW21" s="52"/>
      <c r="AX21" s="52"/>
      <c r="AY21" s="1155">
        <f>ROUNDDOWN(MIN(AQ21,AU21)*0.5,0)</f>
        <v>1099</v>
      </c>
      <c r="AZ21" s="52"/>
      <c r="BA21" s="52"/>
      <c r="BB21" s="52"/>
      <c r="BC21" s="1157">
        <v>149</v>
      </c>
      <c r="BD21" s="52"/>
      <c r="BE21" s="52"/>
      <c r="BF21" s="277">
        <f>AV21+(BC21*1)+(AY21*5)</f>
        <v>150778</v>
      </c>
      <c r="BG21" s="121">
        <f t="shared" si="3"/>
        <v>7550</v>
      </c>
      <c r="BH21" s="327">
        <v>1999</v>
      </c>
      <c r="BI21" s="254">
        <v>72</v>
      </c>
      <c r="BJ21" s="124">
        <f t="shared" ref="BJ21:BJ34" si="33">BI21*BH21</f>
        <v>143928</v>
      </c>
      <c r="BK21" s="195"/>
      <c r="BL21" s="81"/>
      <c r="BM21" s="81">
        <f>MIN(BH21,BL21)*66</f>
        <v>131934</v>
      </c>
      <c r="BN21" s="1157">
        <f>ROUNDDOWN((MIN(BH21,BL21)*0.5),0)</f>
        <v>999</v>
      </c>
      <c r="BO21" s="52"/>
      <c r="BP21" s="52"/>
      <c r="BQ21" s="52"/>
      <c r="BR21" s="1157">
        <v>149</v>
      </c>
      <c r="BS21" s="52"/>
      <c r="BT21" s="52"/>
      <c r="BU21" s="1074">
        <f>BM21+(BR21*1)+(BN21*5)</f>
        <v>137078</v>
      </c>
      <c r="BV21" s="1075">
        <f>BJ21-BU21</f>
        <v>6850</v>
      </c>
      <c r="BW21" s="34"/>
    </row>
    <row r="22" spans="3:75" customFormat="1" ht="25" customHeight="1">
      <c r="C22" s="1276"/>
      <c r="D22" s="545"/>
      <c r="E22" s="1153" t="s">
        <v>444</v>
      </c>
      <c r="F22" s="45" t="s">
        <v>454</v>
      </c>
      <c r="G22" s="178"/>
      <c r="H22" s="45"/>
      <c r="I22" s="183"/>
      <c r="J22" s="49" t="s">
        <v>51</v>
      </c>
      <c r="K22" s="320">
        <v>2399</v>
      </c>
      <c r="L22" s="253">
        <v>60</v>
      </c>
      <c r="M22" s="415">
        <f t="shared" si="26"/>
        <v>143940</v>
      </c>
      <c r="N22" s="196"/>
      <c r="O22" s="65"/>
      <c r="P22" s="185">
        <f t="shared" ref="P22:P25" si="34">MIN(K22,O22)*54</f>
        <v>129546</v>
      </c>
      <c r="Q22" s="47">
        <f t="shared" ref="Q22:Q25" si="35">ROUNDDOWN(MIN(J22,N22)*0.5,0)</f>
        <v>0</v>
      </c>
      <c r="R22" s="47"/>
      <c r="S22" s="1151">
        <f t="shared" ref="S22:S25" si="36">ROUNDDOWN(MIN(K22,O22)*0.5,0)</f>
        <v>1199</v>
      </c>
      <c r="T22" s="47"/>
      <c r="U22" s="47"/>
      <c r="V22" s="47"/>
      <c r="W22" s="1151">
        <v>149</v>
      </c>
      <c r="X22" s="47"/>
      <c r="Y22" s="47"/>
      <c r="Z22" s="132">
        <f t="shared" ref="Z22:Z25" si="37">P22+(W22*1)+(S22*5)</f>
        <v>135690</v>
      </c>
      <c r="AA22" s="120">
        <f>M22-Z22</f>
        <v>8250</v>
      </c>
      <c r="AB22" s="323">
        <v>2199</v>
      </c>
      <c r="AC22" s="141">
        <v>60</v>
      </c>
      <c r="AD22" s="263">
        <f t="shared" si="30"/>
        <v>131940</v>
      </c>
      <c r="AE22" s="196"/>
      <c r="AF22" s="499"/>
      <c r="AG22" s="65">
        <f t="shared" ref="AG22:AG25" si="38">MIN(AB22,AF22)*54</f>
        <v>118746</v>
      </c>
      <c r="AH22" s="1151">
        <f t="shared" ref="AH22:AH25" si="39">ROUNDDOWN((MIN(AB22,AF22)*0.5),0)</f>
        <v>1099</v>
      </c>
      <c r="AI22" s="47"/>
      <c r="AJ22" s="86"/>
      <c r="AK22" s="86"/>
      <c r="AL22" s="1151">
        <v>149</v>
      </c>
      <c r="AM22" s="86"/>
      <c r="AN22" s="86"/>
      <c r="AO22" s="147">
        <f t="shared" ref="AO22:AO25" si="40">(AB22*54)+(AL22*1)+(AH22*5)</f>
        <v>124390</v>
      </c>
      <c r="AP22" s="120">
        <f t="shared" ref="AP22:AP25" si="41">AD22-AO22</f>
        <v>7550</v>
      </c>
      <c r="AQ22" s="324">
        <v>2199</v>
      </c>
      <c r="AR22" s="253">
        <v>72</v>
      </c>
      <c r="AS22" s="125">
        <f t="shared" si="2"/>
        <v>158328</v>
      </c>
      <c r="AT22" s="196"/>
      <c r="AU22" s="65"/>
      <c r="AV22" s="185">
        <f t="shared" ref="AV22:AV25" si="42">MIN(AQ22,AU22)*66</f>
        <v>145134</v>
      </c>
      <c r="AW22" s="47"/>
      <c r="AX22" s="47"/>
      <c r="AY22" s="1156">
        <f>ROUNDDOWN(MIN(AQ22,AU22)*0.5,0)</f>
        <v>1099</v>
      </c>
      <c r="AZ22" s="47"/>
      <c r="BA22" s="47"/>
      <c r="BB22" s="47"/>
      <c r="BC22" s="1151">
        <v>149</v>
      </c>
      <c r="BD22" s="47"/>
      <c r="BE22" s="47"/>
      <c r="BF22" s="132">
        <f>AV22+(BC22*1)+(AY22*5)</f>
        <v>150778</v>
      </c>
      <c r="BG22" s="120">
        <f t="shared" si="3"/>
        <v>7550</v>
      </c>
      <c r="BH22" s="328">
        <v>1999</v>
      </c>
      <c r="BI22" s="253">
        <v>72</v>
      </c>
      <c r="BJ22" s="125">
        <f t="shared" si="33"/>
        <v>143928</v>
      </c>
      <c r="BK22" s="196"/>
      <c r="BL22" s="185"/>
      <c r="BM22" s="185">
        <f t="shared" ref="BM22:BM25" si="43">MIN(BH22,BL22)*66</f>
        <v>131934</v>
      </c>
      <c r="BN22" s="1151">
        <f t="shared" ref="BN22:BN25" si="44">ROUNDDOWN((MIN(BH22,BL22)*0.5),0)</f>
        <v>999</v>
      </c>
      <c r="BO22" s="47"/>
      <c r="BP22" s="47"/>
      <c r="BQ22" s="47"/>
      <c r="BR22" s="1151">
        <v>149</v>
      </c>
      <c r="BS22" s="47"/>
      <c r="BT22" s="47"/>
      <c r="BU22" s="122">
        <f t="shared" ref="BU22:BU25" si="45">BM22+(BR22*1)+(BN22*5)</f>
        <v>137078</v>
      </c>
      <c r="BV22" s="282">
        <f t="shared" ref="BV22:BV25" si="46">BJ22-BU22</f>
        <v>6850</v>
      </c>
      <c r="BW22" s="34"/>
    </row>
    <row r="23" spans="3:75" customFormat="1" ht="25" customHeight="1">
      <c r="C23" s="1276"/>
      <c r="D23" s="546"/>
      <c r="E23" s="1153" t="s">
        <v>35</v>
      </c>
      <c r="F23" s="45" t="s">
        <v>36</v>
      </c>
      <c r="G23" s="178"/>
      <c r="H23" s="45"/>
      <c r="I23" s="183"/>
      <c r="J23" s="49" t="s">
        <v>28</v>
      </c>
      <c r="K23" s="320">
        <v>1999</v>
      </c>
      <c r="L23" s="253">
        <v>60</v>
      </c>
      <c r="M23" s="415">
        <f t="shared" si="26"/>
        <v>119940</v>
      </c>
      <c r="N23" s="196"/>
      <c r="O23" s="65"/>
      <c r="P23" s="185">
        <f t="shared" si="34"/>
        <v>107946</v>
      </c>
      <c r="Q23" s="47">
        <f t="shared" si="35"/>
        <v>0</v>
      </c>
      <c r="R23" s="47"/>
      <c r="S23" s="1151">
        <f t="shared" si="36"/>
        <v>999</v>
      </c>
      <c r="T23" s="47"/>
      <c r="U23" s="47"/>
      <c r="V23" s="47"/>
      <c r="W23" s="1151">
        <v>149</v>
      </c>
      <c r="X23" s="47"/>
      <c r="Y23" s="47"/>
      <c r="Z23" s="132">
        <f t="shared" si="37"/>
        <v>113090</v>
      </c>
      <c r="AA23" s="120">
        <f t="shared" ref="AA23:AA25" si="47">M23-Z23</f>
        <v>6850</v>
      </c>
      <c r="AB23" s="323">
        <v>1899</v>
      </c>
      <c r="AC23" s="141">
        <v>60</v>
      </c>
      <c r="AD23" s="263">
        <f t="shared" si="30"/>
        <v>113940</v>
      </c>
      <c r="AE23" s="196"/>
      <c r="AF23" s="185"/>
      <c r="AG23" s="65">
        <f t="shared" si="38"/>
        <v>102546</v>
      </c>
      <c r="AH23" s="1151">
        <f t="shared" si="39"/>
        <v>949</v>
      </c>
      <c r="AI23" s="47"/>
      <c r="AJ23" s="86"/>
      <c r="AK23" s="86"/>
      <c r="AL23" s="1151">
        <v>149</v>
      </c>
      <c r="AM23" s="86"/>
      <c r="AN23" s="86"/>
      <c r="AO23" s="147">
        <f t="shared" si="40"/>
        <v>107440</v>
      </c>
      <c r="AP23" s="120">
        <f t="shared" si="41"/>
        <v>6500</v>
      </c>
      <c r="AQ23" s="324">
        <v>1749</v>
      </c>
      <c r="AR23" s="253">
        <v>72</v>
      </c>
      <c r="AS23" s="125">
        <f t="shared" si="2"/>
        <v>125928</v>
      </c>
      <c r="AT23" s="196"/>
      <c r="AU23" s="65"/>
      <c r="AV23" s="185">
        <f t="shared" si="42"/>
        <v>115434</v>
      </c>
      <c r="AW23" s="47"/>
      <c r="AX23" s="47"/>
      <c r="AY23" s="1156">
        <f>ROUNDDOWN(MIN(AQ23,AU23)*0.5,0)</f>
        <v>874</v>
      </c>
      <c r="AZ23" s="47"/>
      <c r="BA23" s="47"/>
      <c r="BB23" s="47"/>
      <c r="BC23" s="1151">
        <v>149</v>
      </c>
      <c r="BD23" s="47"/>
      <c r="BE23" s="47"/>
      <c r="BF23" s="132">
        <f>AV23+(BC23*1)+(AY23*5)</f>
        <v>119953</v>
      </c>
      <c r="BG23" s="120">
        <f t="shared" si="3"/>
        <v>5975</v>
      </c>
      <c r="BH23" s="328">
        <v>1649</v>
      </c>
      <c r="BI23" s="253">
        <v>72</v>
      </c>
      <c r="BJ23" s="125">
        <f t="shared" si="33"/>
        <v>118728</v>
      </c>
      <c r="BK23" s="196"/>
      <c r="BL23" s="185"/>
      <c r="BM23" s="185">
        <f t="shared" si="43"/>
        <v>108834</v>
      </c>
      <c r="BN23" s="1151">
        <f t="shared" si="44"/>
        <v>824</v>
      </c>
      <c r="BO23" s="47"/>
      <c r="BP23" s="47"/>
      <c r="BQ23" s="47"/>
      <c r="BR23" s="1151">
        <v>149</v>
      </c>
      <c r="BS23" s="47"/>
      <c r="BT23" s="47"/>
      <c r="BU23" s="122">
        <f t="shared" si="45"/>
        <v>113103</v>
      </c>
      <c r="BV23" s="282">
        <f t="shared" si="46"/>
        <v>5625</v>
      </c>
      <c r="BW23" s="34"/>
    </row>
    <row r="24" spans="3:75" customFormat="1" ht="25" customHeight="1">
      <c r="C24" s="1276"/>
      <c r="D24" s="667"/>
      <c r="E24" s="1420" t="s">
        <v>485</v>
      </c>
      <c r="F24" s="45" t="s">
        <v>243</v>
      </c>
      <c r="G24" s="178"/>
      <c r="H24" s="45"/>
      <c r="I24" s="183"/>
      <c r="J24" s="49" t="s">
        <v>28</v>
      </c>
      <c r="K24" s="320">
        <v>1599</v>
      </c>
      <c r="L24" s="253">
        <v>60</v>
      </c>
      <c r="M24" s="415">
        <f t="shared" si="26"/>
        <v>95940</v>
      </c>
      <c r="N24" s="196"/>
      <c r="O24" s="72"/>
      <c r="P24" s="185">
        <f t="shared" si="34"/>
        <v>86346</v>
      </c>
      <c r="Q24" s="47">
        <f t="shared" si="35"/>
        <v>0</v>
      </c>
      <c r="R24" s="47"/>
      <c r="S24" s="1151">
        <f t="shared" si="36"/>
        <v>799</v>
      </c>
      <c r="T24" s="47"/>
      <c r="U24" s="47"/>
      <c r="V24" s="47"/>
      <c r="W24" s="1151">
        <v>149</v>
      </c>
      <c r="X24" s="47"/>
      <c r="Y24" s="47"/>
      <c r="Z24" s="132">
        <f t="shared" si="37"/>
        <v>90490</v>
      </c>
      <c r="AA24" s="120">
        <f t="shared" si="47"/>
        <v>5450</v>
      </c>
      <c r="AB24" s="323">
        <v>1499</v>
      </c>
      <c r="AC24" s="141">
        <v>60</v>
      </c>
      <c r="AD24" s="263">
        <f t="shared" si="30"/>
        <v>89940</v>
      </c>
      <c r="AE24" s="196"/>
      <c r="AF24" s="185"/>
      <c r="AG24" s="65">
        <f t="shared" si="38"/>
        <v>80946</v>
      </c>
      <c r="AH24" s="1151">
        <f t="shared" si="39"/>
        <v>749</v>
      </c>
      <c r="AI24" s="47"/>
      <c r="AJ24" s="86"/>
      <c r="AK24" s="86"/>
      <c r="AL24" s="1151">
        <v>149</v>
      </c>
      <c r="AM24" s="86"/>
      <c r="AN24" s="86"/>
      <c r="AO24" s="147">
        <f t="shared" si="40"/>
        <v>84840</v>
      </c>
      <c r="AP24" s="120">
        <f t="shared" si="41"/>
        <v>5100</v>
      </c>
      <c r="AQ24" s="324">
        <v>1399</v>
      </c>
      <c r="AR24" s="253">
        <v>72</v>
      </c>
      <c r="AS24" s="125">
        <f t="shared" si="2"/>
        <v>100728</v>
      </c>
      <c r="AT24" s="196"/>
      <c r="AU24" s="65"/>
      <c r="AV24" s="185">
        <f t="shared" si="42"/>
        <v>92334</v>
      </c>
      <c r="AW24" s="47"/>
      <c r="AX24" s="47"/>
      <c r="AY24" s="1156">
        <f>ROUNDDOWN(MIN(AQ24,AU24)*0.5,0)</f>
        <v>699</v>
      </c>
      <c r="AZ24" s="47"/>
      <c r="BA24" s="47"/>
      <c r="BB24" s="47"/>
      <c r="BC24" s="1151">
        <v>149</v>
      </c>
      <c r="BD24" s="47"/>
      <c r="BE24" s="47"/>
      <c r="BF24" s="132">
        <f>AV24+(BC24*1)+(AY24*5)</f>
        <v>95978</v>
      </c>
      <c r="BG24" s="120">
        <f t="shared" si="3"/>
        <v>4750</v>
      </c>
      <c r="BH24" s="328">
        <v>1299</v>
      </c>
      <c r="BI24" s="253">
        <v>72</v>
      </c>
      <c r="BJ24" s="125">
        <f t="shared" si="33"/>
        <v>93528</v>
      </c>
      <c r="BK24" s="196"/>
      <c r="BL24" s="185"/>
      <c r="BM24" s="185">
        <f t="shared" si="43"/>
        <v>85734</v>
      </c>
      <c r="BN24" s="1151">
        <f t="shared" si="44"/>
        <v>649</v>
      </c>
      <c r="BO24" s="47"/>
      <c r="BP24" s="47"/>
      <c r="BQ24" s="47"/>
      <c r="BR24" s="1151">
        <v>149</v>
      </c>
      <c r="BS24" s="47"/>
      <c r="BT24" s="47"/>
      <c r="BU24" s="122">
        <f t="shared" si="45"/>
        <v>89128</v>
      </c>
      <c r="BV24" s="282">
        <f t="shared" si="46"/>
        <v>4400</v>
      </c>
      <c r="BW24" s="34"/>
    </row>
    <row r="25" spans="3:75" customFormat="1" ht="25" customHeight="1">
      <c r="C25" s="1276"/>
      <c r="D25" s="667"/>
      <c r="E25" s="1154" t="s">
        <v>486</v>
      </c>
      <c r="F25" s="45" t="s">
        <v>244</v>
      </c>
      <c r="G25" s="178"/>
      <c r="H25" s="45"/>
      <c r="I25" s="183"/>
      <c r="J25" s="49" t="s">
        <v>28</v>
      </c>
      <c r="K25" s="320">
        <v>1599</v>
      </c>
      <c r="L25" s="253">
        <v>60</v>
      </c>
      <c r="M25" s="415">
        <f t="shared" ref="M25:M27" si="48">L25*K25</f>
        <v>95940</v>
      </c>
      <c r="N25" s="196"/>
      <c r="O25" s="72"/>
      <c r="P25" s="185">
        <f t="shared" si="34"/>
        <v>86346</v>
      </c>
      <c r="Q25" s="47">
        <f t="shared" si="35"/>
        <v>0</v>
      </c>
      <c r="R25" s="47"/>
      <c r="S25" s="1151">
        <f t="shared" si="36"/>
        <v>799</v>
      </c>
      <c r="T25" s="47"/>
      <c r="U25" s="47"/>
      <c r="V25" s="47"/>
      <c r="W25" s="1151">
        <v>149</v>
      </c>
      <c r="X25" s="47"/>
      <c r="Y25" s="47"/>
      <c r="Z25" s="132">
        <f t="shared" si="37"/>
        <v>90490</v>
      </c>
      <c r="AA25" s="120">
        <f t="shared" si="47"/>
        <v>5450</v>
      </c>
      <c r="AB25" s="321">
        <v>1499</v>
      </c>
      <c r="AC25" s="141">
        <v>60</v>
      </c>
      <c r="AD25" s="263">
        <f t="shared" ref="AD25:AD27" si="49">AC25*AB25</f>
        <v>89940</v>
      </c>
      <c r="AE25" s="196"/>
      <c r="AF25" s="185"/>
      <c r="AG25" s="65">
        <f t="shared" si="38"/>
        <v>80946</v>
      </c>
      <c r="AH25" s="1151">
        <f t="shared" si="39"/>
        <v>749</v>
      </c>
      <c r="AI25" s="47"/>
      <c r="AJ25" s="86"/>
      <c r="AK25" s="86"/>
      <c r="AL25" s="1151">
        <v>149</v>
      </c>
      <c r="AM25" s="86"/>
      <c r="AN25" s="86"/>
      <c r="AO25" s="147">
        <f t="shared" si="40"/>
        <v>84840</v>
      </c>
      <c r="AP25" s="120">
        <f t="shared" si="41"/>
        <v>5100</v>
      </c>
      <c r="AQ25" s="335">
        <v>1399</v>
      </c>
      <c r="AR25" s="253">
        <v>72</v>
      </c>
      <c r="AS25" s="125">
        <f t="shared" ref="AS25:AS27" si="50">AR25*AQ25</f>
        <v>100728</v>
      </c>
      <c r="AT25" s="196"/>
      <c r="AU25" s="65"/>
      <c r="AV25" s="185">
        <f t="shared" si="42"/>
        <v>92334</v>
      </c>
      <c r="AW25" s="47"/>
      <c r="AX25" s="47"/>
      <c r="AY25" s="1156">
        <f>ROUNDDOWN(MIN(AQ25,AU25)*0.5,0)</f>
        <v>699</v>
      </c>
      <c r="AZ25" s="47"/>
      <c r="BA25" s="47"/>
      <c r="BB25" s="47"/>
      <c r="BC25" s="1151">
        <v>149</v>
      </c>
      <c r="BD25" s="47"/>
      <c r="BE25" s="47"/>
      <c r="BF25" s="132">
        <f>AV25+(BC25*1)+(AY25*5)</f>
        <v>95978</v>
      </c>
      <c r="BG25" s="120">
        <f t="shared" si="3"/>
        <v>4750</v>
      </c>
      <c r="BH25" s="326">
        <v>1299</v>
      </c>
      <c r="BI25" s="253">
        <v>72</v>
      </c>
      <c r="BJ25" s="125">
        <f t="shared" ref="BJ25:BJ27" si="51">BI25*BH25</f>
        <v>93528</v>
      </c>
      <c r="BK25" s="196"/>
      <c r="BL25" s="185"/>
      <c r="BM25" s="185">
        <f t="shared" si="43"/>
        <v>85734</v>
      </c>
      <c r="BN25" s="1151">
        <f t="shared" si="44"/>
        <v>649</v>
      </c>
      <c r="BO25" s="47"/>
      <c r="BP25" s="47"/>
      <c r="BQ25" s="47"/>
      <c r="BR25" s="1151">
        <v>149</v>
      </c>
      <c r="BS25" s="47"/>
      <c r="BT25" s="47"/>
      <c r="BU25" s="122">
        <f t="shared" si="45"/>
        <v>89128</v>
      </c>
      <c r="BV25" s="282">
        <f t="shared" si="46"/>
        <v>4400</v>
      </c>
      <c r="BW25" s="34"/>
    </row>
    <row r="26" spans="3:75" customFormat="1" ht="25" customHeight="1">
      <c r="C26" s="1276"/>
      <c r="D26" s="560"/>
      <c r="E26" s="555" t="s">
        <v>212</v>
      </c>
      <c r="F26" s="45" t="s">
        <v>728</v>
      </c>
      <c r="G26" s="178"/>
      <c r="H26" s="45"/>
      <c r="I26" s="183"/>
      <c r="J26" s="49" t="s">
        <v>51</v>
      </c>
      <c r="K26" s="318">
        <v>899</v>
      </c>
      <c r="L26" s="253">
        <v>60</v>
      </c>
      <c r="M26" s="415">
        <f t="shared" ref="M26" si="52">L26*K26</f>
        <v>53940</v>
      </c>
      <c r="N26" s="196"/>
      <c r="O26" s="65"/>
      <c r="P26" s="185">
        <f t="shared" si="27"/>
        <v>48546</v>
      </c>
      <c r="Q26" s="47">
        <f t="shared" ref="Q26" si="53">ROUNDDOWN(MIN(J26,N26)*0.5,0)</f>
        <v>0</v>
      </c>
      <c r="R26" s="47"/>
      <c r="S26" s="47"/>
      <c r="T26" s="47">
        <f t="shared" ref="T26" si="54">ROUNDDOWN(MIN(K26,O26)*0.5,0)</f>
        <v>449</v>
      </c>
      <c r="U26" s="47"/>
      <c r="V26" s="47"/>
      <c r="W26" s="47"/>
      <c r="X26" s="47"/>
      <c r="Y26" s="47"/>
      <c r="Z26" s="132">
        <f t="shared" ref="Z26" si="55">P26+(T26*6)</f>
        <v>51240</v>
      </c>
      <c r="AA26" s="120">
        <f t="shared" ref="AA26" si="56">M26-Z26</f>
        <v>2700</v>
      </c>
      <c r="AB26" s="323">
        <v>849</v>
      </c>
      <c r="AC26" s="141">
        <v>60</v>
      </c>
      <c r="AD26" s="263">
        <f t="shared" ref="AD26" si="57">AC26*AB26</f>
        <v>50940</v>
      </c>
      <c r="AE26" s="196"/>
      <c r="AF26" s="185"/>
      <c r="AG26" s="65">
        <f t="shared" si="31"/>
        <v>45846</v>
      </c>
      <c r="AH26" s="65"/>
      <c r="AI26" s="47">
        <f t="shared" ref="AI26" si="58">ROUNDDOWN((MIN(AB26,AF26)*0.5),0)</f>
        <v>424</v>
      </c>
      <c r="AJ26" s="86"/>
      <c r="AK26" s="86"/>
      <c r="AL26" s="86"/>
      <c r="AM26" s="86"/>
      <c r="AN26" s="86"/>
      <c r="AO26" s="147">
        <f t="shared" ref="AO26" si="59">(AB26*54)+(AI26*6)</f>
        <v>48390</v>
      </c>
      <c r="AP26" s="264">
        <f t="shared" ref="AP26" si="60">AD26-AO26</f>
        <v>2550</v>
      </c>
      <c r="AQ26" s="324">
        <v>849</v>
      </c>
      <c r="AR26" s="253">
        <v>72</v>
      </c>
      <c r="AS26" s="125">
        <f t="shared" ref="AS26" si="61">AR26*AQ26</f>
        <v>61128</v>
      </c>
      <c r="AT26" s="196"/>
      <c r="AU26" s="65"/>
      <c r="AV26" s="185">
        <f t="shared" ref="AV26" si="62">MIN(AQ26,AU26)*66</f>
        <v>56034</v>
      </c>
      <c r="AW26" s="47"/>
      <c r="AX26" s="47"/>
      <c r="AY26" s="47"/>
      <c r="AZ26" s="47">
        <f>ROUNDDOWN(MIN(AQ26,AU26)*0.5,0)</f>
        <v>424</v>
      </c>
      <c r="BA26" s="47"/>
      <c r="BB26" s="47"/>
      <c r="BC26" s="228"/>
      <c r="BD26" s="47"/>
      <c r="BE26" s="47"/>
      <c r="BF26" s="132">
        <f>AV26+(AZ26*6)</f>
        <v>58578</v>
      </c>
      <c r="BG26" s="120">
        <f t="shared" si="3"/>
        <v>2550</v>
      </c>
      <c r="BH26" s="328">
        <v>799</v>
      </c>
      <c r="BI26" s="253">
        <v>72</v>
      </c>
      <c r="BJ26" s="125">
        <f t="shared" ref="BJ26" si="63">BI26*BH26</f>
        <v>57528</v>
      </c>
      <c r="BK26" s="196"/>
      <c r="BL26" s="185"/>
      <c r="BM26" s="185">
        <f>MIN(BH26,BL26)*72</f>
        <v>57528</v>
      </c>
      <c r="BN26" s="185"/>
      <c r="BO26" s="47">
        <f t="shared" ref="BO26" si="64">ROUNDDOWN((MIN(BH26,BL26)*0.5),0)</f>
        <v>399</v>
      </c>
      <c r="BP26" s="47"/>
      <c r="BQ26" s="47"/>
      <c r="BR26" s="47"/>
      <c r="BS26" s="47"/>
      <c r="BT26" s="47"/>
      <c r="BU26" s="122">
        <f>(BH26*66)+(BO26*6)</f>
        <v>55128</v>
      </c>
      <c r="BV26" s="282">
        <f t="shared" ref="BV26" si="65">BJ26-BU26</f>
        <v>2400</v>
      </c>
      <c r="BW26" s="34"/>
    </row>
    <row r="27" spans="3:75" customFormat="1" ht="25" customHeight="1">
      <c r="C27" s="1276"/>
      <c r="D27" s="560"/>
      <c r="E27" s="555" t="s">
        <v>53</v>
      </c>
      <c r="F27" s="45" t="s">
        <v>48</v>
      </c>
      <c r="G27" s="178"/>
      <c r="H27" s="45"/>
      <c r="I27" s="183"/>
      <c r="J27" s="49" t="s">
        <v>51</v>
      </c>
      <c r="K27" s="318">
        <v>749</v>
      </c>
      <c r="L27" s="253">
        <v>60</v>
      </c>
      <c r="M27" s="415">
        <f t="shared" si="48"/>
        <v>44940</v>
      </c>
      <c r="N27" s="196"/>
      <c r="O27" s="65"/>
      <c r="P27" s="185">
        <f>MIN(K27,O27)*57</f>
        <v>42693</v>
      </c>
      <c r="Q27" s="47"/>
      <c r="R27" s="47"/>
      <c r="S27" s="47"/>
      <c r="T27" s="47"/>
      <c r="U27" s="47"/>
      <c r="V27" s="47"/>
      <c r="W27" s="47"/>
      <c r="X27" s="778">
        <v>149</v>
      </c>
      <c r="Y27" s="47"/>
      <c r="Z27" s="132">
        <f>P27+(X27*3)</f>
        <v>43140</v>
      </c>
      <c r="AA27" s="120">
        <f t="shared" ref="AA27" si="66">M27-Z27</f>
        <v>1800</v>
      </c>
      <c r="AB27" s="323">
        <v>649</v>
      </c>
      <c r="AC27" s="141">
        <v>60</v>
      </c>
      <c r="AD27" s="263">
        <f t="shared" si="49"/>
        <v>38940</v>
      </c>
      <c r="AE27" s="196"/>
      <c r="AF27" s="185"/>
      <c r="AG27" s="65">
        <f>MIN(AB27,AF27)*57</f>
        <v>36993</v>
      </c>
      <c r="AH27" s="65"/>
      <c r="AI27" s="47"/>
      <c r="AJ27" s="47"/>
      <c r="AK27" s="47"/>
      <c r="AL27" s="47"/>
      <c r="AM27" s="778">
        <v>149</v>
      </c>
      <c r="AN27" s="47"/>
      <c r="AO27" s="147">
        <f>AG27+(AM27*3)</f>
        <v>37440</v>
      </c>
      <c r="AP27" s="264">
        <f>AD27-AO27</f>
        <v>1500</v>
      </c>
      <c r="AQ27" s="324">
        <v>649</v>
      </c>
      <c r="AR27" s="253">
        <v>72</v>
      </c>
      <c r="AS27" s="125">
        <f t="shared" si="50"/>
        <v>46728</v>
      </c>
      <c r="AT27" s="196"/>
      <c r="AU27" s="65"/>
      <c r="AV27" s="185">
        <f t="shared" ref="AV27" si="67">MIN(AQ27,AU27)*69</f>
        <v>44781</v>
      </c>
      <c r="AW27" s="47"/>
      <c r="AX27" s="47"/>
      <c r="AY27" s="47"/>
      <c r="AZ27" s="47"/>
      <c r="BA27" s="47"/>
      <c r="BB27" s="47"/>
      <c r="BC27" s="228"/>
      <c r="BD27" s="885">
        <v>149</v>
      </c>
      <c r="BE27" s="47"/>
      <c r="BF27" s="132">
        <f>AV27+(BD27*3)</f>
        <v>45228</v>
      </c>
      <c r="BG27" s="120">
        <f t="shared" si="3"/>
        <v>1500</v>
      </c>
      <c r="BH27" s="328">
        <v>599</v>
      </c>
      <c r="BI27" s="253">
        <v>72</v>
      </c>
      <c r="BJ27" s="125">
        <f t="shared" si="51"/>
        <v>43128</v>
      </c>
      <c r="BK27" s="196"/>
      <c r="BL27" s="185"/>
      <c r="BM27" s="185">
        <f>MIN(BH27,BL27)*69</f>
        <v>41331</v>
      </c>
      <c r="BN27" s="185"/>
      <c r="BO27" s="47"/>
      <c r="BP27" s="47"/>
      <c r="BQ27" s="47"/>
      <c r="BR27" s="47"/>
      <c r="BS27" s="778">
        <v>149</v>
      </c>
      <c r="BT27" s="47"/>
      <c r="BU27" s="122">
        <f>BM27+(BS27*3)</f>
        <v>41778</v>
      </c>
      <c r="BV27" s="282">
        <f>BJ27-BU27</f>
        <v>1350</v>
      </c>
      <c r="BW27" s="34"/>
    </row>
    <row r="28" spans="3:75" customFormat="1" ht="25" customHeight="1">
      <c r="C28" s="1276"/>
      <c r="D28" s="546"/>
      <c r="E28" s="1092" t="s">
        <v>19</v>
      </c>
      <c r="F28" s="45" t="s">
        <v>20</v>
      </c>
      <c r="G28" s="178"/>
      <c r="H28" s="45"/>
      <c r="I28" s="183"/>
      <c r="J28" s="49" t="s">
        <v>28</v>
      </c>
      <c r="K28" s="318">
        <v>699</v>
      </c>
      <c r="L28" s="253">
        <v>60</v>
      </c>
      <c r="M28" s="415">
        <f t="shared" ref="M28" si="68">L28*K28</f>
        <v>41940</v>
      </c>
      <c r="N28" s="196"/>
      <c r="O28" s="65"/>
      <c r="P28" s="185">
        <f>MIN(K28,O28)*54</f>
        <v>37746</v>
      </c>
      <c r="Q28" s="47">
        <f t="shared" ref="Q28" si="69">ROUNDDOWN(MIN(J28,N28)*0.5,0)</f>
        <v>0</v>
      </c>
      <c r="R28" s="47"/>
      <c r="S28" s="47"/>
      <c r="T28" s="47">
        <f t="shared" ref="T28" si="70">ROUNDDOWN(MIN(K28,O28)*0.5,0)</f>
        <v>349</v>
      </c>
      <c r="U28" s="47"/>
      <c r="V28" s="47"/>
      <c r="W28" s="47"/>
      <c r="X28" s="47"/>
      <c r="Y28" s="47"/>
      <c r="Z28" s="132">
        <f>P28+(T28*6)</f>
        <v>39840</v>
      </c>
      <c r="AA28" s="120">
        <f t="shared" ref="AA28" si="71">M28-Z28</f>
        <v>2100</v>
      </c>
      <c r="AB28" s="323">
        <v>599</v>
      </c>
      <c r="AC28" s="141">
        <v>60</v>
      </c>
      <c r="AD28" s="263">
        <f t="shared" ref="AD28" si="72">AC28*AB28</f>
        <v>35940</v>
      </c>
      <c r="AE28" s="196"/>
      <c r="AF28" s="185"/>
      <c r="AG28" s="65">
        <f>MIN(AB28,AF28)*54</f>
        <v>32346</v>
      </c>
      <c r="AH28" s="65"/>
      <c r="AI28" s="47">
        <f>ROUNDDOWN((MIN(AB28,AF28)*0.5),0)</f>
        <v>299</v>
      </c>
      <c r="AJ28" s="86"/>
      <c r="AK28" s="86"/>
      <c r="AL28" s="86"/>
      <c r="AM28" s="86"/>
      <c r="AN28" s="86"/>
      <c r="AO28" s="147">
        <f>(AB28*54)+(AI28*6)</f>
        <v>34140</v>
      </c>
      <c r="AP28" s="264">
        <f t="shared" ref="AP28" si="73">AD28-AO28</f>
        <v>1800</v>
      </c>
      <c r="AQ28" s="324">
        <v>599</v>
      </c>
      <c r="AR28" s="253">
        <v>72</v>
      </c>
      <c r="AS28" s="125">
        <f t="shared" ref="AS28" si="74">AR28*AQ28</f>
        <v>43128</v>
      </c>
      <c r="AT28" s="196"/>
      <c r="AU28" s="65"/>
      <c r="AV28" s="185">
        <f>MIN(AQ28,AU28)*66</f>
        <v>39534</v>
      </c>
      <c r="AW28" s="47"/>
      <c r="AX28" s="47"/>
      <c r="AY28" s="47"/>
      <c r="AZ28" s="47">
        <f>ROUNDDOWN(MIN(AQ28,AU28)*0.5,0)</f>
        <v>299</v>
      </c>
      <c r="BA28" s="47"/>
      <c r="BB28" s="47"/>
      <c r="BC28" s="228"/>
      <c r="BD28" s="47"/>
      <c r="BE28" s="47"/>
      <c r="BF28" s="132">
        <f>AV28+(AZ28*6)</f>
        <v>41328</v>
      </c>
      <c r="BG28" s="120">
        <f t="shared" si="3"/>
        <v>1800</v>
      </c>
      <c r="BH28" s="328">
        <v>549</v>
      </c>
      <c r="BI28" s="253">
        <v>72</v>
      </c>
      <c r="BJ28" s="125">
        <f t="shared" ref="BJ28" si="75">BI28*BH28</f>
        <v>39528</v>
      </c>
      <c r="BK28" s="196"/>
      <c r="BL28" s="185"/>
      <c r="BM28" s="185">
        <f>MIN(BH28,BL28)*66</f>
        <v>36234</v>
      </c>
      <c r="BN28" s="185"/>
      <c r="BO28" s="47">
        <f>ROUNDDOWN((MIN(BH28,BL28)*0.5),0)</f>
        <v>274</v>
      </c>
      <c r="BP28" s="47"/>
      <c r="BQ28" s="47"/>
      <c r="BR28" s="47"/>
      <c r="BS28" s="47"/>
      <c r="BT28" s="47"/>
      <c r="BU28" s="122">
        <f>BM28+(BO28*6)</f>
        <v>37878</v>
      </c>
      <c r="BV28" s="282">
        <f t="shared" ref="BV28" si="76">BJ28-BU28</f>
        <v>1650</v>
      </c>
      <c r="BW28" s="34"/>
    </row>
    <row r="29" spans="3:75" customFormat="1" ht="24.5" customHeight="1">
      <c r="C29" s="1276"/>
      <c r="D29" s="847"/>
      <c r="E29" s="555" t="s">
        <v>163</v>
      </c>
      <c r="F29" s="45" t="s">
        <v>49</v>
      </c>
      <c r="G29" s="178"/>
      <c r="H29" s="45"/>
      <c r="I29" s="183"/>
      <c r="J29" s="49" t="s">
        <v>51</v>
      </c>
      <c r="K29" s="320">
        <f>549+50+50</f>
        <v>649</v>
      </c>
      <c r="L29" s="253">
        <v>60</v>
      </c>
      <c r="M29" s="415">
        <f t="shared" si="26"/>
        <v>38940</v>
      </c>
      <c r="N29" s="196"/>
      <c r="O29" s="65"/>
      <c r="P29" s="185">
        <f>MIN(K29,O29)*60</f>
        <v>38940</v>
      </c>
      <c r="Q29" s="47">
        <f t="shared" ref="Q29" si="77">ROUNDDOWN(MIN(J29,N29)*0.5,0)</f>
        <v>0</v>
      </c>
      <c r="R29" s="47"/>
      <c r="S29" s="47"/>
      <c r="T29" s="47"/>
      <c r="U29" s="47"/>
      <c r="V29" s="47"/>
      <c r="W29" s="47"/>
      <c r="X29" s="47"/>
      <c r="Y29" s="47"/>
      <c r="Z29" s="132">
        <f>P29+(T29*6)</f>
        <v>38940</v>
      </c>
      <c r="AA29" s="120">
        <f t="shared" ref="AA29" si="78">M29-Z29</f>
        <v>0</v>
      </c>
      <c r="AB29" s="321">
        <f>499+50+50</f>
        <v>599</v>
      </c>
      <c r="AC29" s="141">
        <v>60</v>
      </c>
      <c r="AD29" s="263">
        <f t="shared" si="30"/>
        <v>35940</v>
      </c>
      <c r="AE29" s="196"/>
      <c r="AF29" s="185"/>
      <c r="AG29" s="65">
        <f>MIN(AB29,AF29)*60</f>
        <v>35940</v>
      </c>
      <c r="AH29" s="65"/>
      <c r="AI29" s="47"/>
      <c r="AJ29" s="86"/>
      <c r="AK29" s="86"/>
      <c r="AL29" s="86"/>
      <c r="AM29" s="86"/>
      <c r="AN29" s="86"/>
      <c r="AO29" s="147">
        <f>(AB29*60)+(AI29*0)</f>
        <v>35940</v>
      </c>
      <c r="AP29" s="264">
        <f t="shared" ref="AP29" si="79">AD29-AO29</f>
        <v>0</v>
      </c>
      <c r="AQ29" s="335">
        <f>499+50+50</f>
        <v>599</v>
      </c>
      <c r="AR29" s="253">
        <v>72</v>
      </c>
      <c r="AS29" s="125">
        <f>AR29*AQ29</f>
        <v>43128</v>
      </c>
      <c r="AT29" s="196"/>
      <c r="AU29" s="65"/>
      <c r="AV29" s="185">
        <f>MIN(AQ29,AU29)*72</f>
        <v>43128</v>
      </c>
      <c r="AW29" s="47"/>
      <c r="AX29" s="47"/>
      <c r="AY29" s="47"/>
      <c r="AZ29" s="47"/>
      <c r="BA29" s="47"/>
      <c r="BB29" s="47"/>
      <c r="BC29" s="228"/>
      <c r="BD29" s="47"/>
      <c r="BE29" s="47"/>
      <c r="BF29" s="132">
        <f>AV29+(AZ29*0)</f>
        <v>43128</v>
      </c>
      <c r="BG29" s="120">
        <f t="shared" si="3"/>
        <v>0</v>
      </c>
      <c r="BH29" s="326">
        <f>449+50+50</f>
        <v>549</v>
      </c>
      <c r="BI29" s="253">
        <v>72</v>
      </c>
      <c r="BJ29" s="125">
        <f>BI29*BH29</f>
        <v>39528</v>
      </c>
      <c r="BK29" s="196"/>
      <c r="BL29" s="185"/>
      <c r="BM29" s="185">
        <f>MIN(BH29,BL29)*72</f>
        <v>39528</v>
      </c>
      <c r="BN29" s="185"/>
      <c r="BO29" s="47"/>
      <c r="BP29" s="47"/>
      <c r="BQ29" s="407"/>
      <c r="BR29" s="407"/>
      <c r="BS29" s="407"/>
      <c r="BT29" s="407"/>
      <c r="BU29" s="122">
        <f>BM29+(BO29*6)</f>
        <v>39528</v>
      </c>
      <c r="BV29" s="408">
        <f t="shared" ref="BV29" si="80">BJ29-BU29</f>
        <v>0</v>
      </c>
      <c r="BW29" s="34"/>
    </row>
    <row r="30" spans="3:75" customFormat="1" ht="25" customHeight="1">
      <c r="C30" s="1276"/>
      <c r="D30" s="847"/>
      <c r="E30" s="555" t="s">
        <v>366</v>
      </c>
      <c r="F30" s="45" t="s">
        <v>367</v>
      </c>
      <c r="G30" s="178"/>
      <c r="H30" s="45"/>
      <c r="I30" s="183"/>
      <c r="J30" s="49" t="s">
        <v>51</v>
      </c>
      <c r="K30" s="320">
        <f>499+50</f>
        <v>549</v>
      </c>
      <c r="L30" s="253">
        <v>60</v>
      </c>
      <c r="M30" s="415">
        <f t="shared" si="26"/>
        <v>32940</v>
      </c>
      <c r="N30" s="196"/>
      <c r="O30" s="65"/>
      <c r="P30" s="185">
        <f>MIN(K30,O30)*60</f>
        <v>32940</v>
      </c>
      <c r="Q30" s="47"/>
      <c r="R30" s="47"/>
      <c r="S30" s="47"/>
      <c r="T30" s="47"/>
      <c r="U30" s="47"/>
      <c r="V30" s="47"/>
      <c r="W30" s="47"/>
      <c r="X30" s="47"/>
      <c r="Y30" s="47"/>
      <c r="Z30" s="111">
        <f>P30</f>
        <v>32940</v>
      </c>
      <c r="AA30" s="120">
        <f t="shared" ref="AA30:AA33" si="81">M30-Z30</f>
        <v>0</v>
      </c>
      <c r="AB30" s="321">
        <f>399+50</f>
        <v>449</v>
      </c>
      <c r="AC30" s="141">
        <v>60</v>
      </c>
      <c r="AD30" s="263">
        <f t="shared" si="30"/>
        <v>26940</v>
      </c>
      <c r="AE30" s="196"/>
      <c r="AF30" s="185"/>
      <c r="AG30" s="65">
        <f>MIN(AB30,AF30)*60</f>
        <v>26940</v>
      </c>
      <c r="AH30" s="65"/>
      <c r="AI30" s="47"/>
      <c r="AJ30" s="86"/>
      <c r="AK30" s="86"/>
      <c r="AL30" s="86"/>
      <c r="AM30" s="86"/>
      <c r="AN30" s="86"/>
      <c r="AO30" s="147">
        <f>AG30+(AI30*6)</f>
        <v>26940</v>
      </c>
      <c r="AP30" s="264">
        <f t="shared" ref="AP30:AP32" si="82">AD30-AO30</f>
        <v>0</v>
      </c>
      <c r="AQ30" s="759">
        <f>399+50+50</f>
        <v>499</v>
      </c>
      <c r="AR30" s="253">
        <v>72</v>
      </c>
      <c r="AS30" s="125">
        <f>AR30*AQ30</f>
        <v>35928</v>
      </c>
      <c r="AT30" s="196"/>
      <c r="AU30" s="65"/>
      <c r="AV30" s="185">
        <f>MIN(AQ30,AU30)*72</f>
        <v>35928</v>
      </c>
      <c r="AW30" s="47"/>
      <c r="AX30" s="47"/>
      <c r="AY30" s="47"/>
      <c r="AZ30" s="47"/>
      <c r="BA30" s="47"/>
      <c r="BB30" s="47"/>
      <c r="BC30" s="228"/>
      <c r="BD30" s="47"/>
      <c r="BE30" s="47"/>
      <c r="BF30" s="132">
        <f>AV30</f>
        <v>35928</v>
      </c>
      <c r="BG30" s="120">
        <f t="shared" si="3"/>
        <v>0</v>
      </c>
      <c r="BH30" s="940">
        <f>299+50+50</f>
        <v>399</v>
      </c>
      <c r="BI30" s="253">
        <v>72</v>
      </c>
      <c r="BJ30" s="125">
        <f>BI30*BH30</f>
        <v>28728</v>
      </c>
      <c r="BK30" s="196"/>
      <c r="BL30" s="185"/>
      <c r="BM30" s="185">
        <f>MIN(BH30,BL30)*72</f>
        <v>28728</v>
      </c>
      <c r="BN30" s="185"/>
      <c r="BO30" s="47"/>
      <c r="BP30" s="47"/>
      <c r="BQ30" s="47"/>
      <c r="BR30" s="47"/>
      <c r="BS30" s="47"/>
      <c r="BT30" s="47"/>
      <c r="BU30" s="122">
        <f>BM30</f>
        <v>28728</v>
      </c>
      <c r="BV30" s="282">
        <f t="shared" ref="BV30:BV32" si="83">BJ30-BU30</f>
        <v>0</v>
      </c>
      <c r="BW30" s="34"/>
    </row>
    <row r="31" spans="3:75" customFormat="1" ht="25.5" customHeight="1">
      <c r="C31" s="1062"/>
      <c r="D31" s="871" t="s">
        <v>797</v>
      </c>
      <c r="E31" s="1093" t="s">
        <v>213</v>
      </c>
      <c r="F31" s="45" t="s">
        <v>729</v>
      </c>
      <c r="G31" s="178"/>
      <c r="H31" s="45"/>
      <c r="I31" s="183"/>
      <c r="J31" s="49" t="s">
        <v>51</v>
      </c>
      <c r="K31" s="758">
        <f>499-100</f>
        <v>399</v>
      </c>
      <c r="L31" s="253">
        <v>60</v>
      </c>
      <c r="M31" s="415">
        <f t="shared" si="26"/>
        <v>23940</v>
      </c>
      <c r="N31" s="196"/>
      <c r="O31" s="65"/>
      <c r="P31" s="185">
        <f>MIN(K31,O31)*60</f>
        <v>23940</v>
      </c>
      <c r="Q31" s="47"/>
      <c r="R31" s="47"/>
      <c r="S31" s="47"/>
      <c r="T31" s="47"/>
      <c r="U31" s="47"/>
      <c r="V31" s="47"/>
      <c r="W31" s="47"/>
      <c r="X31" s="47"/>
      <c r="Y31" s="47"/>
      <c r="Z31" s="132">
        <f>P31+(V31*60)</f>
        <v>23940</v>
      </c>
      <c r="AA31" s="120">
        <f t="shared" si="81"/>
        <v>0</v>
      </c>
      <c r="AB31" s="939">
        <f>449-100</f>
        <v>349</v>
      </c>
      <c r="AC31" s="141">
        <v>60</v>
      </c>
      <c r="AD31" s="263">
        <f t="shared" si="30"/>
        <v>20940</v>
      </c>
      <c r="AE31" s="196"/>
      <c r="AF31" s="185"/>
      <c r="AG31" s="65">
        <f>MIN(AB31,AF31)*60</f>
        <v>20940</v>
      </c>
      <c r="AH31" s="65"/>
      <c r="AI31" s="47"/>
      <c r="AJ31" s="47"/>
      <c r="AK31" s="47"/>
      <c r="AL31" s="86"/>
      <c r="AM31" s="86"/>
      <c r="AN31" s="86"/>
      <c r="AO31" s="147">
        <f>AG31+(AK31*60)</f>
        <v>20940</v>
      </c>
      <c r="AP31" s="264">
        <f t="shared" si="82"/>
        <v>0</v>
      </c>
      <c r="AQ31" s="759">
        <f>449-100</f>
        <v>349</v>
      </c>
      <c r="AR31" s="253">
        <v>72</v>
      </c>
      <c r="AS31" s="125">
        <f t="shared" ref="AS31" si="84">AR31*AQ31</f>
        <v>25128</v>
      </c>
      <c r="AT31" s="196"/>
      <c r="AU31" s="65"/>
      <c r="AV31" s="185">
        <f>MIN(AQ31,AU31)*72</f>
        <v>25128</v>
      </c>
      <c r="AW31" s="47"/>
      <c r="AX31" s="47"/>
      <c r="AY31" s="47"/>
      <c r="AZ31" s="47"/>
      <c r="BA31" s="47"/>
      <c r="BB31" s="47"/>
      <c r="BC31" s="228"/>
      <c r="BD31" s="47"/>
      <c r="BE31" s="47"/>
      <c r="BF31" s="132">
        <f>AV31+(BB31*72)</f>
        <v>25128</v>
      </c>
      <c r="BG31" s="120">
        <f t="shared" si="3"/>
        <v>0</v>
      </c>
      <c r="BH31" s="940">
        <f>399-100</f>
        <v>299</v>
      </c>
      <c r="BI31" s="253">
        <v>72</v>
      </c>
      <c r="BJ31" s="125">
        <f t="shared" ref="BJ31" si="85">BI31*BH31</f>
        <v>21528</v>
      </c>
      <c r="BK31" s="196"/>
      <c r="BL31" s="185"/>
      <c r="BM31" s="185">
        <f>MIN(BH31,BL31)*72</f>
        <v>21528</v>
      </c>
      <c r="BN31" s="185"/>
      <c r="BO31" s="47"/>
      <c r="BP31" s="47"/>
      <c r="BQ31" s="47"/>
      <c r="BR31" s="47"/>
      <c r="BS31" s="47"/>
      <c r="BT31" s="47"/>
      <c r="BU31" s="122">
        <f>BM31+(BQ31*72)</f>
        <v>21528</v>
      </c>
      <c r="BV31" s="282">
        <f t="shared" si="83"/>
        <v>0</v>
      </c>
      <c r="BW31" s="34"/>
    </row>
    <row r="32" spans="3:75" customFormat="1" ht="27.5" customHeight="1" thickBot="1">
      <c r="C32" s="1062"/>
      <c r="D32" s="1068" t="s">
        <v>797</v>
      </c>
      <c r="E32" s="1094" t="s">
        <v>87</v>
      </c>
      <c r="F32" s="485" t="s">
        <v>88</v>
      </c>
      <c r="G32" s="486"/>
      <c r="H32" s="485"/>
      <c r="I32" s="487"/>
      <c r="J32" s="488" t="s">
        <v>28</v>
      </c>
      <c r="K32" s="938">
        <f>649+50+50-100</f>
        <v>649</v>
      </c>
      <c r="L32" s="489">
        <v>60</v>
      </c>
      <c r="M32" s="490">
        <f t="shared" ref="M32" si="86">L32*K32</f>
        <v>38940</v>
      </c>
      <c r="N32" s="197"/>
      <c r="O32" s="491"/>
      <c r="P32" s="76">
        <f>MIN(K32,O32)*60</f>
        <v>38940</v>
      </c>
      <c r="Q32" s="53"/>
      <c r="R32" s="53"/>
      <c r="S32" s="53"/>
      <c r="T32" s="53"/>
      <c r="U32" s="53"/>
      <c r="V32" s="53"/>
      <c r="W32" s="53"/>
      <c r="X32" s="53"/>
      <c r="Y32" s="53"/>
      <c r="Z32" s="782">
        <f>P32</f>
        <v>38940</v>
      </c>
      <c r="AA32" s="493">
        <f t="shared" ref="AA32" si="87">M32-Z32</f>
        <v>0</v>
      </c>
      <c r="AB32" s="1069">
        <f>599+50+50-100</f>
        <v>599</v>
      </c>
      <c r="AC32" s="146">
        <v>60</v>
      </c>
      <c r="AD32" s="494">
        <f t="shared" ref="AD32" si="88">AC32*AB32</f>
        <v>35940</v>
      </c>
      <c r="AE32" s="197"/>
      <c r="AF32" s="76"/>
      <c r="AG32" s="491">
        <f>MIN(AB32,AF32)*60</f>
        <v>35940</v>
      </c>
      <c r="AH32" s="491"/>
      <c r="AI32" s="53"/>
      <c r="AJ32" s="492"/>
      <c r="AK32" s="492"/>
      <c r="AL32" s="492"/>
      <c r="AM32" s="492"/>
      <c r="AN32" s="492"/>
      <c r="AO32" s="495">
        <f>AG32+(AI32*0)</f>
        <v>35940</v>
      </c>
      <c r="AP32" s="496">
        <f t="shared" si="82"/>
        <v>0</v>
      </c>
      <c r="AQ32" s="783">
        <f>599+50+50-100</f>
        <v>599</v>
      </c>
      <c r="AR32" s="489">
        <v>72</v>
      </c>
      <c r="AS32" s="126">
        <f t="shared" ref="AS32" si="89">AR32*AQ32</f>
        <v>43128</v>
      </c>
      <c r="AT32" s="197"/>
      <c r="AU32" s="491"/>
      <c r="AV32" s="76">
        <f>MIN(AQ32,AU32)*72</f>
        <v>43128</v>
      </c>
      <c r="AW32" s="53"/>
      <c r="AX32" s="53"/>
      <c r="AY32" s="53"/>
      <c r="AZ32" s="53"/>
      <c r="BA32" s="53"/>
      <c r="BB32" s="53"/>
      <c r="BC32" s="1065"/>
      <c r="BD32" s="53"/>
      <c r="BE32" s="53"/>
      <c r="BF32" s="133">
        <f>AV32</f>
        <v>43128</v>
      </c>
      <c r="BG32" s="493">
        <f t="shared" si="3"/>
        <v>0</v>
      </c>
      <c r="BH32" s="784">
        <f>549+50+50-100</f>
        <v>549</v>
      </c>
      <c r="BI32" s="489">
        <v>72</v>
      </c>
      <c r="BJ32" s="126">
        <f t="shared" ref="BJ32" si="90">BI32*BH32</f>
        <v>39528</v>
      </c>
      <c r="BK32" s="197"/>
      <c r="BL32" s="76"/>
      <c r="BM32" s="76">
        <f>MIN(BH32,BL32)*72</f>
        <v>39528</v>
      </c>
      <c r="BN32" s="76"/>
      <c r="BO32" s="53"/>
      <c r="BP32" s="53"/>
      <c r="BQ32" s="53"/>
      <c r="BR32" s="53"/>
      <c r="BS32" s="53"/>
      <c r="BT32" s="53"/>
      <c r="BU32" s="497">
        <f>BM32</f>
        <v>39528</v>
      </c>
      <c r="BV32" s="498">
        <f t="shared" si="83"/>
        <v>0</v>
      </c>
      <c r="BW32" s="34"/>
    </row>
    <row r="33" spans="3:75" customFormat="1" ht="25" customHeight="1" thickBot="1">
      <c r="C33" s="371" t="s">
        <v>226</v>
      </c>
      <c r="D33" s="411"/>
      <c r="E33" s="820" t="s">
        <v>52</v>
      </c>
      <c r="F33" s="485" t="s">
        <v>21</v>
      </c>
      <c r="G33" s="486"/>
      <c r="H33" s="485"/>
      <c r="I33" s="487"/>
      <c r="J33" s="488" t="s">
        <v>28</v>
      </c>
      <c r="K33" s="1063">
        <v>849</v>
      </c>
      <c r="L33" s="489">
        <v>60</v>
      </c>
      <c r="M33" s="490">
        <f t="shared" si="26"/>
        <v>50940</v>
      </c>
      <c r="N33" s="197"/>
      <c r="O33" s="491"/>
      <c r="P33" s="76">
        <f>MIN(K33,O33)*54</f>
        <v>45846</v>
      </c>
      <c r="Q33" s="53">
        <f>ROUNDDOWN(MIN(J33,N33)*0.5,0)</f>
        <v>0</v>
      </c>
      <c r="R33" s="53"/>
      <c r="S33" s="53"/>
      <c r="T33" s="53">
        <f>ROUNDDOWN(MIN(K33,O33)*0.5,0)</f>
        <v>424</v>
      </c>
      <c r="U33" s="53"/>
      <c r="V33" s="53"/>
      <c r="W33" s="53"/>
      <c r="X33" s="53"/>
      <c r="Y33" s="53"/>
      <c r="Z33" s="133">
        <f>P33+(T33*6)</f>
        <v>48390</v>
      </c>
      <c r="AA33" s="493">
        <f t="shared" si="81"/>
        <v>2550</v>
      </c>
      <c r="AB33" s="1064">
        <v>749</v>
      </c>
      <c r="AC33" s="146">
        <v>60</v>
      </c>
      <c r="AD33" s="494">
        <f t="shared" si="30"/>
        <v>44940</v>
      </c>
      <c r="AE33" s="197"/>
      <c r="AF33" s="1065"/>
      <c r="AG33" s="491">
        <f>MIN(AB33,AF33)*54</f>
        <v>40446</v>
      </c>
      <c r="AH33" s="491"/>
      <c r="AI33" s="53">
        <f>ROUNDDOWN((MIN(AB33,AF33)*0.5),0)</f>
        <v>374</v>
      </c>
      <c r="AJ33" s="492"/>
      <c r="AK33" s="492"/>
      <c r="AL33" s="492"/>
      <c r="AM33" s="492"/>
      <c r="AN33" s="492"/>
      <c r="AO33" s="495">
        <f>AG33+(AI33*6)</f>
        <v>42690</v>
      </c>
      <c r="AP33" s="496">
        <f t="shared" ref="AP33:AP34" si="91">AD33-AO33</f>
        <v>2250</v>
      </c>
      <c r="AQ33" s="1066">
        <v>749</v>
      </c>
      <c r="AR33" s="489">
        <v>72</v>
      </c>
      <c r="AS33" s="126">
        <f t="shared" si="2"/>
        <v>53928</v>
      </c>
      <c r="AT33" s="197"/>
      <c r="AU33" s="491"/>
      <c r="AV33" s="76">
        <f>MIN(AQ33,AU33)*66</f>
        <v>49434</v>
      </c>
      <c r="AW33" s="53"/>
      <c r="AX33" s="53"/>
      <c r="AY33" s="53"/>
      <c r="AZ33" s="53">
        <f>ROUNDDOWN(MIN(AQ33,AU33)*0.5,0)</f>
        <v>374</v>
      </c>
      <c r="BA33" s="53"/>
      <c r="BB33" s="53"/>
      <c r="BC33" s="1065"/>
      <c r="BD33" s="53"/>
      <c r="BE33" s="53"/>
      <c r="BF33" s="133">
        <f>AV33+(AZ33*6)</f>
        <v>51678</v>
      </c>
      <c r="BG33" s="493">
        <f t="shared" si="3"/>
        <v>2250</v>
      </c>
      <c r="BH33" s="1067">
        <v>649</v>
      </c>
      <c r="BI33" s="489">
        <v>72</v>
      </c>
      <c r="BJ33" s="126">
        <f t="shared" si="33"/>
        <v>46728</v>
      </c>
      <c r="BK33" s="197"/>
      <c r="BL33" s="76"/>
      <c r="BM33" s="76">
        <f>MIN(BH33,BL33)*66</f>
        <v>42834</v>
      </c>
      <c r="BN33" s="76"/>
      <c r="BO33" s="53">
        <f>ROUNDDOWN((MIN(BH33,BL33)*0.5),0)</f>
        <v>324</v>
      </c>
      <c r="BP33" s="53"/>
      <c r="BQ33" s="53"/>
      <c r="BR33" s="53"/>
      <c r="BS33" s="53"/>
      <c r="BT33" s="53"/>
      <c r="BU33" s="497">
        <f>BM33+(BO33*6)</f>
        <v>44778</v>
      </c>
      <c r="BV33" s="498">
        <f t="shared" ref="BV33" si="92">BJ33-BU33</f>
        <v>1950</v>
      </c>
      <c r="BW33" s="34"/>
    </row>
    <row r="34" spans="3:75" customFormat="1" ht="25" customHeight="1" thickBot="1">
      <c r="C34" s="372" t="s">
        <v>254</v>
      </c>
      <c r="D34" s="1160"/>
      <c r="E34" s="1161" t="s">
        <v>255</v>
      </c>
      <c r="F34" s="50" t="s">
        <v>256</v>
      </c>
      <c r="G34" s="179"/>
      <c r="H34" s="50"/>
      <c r="I34" s="184"/>
      <c r="J34" s="51" t="s">
        <v>51</v>
      </c>
      <c r="K34" s="319"/>
      <c r="L34" s="254"/>
      <c r="M34" s="416"/>
      <c r="N34" s="195"/>
      <c r="O34" s="83"/>
      <c r="P34" s="81"/>
      <c r="Q34" s="52"/>
      <c r="R34" s="52"/>
      <c r="S34" s="52"/>
      <c r="T34" s="52"/>
      <c r="U34" s="52"/>
      <c r="V34" s="52"/>
      <c r="W34" s="52"/>
      <c r="X34" s="52"/>
      <c r="Y34" s="52"/>
      <c r="Z34" s="356">
        <f>P34+(T34*6)</f>
        <v>0</v>
      </c>
      <c r="AA34" s="121"/>
      <c r="AB34" s="322">
        <v>899</v>
      </c>
      <c r="AC34" s="140">
        <v>60</v>
      </c>
      <c r="AD34" s="262">
        <f t="shared" si="30"/>
        <v>53940</v>
      </c>
      <c r="AE34" s="195"/>
      <c r="AF34" s="163"/>
      <c r="AG34" s="522">
        <f>MIN(AB34,AF34)*48</f>
        <v>43152</v>
      </c>
      <c r="AH34" s="522"/>
      <c r="AI34" s="235"/>
      <c r="AJ34" s="1158">
        <f>ROUNDDOWN((MIN(AB34,AF34)*0.5),0)</f>
        <v>449</v>
      </c>
      <c r="AK34" s="235"/>
      <c r="AL34" s="1151">
        <v>149</v>
      </c>
      <c r="AM34" s="523"/>
      <c r="AN34" s="523"/>
      <c r="AO34" s="279">
        <f>AG34+(AL34*1)+(AJ34*11)</f>
        <v>48240</v>
      </c>
      <c r="AP34" s="521">
        <f t="shared" si="91"/>
        <v>5700</v>
      </c>
      <c r="AQ34" s="325"/>
      <c r="AR34" s="254"/>
      <c r="AS34" s="124"/>
      <c r="AT34" s="195"/>
      <c r="AU34" s="83"/>
      <c r="AV34" s="81"/>
      <c r="AW34" s="52"/>
      <c r="AX34" s="52"/>
      <c r="AY34" s="52"/>
      <c r="AZ34" s="52"/>
      <c r="BA34" s="52"/>
      <c r="BB34" s="52"/>
      <c r="BC34" s="163"/>
      <c r="BD34" s="52"/>
      <c r="BE34" s="52"/>
      <c r="BF34" s="277"/>
      <c r="BG34" s="121"/>
      <c r="BH34" s="327">
        <v>799</v>
      </c>
      <c r="BI34" s="254">
        <v>72</v>
      </c>
      <c r="BJ34" s="124">
        <f t="shared" si="33"/>
        <v>57528</v>
      </c>
      <c r="BK34" s="195"/>
      <c r="BL34" s="81"/>
      <c r="BM34" s="85">
        <f>MIN(BH34,BL34)*60</f>
        <v>47940</v>
      </c>
      <c r="BN34" s="85"/>
      <c r="BO34" s="235"/>
      <c r="BP34" s="1158">
        <f>ROUNDDOWN((MIN(BH34,BL34)*0.5),0)</f>
        <v>399</v>
      </c>
      <c r="BQ34" s="235"/>
      <c r="BR34" s="1158">
        <v>149</v>
      </c>
      <c r="BS34" s="235"/>
      <c r="BT34" s="235"/>
      <c r="BU34" s="349">
        <f>BM34+(BR34*1)+(BP34*11)</f>
        <v>52478</v>
      </c>
      <c r="BV34" s="645">
        <f t="shared" ref="BV34:BV35" si="93">BJ34-BU34</f>
        <v>5050</v>
      </c>
      <c r="BW34" s="34"/>
    </row>
    <row r="35" spans="3:75" customFormat="1" ht="25" customHeight="1">
      <c r="C35" s="1265" t="s">
        <v>188</v>
      </c>
      <c r="D35" s="668"/>
      <c r="E35" s="1161" t="s">
        <v>74</v>
      </c>
      <c r="F35" s="357" t="s">
        <v>75</v>
      </c>
      <c r="G35" s="358"/>
      <c r="H35" s="359"/>
      <c r="I35" s="360"/>
      <c r="J35" s="62" t="s">
        <v>29</v>
      </c>
      <c r="K35" s="319">
        <v>899</v>
      </c>
      <c r="L35" s="254">
        <v>60</v>
      </c>
      <c r="M35" s="416">
        <f t="shared" ref="M35" si="94">L35*K35</f>
        <v>53940</v>
      </c>
      <c r="N35" s="195"/>
      <c r="O35" s="225"/>
      <c r="P35" s="81">
        <f>MIN(K35,O35)*48</f>
        <v>43152</v>
      </c>
      <c r="Q35" s="52"/>
      <c r="R35" s="52"/>
      <c r="S35" s="52"/>
      <c r="T35" s="52"/>
      <c r="U35" s="1157">
        <f>ROUNDDOWN((MIN(K35,O35)*0.5),0)</f>
        <v>449</v>
      </c>
      <c r="V35" s="52"/>
      <c r="W35" s="1157">
        <v>149</v>
      </c>
      <c r="X35" s="52"/>
      <c r="Y35" s="52"/>
      <c r="Z35" s="277">
        <f>P35+(W35*1)+(U35*11)</f>
        <v>48240</v>
      </c>
      <c r="AA35" s="121">
        <f>M35-Z35</f>
        <v>5700</v>
      </c>
      <c r="AB35" s="322">
        <v>849</v>
      </c>
      <c r="AC35" s="140">
        <v>60</v>
      </c>
      <c r="AD35" s="262">
        <f t="shared" ref="AD35" si="95">AC35*AB35</f>
        <v>50940</v>
      </c>
      <c r="AE35" s="195"/>
      <c r="AF35" s="163"/>
      <c r="AG35" s="83">
        <f t="shared" ref="AG35:AG36" si="96">MIN(AB35,AF35)*48</f>
        <v>40752</v>
      </c>
      <c r="AH35" s="83"/>
      <c r="AI35" s="52"/>
      <c r="AJ35" s="1157">
        <f t="shared" ref="AJ35:AJ36" si="97">ROUNDDOWN((MIN(AB35,AF35)*0.5),0)</f>
        <v>424</v>
      </c>
      <c r="AK35" s="52"/>
      <c r="AL35" s="1157">
        <v>149</v>
      </c>
      <c r="AM35" s="386"/>
      <c r="AN35" s="386"/>
      <c r="AO35" s="144">
        <f>AG35+(AL35*1)+(AJ35*11)</f>
        <v>45565</v>
      </c>
      <c r="AP35" s="121">
        <f t="shared" ref="AP35:AP36" si="98">AD35-AO35</f>
        <v>5375</v>
      </c>
      <c r="AQ35" s="361">
        <v>799</v>
      </c>
      <c r="AR35" s="254">
        <v>72</v>
      </c>
      <c r="AS35" s="124">
        <f>AR35*AQ35</f>
        <v>57528</v>
      </c>
      <c r="AT35" s="195"/>
      <c r="AU35" s="417"/>
      <c r="AV35" s="81">
        <f>MIN(AQ35,AU35)*60</f>
        <v>47940</v>
      </c>
      <c r="AW35" s="52"/>
      <c r="AX35" s="52"/>
      <c r="AY35" s="52"/>
      <c r="AZ35" s="52"/>
      <c r="BA35" s="1157">
        <f>ROUNDDOWN(MIN(AQ35,AU35)*0.5,0)</f>
        <v>399</v>
      </c>
      <c r="BB35" s="52"/>
      <c r="BC35" s="1157">
        <v>149</v>
      </c>
      <c r="BD35" s="52"/>
      <c r="BE35" s="52"/>
      <c r="BF35" s="277">
        <f>AV35+(BC35*1)+(BA35*11)</f>
        <v>52478</v>
      </c>
      <c r="BG35" s="121">
        <f>AS35-BF35</f>
        <v>5050</v>
      </c>
      <c r="BH35" s="361">
        <v>749</v>
      </c>
      <c r="BI35" s="254">
        <v>72</v>
      </c>
      <c r="BJ35" s="124">
        <f>BI35*BH35</f>
        <v>53928</v>
      </c>
      <c r="BK35" s="195"/>
      <c r="BL35" s="1146"/>
      <c r="BM35" s="81">
        <f>MIN(BH35,BL35)*60</f>
        <v>44940</v>
      </c>
      <c r="BN35" s="81"/>
      <c r="BO35" s="52"/>
      <c r="BP35" s="1157">
        <f>ROUNDDOWN((MIN(BH35,BL35)*0.5),0)</f>
        <v>374</v>
      </c>
      <c r="BQ35" s="52"/>
      <c r="BR35" s="1157">
        <v>149</v>
      </c>
      <c r="BS35" s="52"/>
      <c r="BT35" s="52"/>
      <c r="BU35" s="1074">
        <f>BM35+(BR35*1)+(BP35*11)</f>
        <v>49203</v>
      </c>
      <c r="BV35" s="1075">
        <f t="shared" si="93"/>
        <v>4725</v>
      </c>
      <c r="BW35" s="34"/>
    </row>
    <row r="36" spans="3:75" customFormat="1" ht="25" customHeight="1" thickBot="1">
      <c r="C36" s="1266"/>
      <c r="D36" s="886"/>
      <c r="E36" s="1162" t="s">
        <v>250</v>
      </c>
      <c r="F36" s="742" t="s">
        <v>75</v>
      </c>
      <c r="G36" s="743"/>
      <c r="H36" s="744"/>
      <c r="I36" s="745"/>
      <c r="J36" s="424" t="s">
        <v>28</v>
      </c>
      <c r="K36" s="746">
        <v>749</v>
      </c>
      <c r="L36" s="747">
        <v>60</v>
      </c>
      <c r="M36" s="748">
        <f t="shared" ref="M36" si="99">L36*K36</f>
        <v>44940</v>
      </c>
      <c r="N36" s="749"/>
      <c r="O36" s="750"/>
      <c r="P36" s="429">
        <f>MIN(K36,O36)*48</f>
        <v>35952</v>
      </c>
      <c r="Q36" s="430"/>
      <c r="R36" s="430"/>
      <c r="S36" s="430"/>
      <c r="T36" s="430"/>
      <c r="U36" s="1159">
        <f>ROUNDDOWN((MIN(K36,O36)*0.5),0)</f>
        <v>374</v>
      </c>
      <c r="V36" s="430"/>
      <c r="W36" s="1159">
        <v>149</v>
      </c>
      <c r="X36" s="430"/>
      <c r="Y36" s="430"/>
      <c r="Z36" s="431">
        <f>P36+(W36*1)+(U36*11)</f>
        <v>40215</v>
      </c>
      <c r="AA36" s="548">
        <f>M36-Z36</f>
        <v>4725</v>
      </c>
      <c r="AB36" s="751">
        <v>699</v>
      </c>
      <c r="AC36" s="425">
        <v>60</v>
      </c>
      <c r="AD36" s="752">
        <f t="shared" ref="AD36" si="100">AC36*AB36</f>
        <v>41940</v>
      </c>
      <c r="AE36" s="749"/>
      <c r="AF36" s="429"/>
      <c r="AG36" s="428">
        <f t="shared" si="96"/>
        <v>33552</v>
      </c>
      <c r="AH36" s="428"/>
      <c r="AI36" s="430"/>
      <c r="AJ36" s="1159">
        <f t="shared" si="97"/>
        <v>349</v>
      </c>
      <c r="AK36" s="430"/>
      <c r="AL36" s="1159">
        <v>149</v>
      </c>
      <c r="AM36" s="434"/>
      <c r="AN36" s="434"/>
      <c r="AO36" s="435">
        <f>AG36+(AL36*1)+(AJ36*11)</f>
        <v>37540</v>
      </c>
      <c r="AP36" s="548">
        <f t="shared" si="98"/>
        <v>4400</v>
      </c>
      <c r="AQ36" s="753">
        <v>649</v>
      </c>
      <c r="AR36" s="747">
        <v>72</v>
      </c>
      <c r="AS36" s="754">
        <f>AR36*AQ36</f>
        <v>46728</v>
      </c>
      <c r="AT36" s="749"/>
      <c r="AU36" s="755"/>
      <c r="AV36" s="429">
        <f>MIN(AQ36,AU36)*60</f>
        <v>38940</v>
      </c>
      <c r="AW36" s="430"/>
      <c r="AX36" s="430"/>
      <c r="AY36" s="430"/>
      <c r="AZ36" s="430"/>
      <c r="BA36" s="1159">
        <f>ROUNDDOWN(MIN(AQ36,AU36)*0.5,0)</f>
        <v>324</v>
      </c>
      <c r="BB36" s="430"/>
      <c r="BC36" s="1159">
        <v>149</v>
      </c>
      <c r="BD36" s="430"/>
      <c r="BE36" s="430"/>
      <c r="BF36" s="431">
        <f>AV36+(BC36*1)+(BA36*11)</f>
        <v>42653</v>
      </c>
      <c r="BG36" s="548">
        <f>AS36-BF36</f>
        <v>4075</v>
      </c>
      <c r="BH36" s="756">
        <v>599</v>
      </c>
      <c r="BI36" s="747">
        <v>72</v>
      </c>
      <c r="BJ36" s="754">
        <f>BI36*BH36</f>
        <v>43128</v>
      </c>
      <c r="BK36" s="749"/>
      <c r="BL36" s="757"/>
      <c r="BM36" s="429">
        <f>MIN(BH36,BL36)*60</f>
        <v>35940</v>
      </c>
      <c r="BN36" s="429"/>
      <c r="BO36" s="430"/>
      <c r="BP36" s="1159">
        <f>ROUNDDOWN((MIN(BH36,BL36)*0.5),0)</f>
        <v>299</v>
      </c>
      <c r="BQ36" s="430"/>
      <c r="BR36" s="1159">
        <v>149</v>
      </c>
      <c r="BS36" s="430"/>
      <c r="BT36" s="430"/>
      <c r="BU36" s="549">
        <f>BM36+(BR36*1)+(BP36*11)</f>
        <v>39378</v>
      </c>
      <c r="BV36" s="550">
        <f t="shared" ref="BV36" si="101">BJ36-BU36</f>
        <v>3750</v>
      </c>
      <c r="BW36" s="34"/>
    </row>
    <row r="37" spans="3:75" customFormat="1" ht="35.5" customHeight="1" thickBot="1">
      <c r="C37" s="371" t="s">
        <v>189</v>
      </c>
      <c r="D37" s="547"/>
      <c r="E37" s="54" t="s">
        <v>96</v>
      </c>
      <c r="F37" s="54" t="s">
        <v>484</v>
      </c>
      <c r="G37" s="257"/>
      <c r="H37" s="54"/>
      <c r="I37" s="259"/>
      <c r="J37" s="646" t="s">
        <v>172</v>
      </c>
      <c r="K37" s="657">
        <f>59+10+20+10</f>
        <v>99</v>
      </c>
      <c r="L37" s="255"/>
      <c r="M37" s="656">
        <f>K37*72</f>
        <v>7128</v>
      </c>
      <c r="N37" s="198"/>
      <c r="O37" s="80"/>
      <c r="P37" s="79"/>
      <c r="Q37" s="55"/>
      <c r="R37" s="55"/>
      <c r="S37" s="55"/>
      <c r="T37" s="55"/>
      <c r="U37" s="55"/>
      <c r="V37" s="55"/>
      <c r="W37" s="55"/>
      <c r="X37" s="55"/>
      <c r="Y37" s="55"/>
      <c r="Z37" s="227"/>
      <c r="AA37" s="647"/>
      <c r="AB37" s="648"/>
      <c r="AC37" s="649"/>
      <c r="AD37" s="650"/>
      <c r="AE37" s="651"/>
      <c r="AF37" s="227"/>
      <c r="AG37" s="80"/>
      <c r="AH37" s="80"/>
      <c r="AI37" s="55"/>
      <c r="AJ37" s="176"/>
      <c r="AK37" s="176"/>
      <c r="AL37" s="176"/>
      <c r="AM37" s="176"/>
      <c r="AN37" s="176"/>
      <c r="AO37" s="652"/>
      <c r="AP37" s="653"/>
      <c r="AQ37" s="654"/>
      <c r="AR37" s="227"/>
      <c r="AS37" s="649"/>
      <c r="AT37" s="651"/>
      <c r="AU37" s="80"/>
      <c r="AV37" s="79"/>
      <c r="AW37" s="55"/>
      <c r="AX37" s="55"/>
      <c r="AY37" s="55"/>
      <c r="AZ37" s="55"/>
      <c r="BA37" s="55"/>
      <c r="BB37" s="55"/>
      <c r="BC37" s="227"/>
      <c r="BD37" s="55"/>
      <c r="BE37" s="55"/>
      <c r="BF37" s="227"/>
      <c r="BG37" s="647"/>
      <c r="BH37" s="655"/>
      <c r="BI37" s="227"/>
      <c r="BJ37" s="649"/>
      <c r="BK37" s="651"/>
      <c r="BL37" s="79"/>
      <c r="BM37" s="79"/>
      <c r="BN37" s="79"/>
      <c r="BO37" s="55"/>
      <c r="BP37" s="55"/>
      <c r="BQ37" s="55"/>
      <c r="BR37" s="55"/>
      <c r="BS37" s="55"/>
      <c r="BT37" s="55"/>
      <c r="BU37" s="649"/>
      <c r="BV37" s="651"/>
      <c r="BW37" s="40"/>
    </row>
    <row r="38" spans="3:75" customFormat="1" ht="16" customHeight="1">
      <c r="C38" s="90"/>
      <c r="D38" s="39"/>
      <c r="J38" s="39"/>
      <c r="L38" s="148"/>
      <c r="M38" s="90"/>
      <c r="N38" s="9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73"/>
      <c r="AB38" s="90"/>
      <c r="AC38" s="148"/>
      <c r="AD38" s="148"/>
      <c r="AE38" s="90"/>
      <c r="AF38" s="40"/>
      <c r="AG38" s="40"/>
      <c r="AH38" s="40"/>
      <c r="AI38" s="40"/>
      <c r="AJ38" s="40"/>
      <c r="AK38" s="40"/>
      <c r="AL38" s="40"/>
      <c r="AM38" s="40"/>
      <c r="AN38" s="40"/>
      <c r="AO38" s="73"/>
      <c r="AP38" s="73"/>
      <c r="AQ38" s="90"/>
      <c r="AR38" s="90"/>
      <c r="AS38" s="90"/>
      <c r="AT38" s="90"/>
      <c r="AU38" s="40"/>
      <c r="AV38" s="40"/>
      <c r="AW38" s="40"/>
      <c r="AX38" s="40"/>
      <c r="AY38" s="40"/>
      <c r="AZ38" s="40"/>
      <c r="BA38" s="40"/>
      <c r="BB38" s="40"/>
      <c r="BC38" s="73"/>
      <c r="BD38" s="40"/>
      <c r="BE38" s="40"/>
      <c r="BF38" s="73"/>
      <c r="BG38" s="73"/>
      <c r="BH38" s="90"/>
      <c r="BI38" s="90"/>
      <c r="BJ38" s="90"/>
      <c r="BK38" s="90"/>
      <c r="BL38" s="40"/>
      <c r="BM38" s="44"/>
      <c r="BN38" s="44"/>
      <c r="BO38" s="40"/>
      <c r="BP38" s="40"/>
      <c r="BQ38" s="40"/>
      <c r="BR38" s="40"/>
      <c r="BS38" s="40"/>
      <c r="BT38" s="40"/>
      <c r="BU38" s="73"/>
      <c r="BV38" s="73"/>
      <c r="BW38" s="40"/>
    </row>
    <row r="39" spans="3:75" customFormat="1" ht="16" customHeight="1">
      <c r="C39" s="90"/>
      <c r="D39" s="39"/>
      <c r="J39" s="39"/>
      <c r="L39" s="148"/>
      <c r="M39" s="90"/>
      <c r="N39" s="9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73"/>
      <c r="AB39" s="90"/>
      <c r="AC39" s="148"/>
      <c r="AD39" s="148"/>
      <c r="AE39" s="90"/>
      <c r="AF39" s="40"/>
      <c r="AG39" s="40"/>
      <c r="AH39" s="40"/>
      <c r="AI39" s="40"/>
      <c r="AJ39" s="40"/>
      <c r="AK39" s="40"/>
      <c r="AL39" s="40"/>
      <c r="AM39" s="40"/>
      <c r="AN39" s="40"/>
      <c r="AO39" s="73"/>
      <c r="AP39" s="73"/>
      <c r="AQ39" s="90"/>
      <c r="AR39" s="90"/>
      <c r="AS39" s="90"/>
      <c r="AT39" s="90"/>
      <c r="AU39" s="40"/>
      <c r="AV39" s="40"/>
      <c r="AW39" s="40"/>
      <c r="AX39" s="40"/>
      <c r="AY39" s="40"/>
      <c r="AZ39" s="40"/>
      <c r="BA39" s="40"/>
      <c r="BB39" s="40"/>
      <c r="BC39" s="73"/>
      <c r="BD39" s="40"/>
      <c r="BE39" s="40"/>
      <c r="BF39" s="73"/>
      <c r="BG39" s="73"/>
      <c r="BH39" s="90"/>
      <c r="BI39" s="90"/>
      <c r="BJ39" s="90"/>
      <c r="BK39" s="90"/>
      <c r="BL39" s="40"/>
      <c r="BM39" s="44"/>
      <c r="BN39" s="44"/>
      <c r="BO39" s="40"/>
      <c r="BP39" s="40"/>
      <c r="BQ39" s="40"/>
      <c r="BR39" s="40"/>
      <c r="BS39" s="40"/>
      <c r="BT39" s="40"/>
      <c r="BU39" s="73"/>
      <c r="BV39" s="73"/>
      <c r="BW39" s="40"/>
    </row>
    <row r="40" spans="3:75" customFormat="1" ht="16" customHeight="1">
      <c r="C40" s="90"/>
      <c r="D40" s="39"/>
      <c r="J40" s="39"/>
      <c r="L40" s="148"/>
      <c r="M40" s="90"/>
      <c r="N40" s="9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73"/>
      <c r="AB40" s="90"/>
      <c r="AC40" s="148"/>
      <c r="AD40" s="148"/>
      <c r="AE40" s="90"/>
      <c r="AF40" s="40"/>
      <c r="AG40" s="40"/>
      <c r="AH40" s="40"/>
      <c r="AI40" s="40"/>
      <c r="AJ40" s="40"/>
      <c r="AK40" s="40"/>
      <c r="AL40" s="40"/>
      <c r="AM40" s="40"/>
      <c r="AN40" s="40"/>
      <c r="AO40" s="73"/>
      <c r="AP40" s="73"/>
      <c r="AQ40" s="90"/>
      <c r="AR40" s="90"/>
      <c r="AS40" s="90"/>
      <c r="AT40" s="90"/>
      <c r="AU40" s="40"/>
      <c r="AV40" s="40"/>
      <c r="AW40" s="40"/>
      <c r="AX40" s="40"/>
      <c r="AY40" s="40"/>
      <c r="AZ40" s="40"/>
      <c r="BA40" s="40"/>
      <c r="BB40" s="40"/>
      <c r="BC40" s="73"/>
      <c r="BD40" s="40"/>
      <c r="BE40" s="40"/>
      <c r="BF40" s="73"/>
      <c r="BG40" s="73"/>
      <c r="BH40" s="90"/>
      <c r="BI40" s="90"/>
      <c r="BJ40" s="90"/>
      <c r="BK40" s="90"/>
      <c r="BL40" s="40"/>
      <c r="BM40" s="44"/>
      <c r="BN40" s="44"/>
      <c r="BO40" s="40"/>
      <c r="BP40" s="40"/>
      <c r="BQ40" s="40"/>
      <c r="BR40" s="40"/>
      <c r="BS40" s="40"/>
      <c r="BT40" s="40"/>
      <c r="BU40" s="73"/>
      <c r="BV40" s="73"/>
      <c r="BW40" s="40"/>
    </row>
    <row r="41" spans="3:75" customFormat="1" ht="16" customHeight="1">
      <c r="C41" s="90"/>
      <c r="D41" s="39"/>
      <c r="J41" s="39"/>
      <c r="L41" s="148"/>
      <c r="M41" s="90"/>
      <c r="N41" s="9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73"/>
      <c r="AB41" s="90"/>
      <c r="AC41" s="148"/>
      <c r="AD41" s="148"/>
      <c r="AE41" s="90"/>
      <c r="AF41" s="40"/>
      <c r="AG41" s="40"/>
      <c r="AH41" s="40"/>
      <c r="AI41" s="40"/>
      <c r="AJ41" s="40"/>
      <c r="AK41" s="40"/>
      <c r="AL41" s="40"/>
      <c r="AM41" s="40"/>
      <c r="AN41" s="40"/>
      <c r="AO41" s="73"/>
      <c r="AP41" s="73"/>
      <c r="AQ41" s="90"/>
      <c r="AR41" s="90"/>
      <c r="AS41" s="90"/>
      <c r="AT41" s="90"/>
      <c r="AU41" s="40"/>
      <c r="AV41" s="40"/>
      <c r="AW41" s="40"/>
      <c r="AX41" s="40"/>
      <c r="AY41" s="40"/>
      <c r="AZ41" s="40"/>
      <c r="BA41" s="40"/>
      <c r="BB41" s="40"/>
      <c r="BC41" s="73"/>
      <c r="BD41" s="40"/>
      <c r="BE41" s="40"/>
      <c r="BF41" s="73"/>
      <c r="BG41" s="73"/>
      <c r="BH41" s="90"/>
      <c r="BI41" s="90"/>
      <c r="BJ41" s="90"/>
      <c r="BK41" s="90"/>
      <c r="BL41" s="40"/>
      <c r="BM41" s="44"/>
      <c r="BN41" s="44"/>
      <c r="BO41" s="40"/>
      <c r="BP41" s="40"/>
      <c r="BQ41" s="40"/>
      <c r="BR41" s="40"/>
      <c r="BS41" s="40"/>
      <c r="BT41" s="40"/>
      <c r="BU41" s="73"/>
      <c r="BV41" s="73"/>
      <c r="BW41" s="40"/>
    </row>
    <row r="42" spans="3:75" customFormat="1" ht="16" customHeight="1">
      <c r="C42" s="90"/>
      <c r="D42" s="39"/>
      <c r="J42" s="39"/>
      <c r="L42" s="148"/>
      <c r="M42" s="90"/>
      <c r="N42" s="9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73"/>
      <c r="AB42" s="90"/>
      <c r="AC42" s="148"/>
      <c r="AD42" s="148"/>
      <c r="AE42" s="90"/>
      <c r="AF42" s="40"/>
      <c r="AG42" s="40"/>
      <c r="AH42" s="40"/>
      <c r="AI42" s="40"/>
      <c r="AJ42" s="40"/>
      <c r="AK42" s="40"/>
      <c r="AL42" s="40"/>
      <c r="AM42" s="40"/>
      <c r="AN42" s="40"/>
      <c r="AO42" s="73"/>
      <c r="AP42" s="73"/>
      <c r="AQ42" s="90"/>
      <c r="AR42" s="90"/>
      <c r="AS42" s="90"/>
      <c r="AT42" s="90"/>
      <c r="AU42" s="40"/>
      <c r="AV42" s="40"/>
      <c r="AW42" s="40"/>
      <c r="AX42" s="40"/>
      <c r="AY42" s="40"/>
      <c r="AZ42" s="40"/>
      <c r="BA42" s="40"/>
      <c r="BB42" s="40"/>
      <c r="BC42" s="73"/>
      <c r="BD42" s="40"/>
      <c r="BE42" s="40"/>
      <c r="BF42" s="73"/>
      <c r="BG42" s="73"/>
      <c r="BH42" s="90"/>
      <c r="BI42" s="90"/>
      <c r="BJ42" s="90"/>
      <c r="BK42" s="90"/>
      <c r="BL42" s="40"/>
      <c r="BM42" s="44"/>
      <c r="BN42" s="44"/>
      <c r="BO42" s="40"/>
      <c r="BP42" s="40"/>
      <c r="BQ42" s="40"/>
      <c r="BR42" s="40"/>
      <c r="BS42" s="40"/>
      <c r="BT42" s="40"/>
      <c r="BU42" s="73"/>
      <c r="BV42" s="73"/>
      <c r="BW42" s="40"/>
    </row>
    <row r="43" spans="3:75" customFormat="1" ht="16" customHeight="1">
      <c r="C43" s="90"/>
      <c r="D43" s="39"/>
      <c r="J43" s="39"/>
      <c r="L43" s="148"/>
      <c r="M43" s="90"/>
      <c r="N43" s="9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73"/>
      <c r="AB43" s="90"/>
      <c r="AC43" s="148"/>
      <c r="AD43" s="148"/>
      <c r="AE43" s="90"/>
      <c r="AF43" s="40"/>
      <c r="AG43" s="40"/>
      <c r="AH43" s="40"/>
      <c r="AI43" s="40"/>
      <c r="AJ43" s="40"/>
      <c r="AK43" s="40"/>
      <c r="AL43" s="40"/>
      <c r="AM43" s="40"/>
      <c r="AN43" s="40"/>
      <c r="AO43" s="73"/>
      <c r="AP43" s="73"/>
      <c r="AQ43" s="90"/>
      <c r="AR43" s="90"/>
      <c r="AS43" s="90"/>
      <c r="AT43" s="90"/>
      <c r="AU43" s="40"/>
      <c r="AV43" s="40"/>
      <c r="AW43" s="40"/>
      <c r="AX43" s="40"/>
      <c r="AY43" s="40"/>
      <c r="AZ43" s="40"/>
      <c r="BA43" s="40"/>
      <c r="BB43" s="40"/>
      <c r="BC43" s="73"/>
      <c r="BD43" s="40"/>
      <c r="BE43" s="40"/>
      <c r="BF43" s="73"/>
      <c r="BG43" s="73"/>
      <c r="BH43" s="90"/>
      <c r="BI43" s="90"/>
      <c r="BJ43" s="90"/>
      <c r="BK43" s="90"/>
      <c r="BL43" s="40"/>
      <c r="BM43" s="44"/>
      <c r="BN43" s="44"/>
      <c r="BO43" s="40"/>
      <c r="BP43" s="40"/>
      <c r="BQ43" s="40"/>
      <c r="BR43" s="40"/>
      <c r="BS43" s="40"/>
      <c r="BT43" s="40"/>
      <c r="BU43" s="73"/>
      <c r="BV43" s="73"/>
      <c r="BW43" s="40"/>
    </row>
    <row r="44" spans="3:75" customFormat="1" ht="16" customHeight="1">
      <c r="C44" s="90"/>
      <c r="D44" s="39"/>
      <c r="J44" s="39"/>
      <c r="L44" s="148"/>
      <c r="M44" s="90"/>
      <c r="N44" s="9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73"/>
      <c r="AB44" s="90"/>
      <c r="AC44" s="148"/>
      <c r="AD44" s="148"/>
      <c r="AE44" s="90"/>
      <c r="AF44" s="40"/>
      <c r="AG44" s="40"/>
      <c r="AH44" s="40"/>
      <c r="AI44" s="40"/>
      <c r="AJ44" s="40"/>
      <c r="AK44" s="40"/>
      <c r="AL44" s="40"/>
      <c r="AM44" s="40"/>
      <c r="AN44" s="40"/>
      <c r="AO44" s="73"/>
      <c r="AP44" s="73"/>
      <c r="AQ44" s="90"/>
      <c r="AR44" s="90"/>
      <c r="AS44" s="90"/>
      <c r="AT44" s="90"/>
      <c r="AU44" s="40"/>
      <c r="AV44" s="40"/>
      <c r="AW44" s="40"/>
      <c r="AX44" s="40"/>
      <c r="AY44" s="40"/>
      <c r="AZ44" s="40"/>
      <c r="BA44" s="40"/>
      <c r="BB44" s="40"/>
      <c r="BC44" s="73"/>
      <c r="BD44" s="40"/>
      <c r="BE44" s="40"/>
      <c r="BF44" s="73"/>
      <c r="BG44" s="73"/>
      <c r="BH44" s="90"/>
      <c r="BI44" s="90"/>
      <c r="BJ44" s="90"/>
      <c r="BK44" s="90"/>
      <c r="BL44" s="40"/>
      <c r="BM44" s="44"/>
      <c r="BN44" s="44"/>
      <c r="BO44" s="40"/>
      <c r="BP44" s="40"/>
      <c r="BQ44" s="40"/>
      <c r="BR44" s="40"/>
      <c r="BS44" s="40"/>
      <c r="BT44" s="40"/>
      <c r="BU44" s="73"/>
      <c r="BV44" s="73"/>
      <c r="BW44" s="40"/>
    </row>
    <row r="45" spans="3:75" customFormat="1" ht="16" customHeight="1">
      <c r="C45" s="90"/>
      <c r="D45" s="39"/>
      <c r="J45" s="39"/>
      <c r="L45" s="148"/>
      <c r="M45" s="90"/>
      <c r="N45" s="9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73"/>
      <c r="AB45" s="90"/>
      <c r="AC45" s="148"/>
      <c r="AD45" s="148"/>
      <c r="AE45" s="90"/>
      <c r="AF45" s="40"/>
      <c r="AG45" s="40"/>
      <c r="AH45" s="40"/>
      <c r="AI45" s="40"/>
      <c r="AJ45" s="40"/>
      <c r="AK45" s="40"/>
      <c r="AL45" s="40"/>
      <c r="AM45" s="40"/>
      <c r="AN45" s="40"/>
      <c r="AO45" s="73"/>
      <c r="AP45" s="73"/>
      <c r="AQ45" s="90"/>
      <c r="AR45" s="90"/>
      <c r="AS45" s="90"/>
      <c r="AT45" s="90"/>
      <c r="AU45" s="40"/>
      <c r="AV45" s="40"/>
      <c r="AW45" s="40"/>
      <c r="AX45" s="40"/>
      <c r="AY45" s="40"/>
      <c r="AZ45" s="40"/>
      <c r="BA45" s="40"/>
      <c r="BB45" s="40"/>
      <c r="BC45" s="73"/>
      <c r="BD45" s="40"/>
      <c r="BE45" s="40"/>
      <c r="BF45" s="73"/>
      <c r="BG45" s="73"/>
      <c r="BH45" s="90"/>
      <c r="BI45" s="90"/>
      <c r="BJ45" s="90"/>
      <c r="BK45" s="90"/>
      <c r="BL45" s="40"/>
      <c r="BM45" s="44"/>
      <c r="BN45" s="44"/>
      <c r="BO45" s="40"/>
      <c r="BP45" s="40"/>
      <c r="BQ45" s="40"/>
      <c r="BR45" s="40"/>
      <c r="BS45" s="40"/>
      <c r="BT45" s="40"/>
      <c r="BU45" s="73"/>
      <c r="BV45" s="73"/>
      <c r="BW45" s="40"/>
    </row>
    <row r="46" spans="3:75" customFormat="1" ht="16" customHeight="1">
      <c r="C46" s="90"/>
      <c r="D46" s="39"/>
      <c r="J46" s="39"/>
      <c r="L46" s="148"/>
      <c r="M46" s="90"/>
      <c r="N46" s="9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73"/>
      <c r="AB46" s="90"/>
      <c r="AC46" s="148"/>
      <c r="AD46" s="148"/>
      <c r="AE46" s="90"/>
      <c r="AF46" s="40"/>
      <c r="AG46" s="40"/>
      <c r="AH46" s="40"/>
      <c r="AI46" s="40"/>
      <c r="AJ46" s="40"/>
      <c r="AK46" s="40"/>
      <c r="AL46" s="40"/>
      <c r="AM46" s="40"/>
      <c r="AN46" s="40"/>
      <c r="AO46" s="73"/>
      <c r="AP46" s="73"/>
      <c r="AQ46" s="90"/>
      <c r="AR46" s="90"/>
      <c r="AS46" s="90"/>
      <c r="AT46" s="90"/>
      <c r="AU46" s="40"/>
      <c r="AV46" s="40"/>
      <c r="AW46" s="40"/>
      <c r="AX46" s="40"/>
      <c r="AY46" s="40"/>
      <c r="AZ46" s="40"/>
      <c r="BA46" s="40"/>
      <c r="BB46" s="40"/>
      <c r="BC46" s="73"/>
      <c r="BD46" s="40"/>
      <c r="BE46" s="40"/>
      <c r="BF46" s="73"/>
      <c r="BG46" s="73"/>
      <c r="BH46" s="90"/>
      <c r="BI46" s="90"/>
      <c r="BJ46" s="90"/>
      <c r="BK46" s="90"/>
      <c r="BL46" s="40"/>
      <c r="BM46" s="44"/>
      <c r="BN46" s="44"/>
      <c r="BO46" s="40"/>
      <c r="BP46" s="40"/>
      <c r="BQ46" s="40"/>
      <c r="BR46" s="40"/>
      <c r="BS46" s="40"/>
      <c r="BT46" s="40"/>
      <c r="BU46" s="73"/>
      <c r="BV46" s="73"/>
      <c r="BW46" s="40"/>
    </row>
    <row r="47" spans="3:75" customFormat="1" ht="16" customHeight="1">
      <c r="C47" s="90"/>
      <c r="D47" s="39"/>
      <c r="J47" s="39"/>
      <c r="L47" s="148"/>
      <c r="M47" s="90"/>
      <c r="N47" s="9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73"/>
      <c r="AB47" s="90"/>
      <c r="AC47" s="148"/>
      <c r="AD47" s="148"/>
      <c r="AE47" s="90"/>
      <c r="AF47" s="40"/>
      <c r="AG47" s="40"/>
      <c r="AH47" s="40"/>
      <c r="AI47" s="40"/>
      <c r="AJ47" s="40"/>
      <c r="AK47" s="40"/>
      <c r="AL47" s="40"/>
      <c r="AM47" s="40"/>
      <c r="AN47" s="40"/>
      <c r="AO47" s="73"/>
      <c r="AP47" s="73"/>
      <c r="AQ47" s="90"/>
      <c r="AR47" s="90"/>
      <c r="AS47" s="90"/>
      <c r="AT47" s="90"/>
      <c r="AU47" s="40"/>
      <c r="AV47" s="40"/>
      <c r="AW47" s="40"/>
      <c r="AX47" s="40"/>
      <c r="AY47" s="40"/>
      <c r="AZ47" s="40"/>
      <c r="BA47" s="40"/>
      <c r="BB47" s="40"/>
      <c r="BC47" s="73"/>
      <c r="BD47" s="40"/>
      <c r="BE47" s="40"/>
      <c r="BF47" s="73"/>
      <c r="BG47" s="73"/>
      <c r="BH47" s="90"/>
      <c r="BI47" s="90"/>
      <c r="BJ47" s="90"/>
      <c r="BK47" s="90"/>
      <c r="BL47" s="40"/>
      <c r="BM47" s="44"/>
      <c r="BN47" s="44"/>
      <c r="BO47" s="40"/>
      <c r="BP47" s="40"/>
      <c r="BQ47" s="40"/>
      <c r="BR47" s="40"/>
      <c r="BS47" s="40"/>
      <c r="BT47" s="40"/>
      <c r="BU47" s="73"/>
      <c r="BV47" s="73"/>
      <c r="BW47" s="40"/>
    </row>
    <row r="48" spans="3:75" customFormat="1" ht="16" customHeight="1">
      <c r="C48" s="90"/>
      <c r="D48" s="39"/>
      <c r="J48" s="39"/>
      <c r="L48" s="148"/>
      <c r="M48" s="90"/>
      <c r="N48" s="9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73"/>
      <c r="AB48" s="90"/>
      <c r="AC48" s="148"/>
      <c r="AD48" s="148"/>
      <c r="AE48" s="90"/>
      <c r="AF48" s="40"/>
      <c r="AG48" s="40"/>
      <c r="AH48" s="40"/>
      <c r="AI48" s="40"/>
      <c r="AJ48" s="40"/>
      <c r="AK48" s="40"/>
      <c r="AL48" s="40"/>
      <c r="AM48" s="40"/>
      <c r="AN48" s="40"/>
      <c r="AO48" s="73"/>
      <c r="AP48" s="73"/>
      <c r="AQ48" s="90"/>
      <c r="AR48" s="90"/>
      <c r="AS48" s="90"/>
      <c r="AT48" s="90"/>
      <c r="AU48" s="40"/>
      <c r="AV48" s="40"/>
      <c r="AW48" s="40"/>
      <c r="AX48" s="40"/>
      <c r="AY48" s="40"/>
      <c r="AZ48" s="40"/>
      <c r="BA48" s="40"/>
      <c r="BB48" s="40"/>
      <c r="BC48" s="73"/>
      <c r="BD48" s="40"/>
      <c r="BE48" s="40"/>
      <c r="BF48" s="73"/>
      <c r="BG48" s="73"/>
      <c r="BH48" s="90"/>
      <c r="BI48" s="90"/>
      <c r="BJ48" s="90"/>
      <c r="BK48" s="90"/>
      <c r="BL48" s="40"/>
      <c r="BM48" s="44"/>
      <c r="BN48" s="44"/>
      <c r="BO48" s="40"/>
      <c r="BP48" s="40"/>
      <c r="BQ48" s="40"/>
      <c r="BR48" s="40"/>
      <c r="BS48" s="40"/>
      <c r="BT48" s="40"/>
      <c r="BU48" s="73"/>
      <c r="BV48" s="73"/>
      <c r="BW48" s="40"/>
    </row>
    <row r="49" spans="3:75" customFormat="1" ht="16" customHeight="1">
      <c r="C49" s="90"/>
      <c r="D49" s="39"/>
      <c r="J49" s="39"/>
      <c r="L49" s="148"/>
      <c r="M49" s="90"/>
      <c r="N49" s="9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73"/>
      <c r="AB49" s="90"/>
      <c r="AC49" s="148"/>
      <c r="AD49" s="148"/>
      <c r="AE49" s="90"/>
      <c r="AF49" s="40"/>
      <c r="AG49" s="40"/>
      <c r="AH49" s="40"/>
      <c r="AI49" s="40"/>
      <c r="AJ49" s="40"/>
      <c r="AK49" s="40"/>
      <c r="AL49" s="40"/>
      <c r="AM49" s="40"/>
      <c r="AN49" s="40"/>
      <c r="AO49" s="73"/>
      <c r="AP49" s="73"/>
      <c r="AQ49" s="90"/>
      <c r="AR49" s="90"/>
      <c r="AS49" s="90"/>
      <c r="AT49" s="90"/>
      <c r="AU49" s="40"/>
      <c r="AV49" s="40"/>
      <c r="AW49" s="40"/>
      <c r="AX49" s="40"/>
      <c r="AY49" s="40"/>
      <c r="AZ49" s="40"/>
      <c r="BA49" s="40"/>
      <c r="BB49" s="40"/>
      <c r="BC49" s="73"/>
      <c r="BD49" s="40"/>
      <c r="BE49" s="40"/>
      <c r="BF49" s="73"/>
      <c r="BG49" s="73"/>
      <c r="BH49" s="90"/>
      <c r="BI49" s="90"/>
      <c r="BJ49" s="90"/>
      <c r="BK49" s="90"/>
      <c r="BL49" s="40"/>
      <c r="BM49" s="44"/>
      <c r="BN49" s="44"/>
      <c r="BO49" s="40"/>
      <c r="BP49" s="40"/>
      <c r="BQ49" s="40"/>
      <c r="BR49" s="40"/>
      <c r="BS49" s="40"/>
      <c r="BT49" s="40"/>
      <c r="BU49" s="73"/>
      <c r="BV49" s="73"/>
      <c r="BW49" s="40"/>
    </row>
  </sheetData>
  <mergeCells count="12">
    <mergeCell ref="C35:C36"/>
    <mergeCell ref="J2:J3"/>
    <mergeCell ref="K2:BV2"/>
    <mergeCell ref="K3:AP3"/>
    <mergeCell ref="AQ3:BV3"/>
    <mergeCell ref="C6:C20"/>
    <mergeCell ref="K4:AA4"/>
    <mergeCell ref="AB4:AP4"/>
    <mergeCell ref="AQ4:BG4"/>
    <mergeCell ref="BH4:BV4"/>
    <mergeCell ref="D2:D4"/>
    <mergeCell ref="C21:C30"/>
  </mergeCells>
  <printOptions horizontalCentered="1"/>
  <pageMargins left="0.25" right="0.25" top="0.25" bottom="0.25" header="0.3" footer="0.3"/>
  <pageSetup paperSize="8" scale="42" orientation="landscape" r:id="rId1"/>
  <headerFooter>
    <oddHeader xml:space="preserve">&amp;C&amp;"Calibri,Regular"&amp;1&amp;K000000
</oddHead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F33"/>
  <sheetViews>
    <sheetView showGridLines="0" zoomScale="85" zoomScaleNormal="85" workbookViewId="0">
      <pane xSplit="6" ySplit="5" topLeftCell="G6" activePane="bottomRight" state="frozen"/>
      <selection pane="topRight" activeCell="G1" sqref="G1"/>
      <selection pane="bottomLeft" activeCell="A6" sqref="A6"/>
      <selection pane="bottomRight" activeCell="Y12" sqref="Y12"/>
    </sheetView>
  </sheetViews>
  <sheetFormatPr defaultColWidth="8.81640625" defaultRowHeight="16" customHeight="1"/>
  <cols>
    <col min="1" max="1" width="1.26953125" style="1" customWidth="1"/>
    <col min="2" max="2" width="3" style="1" customWidth="1"/>
    <col min="3" max="3" width="14.26953125" style="91" customWidth="1"/>
    <col min="4" max="4" width="22.54296875" style="39" customWidth="1"/>
    <col min="5" max="5" width="24.1796875" style="1" bestFit="1" customWidth="1"/>
    <col min="6" max="6" width="11.81640625" style="2" customWidth="1"/>
    <col min="7" max="7" width="10.81640625" style="1" customWidth="1"/>
    <col min="8" max="8" width="8.453125" style="8" customWidth="1"/>
    <col min="9" max="9" width="9.81640625" style="91" customWidth="1"/>
    <col min="10" max="10" width="9.81640625" style="91" hidden="1" customWidth="1"/>
    <col min="11" max="11" width="8.453125" style="5" hidden="1" customWidth="1"/>
    <col min="12" max="12" width="10" style="5" hidden="1" customWidth="1"/>
    <col min="13" max="15" width="12.453125" style="5" customWidth="1"/>
    <col min="16" max="16" width="12.453125" style="5" hidden="1" customWidth="1"/>
    <col min="17" max="17" width="12.54296875" style="5" customWidth="1"/>
    <col min="18" max="18" width="12.54296875" style="145" customWidth="1"/>
    <col min="19" max="19" width="12.81640625" style="1" customWidth="1"/>
    <col min="20" max="20" width="11.54296875" style="149" customWidth="1"/>
    <col min="21" max="21" width="10.7265625" style="8" customWidth="1"/>
    <col min="22" max="22" width="9.81640625" style="91" hidden="1" customWidth="1"/>
    <col min="23" max="23" width="11" style="5" hidden="1" customWidth="1"/>
    <col min="24" max="24" width="14.81640625" style="5" hidden="1" customWidth="1"/>
    <col min="25" max="25" width="14.81640625" style="5" customWidth="1"/>
    <col min="26" max="28" width="13.1796875" style="5" customWidth="1"/>
    <col min="29" max="29" width="13.1796875" style="5" hidden="1" customWidth="1"/>
    <col min="30" max="30" width="13.453125" style="5" customWidth="1"/>
    <col min="31" max="31" width="10.81640625" style="145" customWidth="1"/>
    <col min="32" max="32" width="11.26953125" style="5" customWidth="1"/>
    <col min="33" max="16384" width="8.81640625" style="1"/>
  </cols>
  <sheetData>
    <row r="1" spans="1:32" ht="23.25" customHeight="1">
      <c r="C1" s="89"/>
      <c r="D1" s="222"/>
      <c r="E1" s="9" t="s">
        <v>818</v>
      </c>
      <c r="F1" s="21"/>
      <c r="G1" s="20"/>
      <c r="H1" s="20"/>
      <c r="I1" s="89"/>
      <c r="J1" s="89"/>
      <c r="K1" s="25"/>
      <c r="L1" s="26"/>
      <c r="M1" s="26"/>
      <c r="N1" s="26"/>
      <c r="O1" s="26"/>
      <c r="P1" s="26"/>
      <c r="Q1" s="26"/>
      <c r="R1" s="160"/>
      <c r="S1" s="20"/>
      <c r="T1" s="89"/>
      <c r="U1" s="20"/>
      <c r="V1" s="89"/>
      <c r="W1" s="25"/>
      <c r="X1" s="25"/>
      <c r="Y1" s="25"/>
      <c r="Z1" s="25"/>
      <c r="AA1" s="25"/>
      <c r="AB1" s="25"/>
      <c r="AC1" s="25"/>
      <c r="AD1" s="25"/>
      <c r="AE1" s="142"/>
      <c r="AF1" s="25"/>
    </row>
    <row r="2" spans="1:32" ht="29.25" customHeight="1">
      <c r="C2" s="367"/>
      <c r="D2" s="1268"/>
      <c r="E2" s="1282"/>
      <c r="F2" s="1268" t="s">
        <v>30</v>
      </c>
      <c r="G2" s="1269" t="s">
        <v>81</v>
      </c>
      <c r="H2" s="1270"/>
      <c r="I2" s="1270"/>
      <c r="J2" s="1270"/>
      <c r="K2" s="1270"/>
      <c r="L2" s="1270"/>
      <c r="M2" s="1270"/>
      <c r="N2" s="1270"/>
      <c r="O2" s="1270"/>
      <c r="P2" s="1270"/>
      <c r="Q2" s="1270"/>
      <c r="R2" s="1270"/>
      <c r="S2" s="1270"/>
      <c r="T2" s="1270"/>
      <c r="U2" s="1270"/>
      <c r="V2" s="1270"/>
      <c r="W2" s="1270"/>
      <c r="X2" s="1270"/>
      <c r="Y2" s="1270"/>
      <c r="Z2" s="1270"/>
      <c r="AA2" s="1270"/>
      <c r="AB2" s="1270"/>
      <c r="AC2" s="1270"/>
      <c r="AD2" s="1270"/>
      <c r="AE2" s="1271"/>
      <c r="AF2" s="32"/>
    </row>
    <row r="3" spans="1:32" ht="27" customHeight="1">
      <c r="C3" s="368"/>
      <c r="D3" s="1286"/>
      <c r="E3" s="1283"/>
      <c r="F3" s="1286"/>
      <c r="G3" s="1287" t="s">
        <v>185</v>
      </c>
      <c r="H3" s="1288"/>
      <c r="I3" s="1288"/>
      <c r="J3" s="1288"/>
      <c r="K3" s="1288"/>
      <c r="L3" s="1288"/>
      <c r="M3" s="1288"/>
      <c r="N3" s="1288"/>
      <c r="O3" s="1288"/>
      <c r="P3" s="1288"/>
      <c r="Q3" s="1288"/>
      <c r="R3" s="1288"/>
      <c r="S3" s="1288"/>
      <c r="T3" s="1288"/>
      <c r="U3" s="1288"/>
      <c r="V3" s="1288"/>
      <c r="W3" s="1288"/>
      <c r="X3" s="1288"/>
      <c r="Y3" s="1288"/>
      <c r="Z3" s="1288"/>
      <c r="AA3" s="1288"/>
      <c r="AB3" s="1288"/>
      <c r="AC3" s="1288"/>
      <c r="AD3" s="1288"/>
      <c r="AE3" s="1289"/>
      <c r="AF3" s="33"/>
    </row>
    <row r="4" spans="1:32" ht="27" customHeight="1" thickBot="1">
      <c r="C4" s="370"/>
      <c r="D4" s="872"/>
      <c r="E4" s="315"/>
      <c r="F4" s="1295"/>
      <c r="G4" s="1291" t="s">
        <v>238</v>
      </c>
      <c r="H4" s="1292"/>
      <c r="I4" s="1292"/>
      <c r="J4" s="1292"/>
      <c r="K4" s="1292"/>
      <c r="L4" s="1292"/>
      <c r="M4" s="1292"/>
      <c r="N4" s="1292"/>
      <c r="O4" s="1292"/>
      <c r="P4" s="1292"/>
      <c r="Q4" s="1292"/>
      <c r="R4" s="1293"/>
      <c r="S4" s="1292" t="s">
        <v>237</v>
      </c>
      <c r="T4" s="1292"/>
      <c r="U4" s="1292"/>
      <c r="V4" s="1292"/>
      <c r="W4" s="1292"/>
      <c r="X4" s="1292"/>
      <c r="Y4" s="1292"/>
      <c r="Z4" s="1292"/>
      <c r="AA4" s="1292"/>
      <c r="AB4" s="1292"/>
      <c r="AC4" s="1292"/>
      <c r="AD4" s="1292"/>
      <c r="AE4" s="1294"/>
      <c r="AF4" s="33"/>
    </row>
    <row r="5" spans="1:32" customFormat="1" ht="45.75" customHeight="1" thickBot="1">
      <c r="A5" s="39"/>
      <c r="B5" s="39"/>
      <c r="C5" s="369" t="s">
        <v>259</v>
      </c>
      <c r="D5" s="1290" t="s">
        <v>40</v>
      </c>
      <c r="E5" s="1290"/>
      <c r="F5" s="171" t="s">
        <v>192</v>
      </c>
      <c r="G5" s="269" t="s">
        <v>181</v>
      </c>
      <c r="H5" s="172" t="s">
        <v>180</v>
      </c>
      <c r="I5" s="252" t="s">
        <v>43</v>
      </c>
      <c r="J5" s="271" t="s">
        <v>204</v>
      </c>
      <c r="K5" s="266" t="s">
        <v>840</v>
      </c>
      <c r="L5" s="27" t="s">
        <v>176</v>
      </c>
      <c r="M5" s="37" t="s">
        <v>217</v>
      </c>
      <c r="N5" s="772" t="s">
        <v>841</v>
      </c>
      <c r="O5" s="772" t="s">
        <v>839</v>
      </c>
      <c r="P5" s="395" t="s">
        <v>262</v>
      </c>
      <c r="Q5" s="143" t="s">
        <v>175</v>
      </c>
      <c r="R5" s="265" t="s">
        <v>68</v>
      </c>
      <c r="S5" s="270" t="s">
        <v>182</v>
      </c>
      <c r="T5" s="252" t="s">
        <v>180</v>
      </c>
      <c r="U5" s="397" t="s">
        <v>43</v>
      </c>
      <c r="V5" s="271" t="s">
        <v>204</v>
      </c>
      <c r="W5" s="266" t="s">
        <v>840</v>
      </c>
      <c r="X5" s="36" t="s">
        <v>176</v>
      </c>
      <c r="Y5" s="37" t="s">
        <v>321</v>
      </c>
      <c r="Z5" s="37" t="s">
        <v>217</v>
      </c>
      <c r="AA5" s="772" t="s">
        <v>841</v>
      </c>
      <c r="AB5" s="772" t="s">
        <v>839</v>
      </c>
      <c r="AC5" s="395" t="s">
        <v>262</v>
      </c>
      <c r="AD5" s="143" t="s">
        <v>175</v>
      </c>
      <c r="AE5" s="283" t="s">
        <v>68</v>
      </c>
      <c r="AF5" s="38"/>
    </row>
    <row r="6" spans="1:32" customFormat="1" ht="25" customHeight="1">
      <c r="C6" s="1285" t="s">
        <v>22</v>
      </c>
      <c r="D6" s="873" t="s">
        <v>22</v>
      </c>
      <c r="E6" s="419" t="s">
        <v>54</v>
      </c>
      <c r="F6" s="51" t="s">
        <v>29</v>
      </c>
      <c r="G6" s="48"/>
      <c r="H6" s="56"/>
      <c r="I6" s="163">
        <f>H6*G6</f>
        <v>0</v>
      </c>
      <c r="J6" s="194"/>
      <c r="K6" s="83"/>
      <c r="L6" s="81">
        <f>MIN(G6,K6)*56</f>
        <v>0</v>
      </c>
      <c r="M6" s="81"/>
      <c r="N6" s="81"/>
      <c r="O6" s="81"/>
      <c r="P6" s="81"/>
      <c r="Q6" s="57"/>
      <c r="R6" s="161"/>
      <c r="S6" s="887">
        <f>649+50+50</f>
        <v>749</v>
      </c>
      <c r="T6" s="402">
        <v>60</v>
      </c>
      <c r="U6" s="398">
        <f>T6*S6</f>
        <v>44940</v>
      </c>
      <c r="V6" s="194"/>
      <c r="W6" s="81"/>
      <c r="X6" s="65">
        <f>MIN(S6,W6)*57</f>
        <v>42693</v>
      </c>
      <c r="Y6" s="47">
        <f>ROUNDDOWN((MIN(S6,W6)*0.5),0)</f>
        <v>374</v>
      </c>
      <c r="Z6" s="47"/>
      <c r="AA6" s="225"/>
      <c r="AB6" s="225"/>
      <c r="AC6" s="123"/>
      <c r="AD6" s="147">
        <f>X6+(Y6*3)</f>
        <v>43815</v>
      </c>
      <c r="AE6" s="153">
        <f t="shared" ref="AE6:AE7" si="0">U6-AD6</f>
        <v>1125</v>
      </c>
      <c r="AF6" s="34"/>
    </row>
    <row r="7" spans="1:32" customFormat="1" ht="25" customHeight="1" thickBot="1">
      <c r="C7" s="1277"/>
      <c r="D7" s="411"/>
      <c r="E7" s="421" t="s">
        <v>162</v>
      </c>
      <c r="F7" s="58" t="s">
        <v>28</v>
      </c>
      <c r="G7" s="59"/>
      <c r="H7" s="109"/>
      <c r="I7" s="229">
        <f>H7*G7</f>
        <v>0</v>
      </c>
      <c r="J7" s="207"/>
      <c r="K7" s="84"/>
      <c r="L7" s="224">
        <f>MIN(G7,K7)*56</f>
        <v>0</v>
      </c>
      <c r="M7" s="224"/>
      <c r="N7" s="224"/>
      <c r="O7" s="224"/>
      <c r="P7" s="224"/>
      <c r="Q7" s="110"/>
      <c r="R7" s="162"/>
      <c r="S7" s="761">
        <f>499+50</f>
        <v>549</v>
      </c>
      <c r="T7" s="403">
        <v>60</v>
      </c>
      <c r="U7" s="399">
        <f>T7*S7</f>
        <v>32940</v>
      </c>
      <c r="V7" s="207"/>
      <c r="W7" s="224"/>
      <c r="X7" s="84">
        <f>MIN(S7,W7)*60</f>
        <v>32940</v>
      </c>
      <c r="Y7" s="224"/>
      <c r="Z7" s="223"/>
      <c r="AA7" s="223"/>
      <c r="AB7" s="223"/>
      <c r="AC7" s="396"/>
      <c r="AD7" s="278">
        <f>X7+(AB7*60)</f>
        <v>32940</v>
      </c>
      <c r="AE7" s="152">
        <f t="shared" si="0"/>
        <v>0</v>
      </c>
      <c r="AF7" s="34"/>
    </row>
    <row r="8" spans="1:32" customFormat="1" ht="25" customHeight="1">
      <c r="C8" s="1285" t="s">
        <v>24</v>
      </c>
      <c r="D8" s="873" t="s">
        <v>227</v>
      </c>
      <c r="E8" s="419" t="s">
        <v>97</v>
      </c>
      <c r="F8" s="62" t="s">
        <v>28</v>
      </c>
      <c r="G8" s="621">
        <f>549-100</f>
        <v>449</v>
      </c>
      <c r="H8" s="140">
        <v>60</v>
      </c>
      <c r="I8" s="272">
        <f t="shared" ref="I8:I13" si="1">H8*G8</f>
        <v>26940</v>
      </c>
      <c r="J8" s="194"/>
      <c r="K8" s="225"/>
      <c r="L8" s="81">
        <f>MIN(G8,K8)*54</f>
        <v>24246</v>
      </c>
      <c r="M8" s="52">
        <f>ROUNDDOWN(MIN(G8,K8)*0.5,0)</f>
        <v>224</v>
      </c>
      <c r="N8" s="52"/>
      <c r="O8" s="52"/>
      <c r="P8" s="52"/>
      <c r="Q8" s="277">
        <f>L8+(M8*6)</f>
        <v>25590</v>
      </c>
      <c r="R8" s="121">
        <f t="shared" ref="R8:R17" si="2">I8-Q8</f>
        <v>1350</v>
      </c>
      <c r="S8" s="894">
        <f>499-100</f>
        <v>399</v>
      </c>
      <c r="T8" s="402">
        <v>60</v>
      </c>
      <c r="U8" s="398">
        <f t="shared" ref="U8:U13" si="3">T8*S8</f>
        <v>23940</v>
      </c>
      <c r="V8" s="194"/>
      <c r="W8" s="81"/>
      <c r="X8" s="83">
        <f t="shared" ref="X8:X9" si="4">MIN(S8,W8)*54</f>
        <v>21546</v>
      </c>
      <c r="Y8" s="81"/>
      <c r="Z8" s="52">
        <f t="shared" ref="Z8:Z9" si="5">ROUNDDOWN((MIN(S8,W8)*0.5),0)</f>
        <v>199</v>
      </c>
      <c r="AA8" s="52"/>
      <c r="AB8" s="52"/>
      <c r="AC8" s="386"/>
      <c r="AD8" s="144">
        <f t="shared" ref="AD8:AD9" si="6">X8+(Z8*6)</f>
        <v>22740</v>
      </c>
      <c r="AE8" s="153">
        <f t="shared" ref="AE8:AE13" si="7">U8-AD8</f>
        <v>1200</v>
      </c>
      <c r="AF8" s="34"/>
    </row>
    <row r="9" spans="1:32" customFormat="1" ht="25" customHeight="1">
      <c r="C9" s="1276"/>
      <c r="D9" s="410"/>
      <c r="E9" s="1097" t="s">
        <v>97</v>
      </c>
      <c r="F9" s="500" t="s">
        <v>174</v>
      </c>
      <c r="G9" s="888">
        <f>599-100</f>
        <v>499</v>
      </c>
      <c r="H9" s="501">
        <v>60</v>
      </c>
      <c r="I9" s="502">
        <f t="shared" si="1"/>
        <v>29940</v>
      </c>
      <c r="J9" s="503"/>
      <c r="K9" s="510"/>
      <c r="L9" s="506">
        <f t="shared" ref="L9" si="8">MIN(G9,K9)*54</f>
        <v>26946</v>
      </c>
      <c r="M9" s="507">
        <f t="shared" ref="M9" si="9">ROUNDDOWN(MIN(G9,K9)*0.5,0)</f>
        <v>249</v>
      </c>
      <c r="N9" s="507"/>
      <c r="O9" s="507"/>
      <c r="P9" s="507"/>
      <c r="Q9" s="508">
        <f>L9+(M9*6)</f>
        <v>28440</v>
      </c>
      <c r="R9" s="509">
        <f t="shared" si="2"/>
        <v>1500</v>
      </c>
      <c r="S9" s="895">
        <f>549-100</f>
        <v>449</v>
      </c>
      <c r="T9" s="504">
        <v>60</v>
      </c>
      <c r="U9" s="505">
        <f t="shared" si="3"/>
        <v>26940</v>
      </c>
      <c r="V9" s="503"/>
      <c r="W9" s="506"/>
      <c r="X9" s="510">
        <f t="shared" si="4"/>
        <v>24246</v>
      </c>
      <c r="Y9" s="506"/>
      <c r="Z9" s="507">
        <f t="shared" si="5"/>
        <v>224</v>
      </c>
      <c r="AA9" s="507"/>
      <c r="AB9" s="507"/>
      <c r="AC9" s="511"/>
      <c r="AD9" s="512">
        <f t="shared" si="6"/>
        <v>25590</v>
      </c>
      <c r="AE9" s="513">
        <f t="shared" si="7"/>
        <v>1350</v>
      </c>
      <c r="AF9" s="34"/>
    </row>
    <row r="10" spans="1:32" customFormat="1" ht="25" customHeight="1">
      <c r="C10" s="1276"/>
      <c r="D10" s="410"/>
      <c r="E10" s="1098" t="s">
        <v>72</v>
      </c>
      <c r="F10" s="191" t="s">
        <v>29</v>
      </c>
      <c r="G10" s="889">
        <f>849-100</f>
        <v>749</v>
      </c>
      <c r="H10" s="200">
        <v>60</v>
      </c>
      <c r="I10" s="273">
        <f t="shared" si="1"/>
        <v>44940</v>
      </c>
      <c r="J10" s="275"/>
      <c r="K10" s="891"/>
      <c r="L10" s="85">
        <f>MIN(G10,K10)*57</f>
        <v>42693</v>
      </c>
      <c r="M10" s="235"/>
      <c r="N10" s="785">
        <v>149</v>
      </c>
      <c r="O10" s="551"/>
      <c r="P10" s="235"/>
      <c r="Q10" s="236">
        <f>L10+(N10*3)</f>
        <v>43140</v>
      </c>
      <c r="R10" s="521">
        <f t="shared" si="2"/>
        <v>1800</v>
      </c>
      <c r="S10" s="896">
        <f>799-100</f>
        <v>699</v>
      </c>
      <c r="T10" s="404">
        <v>60</v>
      </c>
      <c r="U10" s="400">
        <f t="shared" si="3"/>
        <v>41940</v>
      </c>
      <c r="V10" s="275"/>
      <c r="W10" s="85"/>
      <c r="X10" s="522">
        <f>MIN(S10,W10)*57</f>
        <v>39843</v>
      </c>
      <c r="Y10" s="85"/>
      <c r="Z10" s="235"/>
      <c r="AA10" s="773">
        <v>149</v>
      </c>
      <c r="AB10" s="235"/>
      <c r="AC10" s="523"/>
      <c r="AD10" s="279">
        <f>X10+(AA10*3)</f>
        <v>40290</v>
      </c>
      <c r="AE10" s="201">
        <f t="shared" si="7"/>
        <v>1650</v>
      </c>
      <c r="AF10" s="34"/>
    </row>
    <row r="11" spans="1:32" customFormat="1" ht="25" customHeight="1">
      <c r="C11" s="1276"/>
      <c r="D11" s="410"/>
      <c r="E11" s="1099" t="s">
        <v>72</v>
      </c>
      <c r="F11" s="413" t="s">
        <v>174</v>
      </c>
      <c r="G11" s="623">
        <f>899-100</f>
        <v>799</v>
      </c>
      <c r="H11" s="251">
        <v>60</v>
      </c>
      <c r="I11" s="310">
        <f t="shared" si="1"/>
        <v>47940</v>
      </c>
      <c r="J11" s="208"/>
      <c r="K11" s="892"/>
      <c r="L11" s="524">
        <f>MIN(G11,K11)*57</f>
        <v>45543</v>
      </c>
      <c r="M11" s="525"/>
      <c r="N11" s="786">
        <v>149</v>
      </c>
      <c r="O11" s="525"/>
      <c r="P11" s="525"/>
      <c r="Q11" s="526">
        <f>L11+(N11*3)</f>
        <v>45990</v>
      </c>
      <c r="R11" s="527">
        <f t="shared" si="2"/>
        <v>1950</v>
      </c>
      <c r="S11" s="897">
        <f>849-100</f>
        <v>749</v>
      </c>
      <c r="T11" s="514">
        <v>60</v>
      </c>
      <c r="U11" s="515">
        <f t="shared" si="3"/>
        <v>44940</v>
      </c>
      <c r="V11" s="208"/>
      <c r="W11" s="524"/>
      <c r="X11" s="528">
        <f>MIN(S11,W11)*57</f>
        <v>42693</v>
      </c>
      <c r="Y11" s="524"/>
      <c r="Z11" s="525"/>
      <c r="AA11" s="786">
        <v>149</v>
      </c>
      <c r="AB11" s="525"/>
      <c r="AC11" s="529"/>
      <c r="AD11" s="530">
        <f>X11+(AA11*3)</f>
        <v>43140</v>
      </c>
      <c r="AE11" s="531">
        <f t="shared" si="7"/>
        <v>1800</v>
      </c>
      <c r="AF11" s="34"/>
    </row>
    <row r="12" spans="1:32" customFormat="1" ht="25" customHeight="1">
      <c r="C12" s="1276"/>
      <c r="D12" s="410"/>
      <c r="E12" s="1100" t="s">
        <v>73</v>
      </c>
      <c r="F12" s="516" t="s">
        <v>29</v>
      </c>
      <c r="G12" s="890">
        <f>1299-150</f>
        <v>1149</v>
      </c>
      <c r="H12" s="280">
        <v>60</v>
      </c>
      <c r="I12" s="517">
        <f t="shared" si="1"/>
        <v>68940</v>
      </c>
      <c r="J12" s="518"/>
      <c r="K12" s="893"/>
      <c r="L12" s="185">
        <f>MIN(G12,K12)*57</f>
        <v>65493</v>
      </c>
      <c r="M12" s="47"/>
      <c r="N12" s="778">
        <v>149</v>
      </c>
      <c r="O12" s="47"/>
      <c r="P12" s="47"/>
      <c r="Q12" s="132">
        <f>L12+(N12*3)</f>
        <v>65940</v>
      </c>
      <c r="R12" s="120">
        <f t="shared" si="2"/>
        <v>3000</v>
      </c>
      <c r="S12" s="898">
        <f>1249-150</f>
        <v>1099</v>
      </c>
      <c r="T12" s="519">
        <v>60</v>
      </c>
      <c r="U12" s="520">
        <f t="shared" si="3"/>
        <v>65940</v>
      </c>
      <c r="V12" s="518"/>
      <c r="W12" s="82"/>
      <c r="X12" s="65">
        <f>MIN(S12,W12)*57</f>
        <v>62643</v>
      </c>
      <c r="Y12" s="185"/>
      <c r="Z12" s="47"/>
      <c r="AA12" s="778">
        <v>149</v>
      </c>
      <c r="AB12" s="47"/>
      <c r="AC12" s="86"/>
      <c r="AD12" s="147">
        <f>X12+(AA12*3)</f>
        <v>63090</v>
      </c>
      <c r="AE12" s="152">
        <f t="shared" si="7"/>
        <v>2850</v>
      </c>
      <c r="AF12" s="34"/>
    </row>
    <row r="13" spans="1:32" customFormat="1" ht="25" customHeight="1">
      <c r="C13" s="1276"/>
      <c r="D13" s="410"/>
      <c r="E13" s="420" t="s">
        <v>73</v>
      </c>
      <c r="F13" s="382" t="s">
        <v>174</v>
      </c>
      <c r="G13" s="758">
        <f>1349-150</f>
        <v>1199</v>
      </c>
      <c r="H13" s="141">
        <v>60</v>
      </c>
      <c r="I13" s="274">
        <f t="shared" si="1"/>
        <v>71940</v>
      </c>
      <c r="J13" s="205"/>
      <c r="K13" s="65"/>
      <c r="L13" s="506">
        <f>MIN(G13,K13)*57</f>
        <v>68343</v>
      </c>
      <c r="M13" s="507"/>
      <c r="N13" s="787">
        <v>149</v>
      </c>
      <c r="O13" s="507"/>
      <c r="P13" s="507"/>
      <c r="Q13" s="508">
        <f>L13+(N13*3)</f>
        <v>68790</v>
      </c>
      <c r="R13" s="509">
        <f t="shared" si="2"/>
        <v>3150</v>
      </c>
      <c r="S13" s="899">
        <f>1299-150</f>
        <v>1149</v>
      </c>
      <c r="T13" s="405">
        <v>60</v>
      </c>
      <c r="U13" s="401">
        <f t="shared" si="3"/>
        <v>68940</v>
      </c>
      <c r="V13" s="205"/>
      <c r="W13" s="185"/>
      <c r="X13" s="510">
        <f>MIN(S13,W13)*57</f>
        <v>65493</v>
      </c>
      <c r="Y13" s="506"/>
      <c r="Z13" s="507"/>
      <c r="AA13" s="787">
        <v>149</v>
      </c>
      <c r="AB13" s="507"/>
      <c r="AC13" s="511"/>
      <c r="AD13" s="512">
        <f>X13+(AA13*3)</f>
        <v>65940</v>
      </c>
      <c r="AE13" s="513">
        <f t="shared" si="7"/>
        <v>3000</v>
      </c>
      <c r="AF13" s="34"/>
    </row>
    <row r="14" spans="1:32" customFormat="1" ht="25" customHeight="1">
      <c r="C14" s="552"/>
      <c r="D14" s="410"/>
      <c r="E14" s="1096" t="s">
        <v>337</v>
      </c>
      <c r="F14" s="1076" t="s">
        <v>51</v>
      </c>
      <c r="G14" s="1077">
        <v>599</v>
      </c>
      <c r="H14" s="779">
        <v>60</v>
      </c>
      <c r="I14" s="640">
        <f t="shared" ref="I14:I15" si="10">H14*G14</f>
        <v>35940</v>
      </c>
      <c r="J14" s="641"/>
      <c r="K14" s="642"/>
      <c r="L14" s="85">
        <f>MIN(G14,K14)*54</f>
        <v>32346</v>
      </c>
      <c r="M14" s="235">
        <f>ROUNDDOWN(G14*0.5,0)</f>
        <v>299</v>
      </c>
      <c r="N14" s="235"/>
      <c r="O14" s="235"/>
      <c r="P14" s="235"/>
      <c r="Q14" s="236">
        <f>L14+(M14*6)</f>
        <v>34140</v>
      </c>
      <c r="R14" s="521">
        <f t="shared" si="2"/>
        <v>1800</v>
      </c>
      <c r="S14" s="1078">
        <v>549</v>
      </c>
      <c r="T14" s="1079">
        <v>60</v>
      </c>
      <c r="U14" s="643">
        <f>S14*60</f>
        <v>32940</v>
      </c>
      <c r="V14" s="641"/>
      <c r="W14" s="85"/>
      <c r="X14" s="522">
        <f>S14*54</f>
        <v>29646</v>
      </c>
      <c r="Y14" s="85"/>
      <c r="Z14" s="235">
        <f>ROUNDDOWN(S14*0.5,0)</f>
        <v>274</v>
      </c>
      <c r="AA14" s="235"/>
      <c r="AB14" s="235"/>
      <c r="AC14" s="523"/>
      <c r="AD14" s="279">
        <f>X14+(Z14*6)</f>
        <v>31290</v>
      </c>
      <c r="AE14" s="201">
        <f t="shared" ref="AE14:AE15" si="11">U14-AD14</f>
        <v>1650</v>
      </c>
      <c r="AF14" s="34"/>
    </row>
    <row r="15" spans="1:32" customFormat="1" ht="25" customHeight="1" thickBot="1">
      <c r="C15" s="552"/>
      <c r="D15" s="875" t="s">
        <v>797</v>
      </c>
      <c r="E15" s="1095" t="s">
        <v>173</v>
      </c>
      <c r="F15" s="424" t="s">
        <v>174</v>
      </c>
      <c r="G15" s="900">
        <f>349-50-50</f>
        <v>249</v>
      </c>
      <c r="H15" s="425">
        <v>60</v>
      </c>
      <c r="I15" s="426">
        <f t="shared" si="10"/>
        <v>14940</v>
      </c>
      <c r="J15" s="427"/>
      <c r="K15" s="556"/>
      <c r="L15" s="429">
        <f>MIN(G15,K15)*60</f>
        <v>14940</v>
      </c>
      <c r="M15" s="430"/>
      <c r="N15" s="430"/>
      <c r="O15" s="430"/>
      <c r="P15" s="430"/>
      <c r="Q15" s="431">
        <f>L15+(O15*60)</f>
        <v>14940</v>
      </c>
      <c r="R15" s="548">
        <f t="shared" ref="R15" si="12">I15-Q15</f>
        <v>0</v>
      </c>
      <c r="S15" s="1083">
        <f>299-50-50</f>
        <v>199</v>
      </c>
      <c r="T15" s="432">
        <v>60</v>
      </c>
      <c r="U15" s="433">
        <f t="shared" ref="U15" si="13">T15*S15</f>
        <v>11940</v>
      </c>
      <c r="V15" s="427"/>
      <c r="W15" s="1084"/>
      <c r="X15" s="428">
        <f>MIN(S15,W15)*60</f>
        <v>11940</v>
      </c>
      <c r="Y15" s="429"/>
      <c r="Z15" s="430"/>
      <c r="AA15" s="430"/>
      <c r="AB15" s="430"/>
      <c r="AC15" s="434"/>
      <c r="AD15" s="435">
        <f>X15+(AB15*60)</f>
        <v>11940</v>
      </c>
      <c r="AE15" s="554">
        <f t="shared" si="11"/>
        <v>0</v>
      </c>
      <c r="AF15" s="34"/>
    </row>
    <row r="16" spans="1:32" customFormat="1" ht="24" customHeight="1">
      <c r="C16" s="1265" t="s">
        <v>190</v>
      </c>
      <c r="D16" s="165"/>
      <c r="E16" s="423" t="s">
        <v>322</v>
      </c>
      <c r="F16" s="1080" t="s">
        <v>51</v>
      </c>
      <c r="G16" s="1081">
        <v>599</v>
      </c>
      <c r="H16" s="141">
        <v>60</v>
      </c>
      <c r="I16" s="274">
        <f t="shared" ref="I16:I17" si="14">H16*G16</f>
        <v>35940</v>
      </c>
      <c r="J16" s="205"/>
      <c r="K16" s="63"/>
      <c r="L16" s="185">
        <f>MIN(G16,K16)*54</f>
        <v>32346</v>
      </c>
      <c r="M16" s="47"/>
      <c r="N16" s="47"/>
      <c r="O16" s="885">
        <v>149</v>
      </c>
      <c r="P16" s="47"/>
      <c r="Q16" s="132">
        <f>L16+(O16*6)</f>
        <v>33240</v>
      </c>
      <c r="R16" s="120">
        <f t="shared" si="2"/>
        <v>2700</v>
      </c>
      <c r="S16" s="1082">
        <v>549</v>
      </c>
      <c r="T16" s="405">
        <v>60</v>
      </c>
      <c r="U16" s="401">
        <f t="shared" ref="U16:U17" si="15">S16*60</f>
        <v>32940</v>
      </c>
      <c r="V16" s="205"/>
      <c r="W16" s="185"/>
      <c r="X16" s="65">
        <f>S16*54</f>
        <v>29646</v>
      </c>
      <c r="Y16" s="185"/>
      <c r="Z16" s="47"/>
      <c r="AA16" s="47"/>
      <c r="AB16" s="885">
        <v>149</v>
      </c>
      <c r="AC16" s="86"/>
      <c r="AD16" s="147">
        <f>X16+(AB16*6)</f>
        <v>30540</v>
      </c>
      <c r="AE16" s="152">
        <f t="shared" ref="AE16:AE17" si="16">U16-AD16</f>
        <v>2400</v>
      </c>
      <c r="AF16" s="771"/>
    </row>
    <row r="17" spans="3:32" customFormat="1" ht="24" customHeight="1" thickBot="1">
      <c r="C17" s="1266"/>
      <c r="D17" s="875" t="s">
        <v>797</v>
      </c>
      <c r="E17" s="1095" t="s">
        <v>372</v>
      </c>
      <c r="F17" s="553" t="s">
        <v>51</v>
      </c>
      <c r="G17" s="900">
        <f>549-100</f>
        <v>449</v>
      </c>
      <c r="H17" s="425">
        <v>60</v>
      </c>
      <c r="I17" s="426">
        <f t="shared" si="14"/>
        <v>26940</v>
      </c>
      <c r="J17" s="427"/>
      <c r="K17" s="556"/>
      <c r="L17" s="429">
        <f>MIN(G17,K17)*60</f>
        <v>26940</v>
      </c>
      <c r="M17" s="430"/>
      <c r="N17" s="430"/>
      <c r="O17" s="430"/>
      <c r="P17" s="430"/>
      <c r="Q17" s="431">
        <f>L17+(O17*6)</f>
        <v>26940</v>
      </c>
      <c r="R17" s="548">
        <f t="shared" si="2"/>
        <v>0</v>
      </c>
      <c r="S17" s="901">
        <f>499-100</f>
        <v>399</v>
      </c>
      <c r="T17" s="432">
        <v>60</v>
      </c>
      <c r="U17" s="426">
        <f t="shared" si="15"/>
        <v>23940</v>
      </c>
      <c r="V17" s="427"/>
      <c r="W17" s="429"/>
      <c r="X17" s="428">
        <f>S17*60</f>
        <v>23940</v>
      </c>
      <c r="Y17" s="429"/>
      <c r="Z17" s="430"/>
      <c r="AA17" s="430"/>
      <c r="AB17" s="430"/>
      <c r="AC17" s="434"/>
      <c r="AD17" s="435">
        <f>X17+(AB17*6)</f>
        <v>23940</v>
      </c>
      <c r="AE17" s="554">
        <f t="shared" si="16"/>
        <v>0</v>
      </c>
      <c r="AF17" s="40"/>
    </row>
    <row r="18" spans="3:32" customFormat="1" ht="21.75" customHeight="1">
      <c r="C18" s="90"/>
      <c r="D18" s="874"/>
      <c r="E18" s="66"/>
      <c r="F18" s="68"/>
      <c r="G18" s="66"/>
      <c r="H18" s="70"/>
      <c r="I18" s="74"/>
      <c r="J18" s="74"/>
      <c r="K18" s="40"/>
      <c r="L18" s="40"/>
      <c r="M18" s="40"/>
      <c r="N18" s="40"/>
      <c r="O18" s="40"/>
      <c r="P18" s="40"/>
      <c r="Q18" s="73"/>
      <c r="R18" s="73"/>
      <c r="S18" s="74"/>
      <c r="T18" s="75"/>
      <c r="U18" s="75"/>
      <c r="V18" s="74"/>
      <c r="W18" s="73"/>
      <c r="X18" s="73"/>
      <c r="Y18" s="73"/>
      <c r="Z18" s="73"/>
      <c r="AA18" s="73"/>
      <c r="AB18" s="73"/>
      <c r="AC18" s="73"/>
      <c r="AD18" s="73"/>
      <c r="AE18" s="73"/>
      <c r="AF18" s="40"/>
    </row>
    <row r="19" spans="3:32" customFormat="1" ht="16" customHeight="1">
      <c r="C19" s="90"/>
      <c r="D19" s="39"/>
      <c r="F19" s="39"/>
      <c r="H19" s="43"/>
      <c r="I19" s="90"/>
      <c r="J19" s="90"/>
      <c r="K19" s="40"/>
      <c r="L19" s="40"/>
      <c r="M19" s="40"/>
      <c r="N19" s="40"/>
      <c r="O19" s="40"/>
      <c r="P19" s="40"/>
      <c r="Q19" s="40"/>
      <c r="R19" s="73"/>
      <c r="T19" s="148"/>
      <c r="U19" s="43"/>
      <c r="V19" s="90"/>
      <c r="W19" s="40"/>
      <c r="X19" s="40"/>
      <c r="Y19" s="40"/>
      <c r="Z19" s="40"/>
      <c r="AA19" s="40"/>
      <c r="AB19" s="40"/>
      <c r="AC19" s="40"/>
      <c r="AD19" s="40"/>
      <c r="AE19" s="73"/>
      <c r="AF19" s="40"/>
    </row>
    <row r="20" spans="3:32" customFormat="1" ht="16" customHeight="1">
      <c r="C20" s="90"/>
      <c r="D20" s="39"/>
      <c r="F20" s="39"/>
      <c r="H20" s="43"/>
      <c r="I20" s="90"/>
      <c r="J20" s="90"/>
      <c r="K20" s="40"/>
      <c r="L20" s="40"/>
      <c r="M20" s="40"/>
      <c r="N20" s="40"/>
      <c r="O20" s="40"/>
      <c r="P20" s="40"/>
      <c r="Q20" s="40"/>
      <c r="R20" s="73"/>
      <c r="T20" s="148"/>
      <c r="U20" s="43"/>
      <c r="V20" s="90"/>
      <c r="W20" s="40"/>
      <c r="X20" s="40"/>
      <c r="Y20" s="40"/>
      <c r="Z20" s="40"/>
      <c r="AA20" s="40"/>
      <c r="AB20" s="40"/>
      <c r="AC20" s="40"/>
      <c r="AD20" s="40"/>
      <c r="AE20" s="145"/>
      <c r="AF20" s="40"/>
    </row>
    <row r="21" spans="3:32" customFormat="1" ht="16" customHeight="1">
      <c r="C21" s="90"/>
      <c r="D21" s="39"/>
      <c r="F21" s="39"/>
      <c r="H21" s="43"/>
      <c r="I21" s="90"/>
      <c r="J21" s="90"/>
      <c r="K21" s="40"/>
      <c r="L21" s="40"/>
      <c r="M21" s="40"/>
      <c r="N21" s="40"/>
      <c r="O21" s="40"/>
      <c r="P21" s="40"/>
      <c r="Q21" s="40"/>
      <c r="R21" s="73"/>
      <c r="T21" s="148"/>
      <c r="U21" s="43"/>
      <c r="V21" s="90"/>
      <c r="W21" s="40"/>
      <c r="X21" s="40"/>
      <c r="Y21" s="40"/>
      <c r="Z21" s="40"/>
      <c r="AA21" s="40"/>
      <c r="AB21" s="40"/>
      <c r="AC21" s="40"/>
      <c r="AD21" s="40"/>
      <c r="AE21" s="73"/>
      <c r="AF21" s="40"/>
    </row>
    <row r="22" spans="3:32" customFormat="1" ht="16" customHeight="1">
      <c r="C22" s="90"/>
      <c r="D22" s="39"/>
      <c r="F22" s="39"/>
      <c r="H22" s="43"/>
      <c r="I22" s="90"/>
      <c r="J22" s="90"/>
      <c r="K22" s="40"/>
      <c r="L22" s="40"/>
      <c r="M22" s="40"/>
      <c r="N22" s="40"/>
      <c r="O22" s="40"/>
      <c r="P22" s="40"/>
      <c r="Q22" s="40"/>
      <c r="R22" s="73"/>
      <c r="T22" s="148"/>
      <c r="U22" s="43"/>
      <c r="V22" s="90"/>
      <c r="W22" s="40"/>
      <c r="X22" s="40"/>
      <c r="Y22" s="40"/>
      <c r="Z22" s="40"/>
      <c r="AA22" s="40"/>
      <c r="AB22" s="40"/>
      <c r="AC22" s="40"/>
      <c r="AD22" s="40"/>
      <c r="AE22" s="73"/>
      <c r="AF22" s="40"/>
    </row>
    <row r="23" spans="3:32" customFormat="1" ht="16" customHeight="1">
      <c r="C23" s="90"/>
      <c r="D23" s="39"/>
      <c r="F23" s="39"/>
      <c r="H23" s="43"/>
      <c r="I23" s="90"/>
      <c r="J23" s="90"/>
      <c r="K23" s="40"/>
      <c r="L23" s="40"/>
      <c r="M23" s="40"/>
      <c r="N23" s="40"/>
      <c r="O23" s="40"/>
      <c r="P23" s="40"/>
      <c r="Q23" s="40"/>
      <c r="R23" s="73"/>
      <c r="T23" s="148"/>
      <c r="U23" s="43"/>
      <c r="V23" s="90"/>
      <c r="W23" s="40"/>
      <c r="X23" s="40"/>
      <c r="Y23" s="40"/>
      <c r="Z23" s="40"/>
      <c r="AA23" s="40"/>
      <c r="AB23" s="40"/>
      <c r="AC23" s="40"/>
      <c r="AD23" s="40"/>
      <c r="AE23" s="73"/>
      <c r="AF23" s="40"/>
    </row>
    <row r="24" spans="3:32" customFormat="1" ht="16" customHeight="1">
      <c r="C24" s="90"/>
      <c r="D24" s="39"/>
      <c r="F24" s="39"/>
      <c r="H24" s="43"/>
      <c r="I24" s="90"/>
      <c r="J24" s="90"/>
      <c r="K24" s="40"/>
      <c r="L24" s="40"/>
      <c r="M24" s="40"/>
      <c r="N24" s="40"/>
      <c r="O24" s="40"/>
      <c r="P24" s="40"/>
      <c r="Q24" s="40"/>
      <c r="R24" s="73"/>
      <c r="T24" s="148"/>
      <c r="U24" s="43"/>
      <c r="V24" s="90"/>
      <c r="W24" s="40"/>
      <c r="X24" s="40"/>
      <c r="Y24" s="40"/>
      <c r="Z24" s="40"/>
      <c r="AA24" s="40"/>
      <c r="AB24" s="40"/>
      <c r="AC24" s="40"/>
      <c r="AD24" s="40"/>
      <c r="AE24" s="73"/>
      <c r="AF24" s="40"/>
    </row>
    <row r="25" spans="3:32" customFormat="1" ht="16" customHeight="1">
      <c r="C25" s="90"/>
      <c r="D25" s="39"/>
      <c r="F25" s="39"/>
      <c r="H25" s="43"/>
      <c r="I25" s="90"/>
      <c r="J25" s="90"/>
      <c r="K25" s="40"/>
      <c r="L25" s="40"/>
      <c r="M25" s="40"/>
      <c r="N25" s="40"/>
      <c r="O25" s="40"/>
      <c r="P25" s="40"/>
      <c r="Q25" s="40"/>
      <c r="R25" s="73"/>
      <c r="T25" s="148"/>
      <c r="U25" s="43"/>
      <c r="V25" s="90"/>
      <c r="W25" s="40"/>
      <c r="X25" s="40"/>
      <c r="Y25" s="40"/>
      <c r="Z25" s="40"/>
      <c r="AA25" s="40"/>
      <c r="AB25" s="40"/>
      <c r="AC25" s="40"/>
      <c r="AD25" s="40"/>
      <c r="AE25" s="73"/>
      <c r="AF25" s="40"/>
    </row>
    <row r="26" spans="3:32" customFormat="1" ht="16" customHeight="1">
      <c r="C26" s="90"/>
      <c r="D26" s="39"/>
      <c r="F26" s="39"/>
      <c r="H26" s="43"/>
      <c r="I26" s="90"/>
      <c r="J26" s="90"/>
      <c r="K26" s="40"/>
      <c r="L26" s="40"/>
      <c r="M26" s="40"/>
      <c r="N26" s="40"/>
      <c r="O26" s="40"/>
      <c r="P26" s="40"/>
      <c r="Q26" s="40"/>
      <c r="R26" s="73"/>
      <c r="T26" s="148"/>
      <c r="U26" s="43"/>
      <c r="V26" s="90"/>
      <c r="W26" s="40"/>
      <c r="X26" s="40"/>
      <c r="Y26" s="40"/>
      <c r="Z26" s="40"/>
      <c r="AA26" s="40"/>
      <c r="AB26" s="40"/>
      <c r="AC26" s="40"/>
      <c r="AD26" s="40"/>
      <c r="AE26" s="73"/>
      <c r="AF26" s="40"/>
    </row>
    <row r="27" spans="3:32" customFormat="1" ht="16" customHeight="1">
      <c r="C27" s="90"/>
      <c r="D27" s="39"/>
      <c r="F27" s="39"/>
      <c r="H27" s="43"/>
      <c r="I27" s="90"/>
      <c r="J27" s="90"/>
      <c r="K27" s="40"/>
      <c r="L27" s="40"/>
      <c r="M27" s="40"/>
      <c r="N27" s="40"/>
      <c r="O27" s="40"/>
      <c r="P27" s="40"/>
      <c r="Q27" s="40"/>
      <c r="R27" s="73"/>
      <c r="T27" s="148"/>
      <c r="U27" s="43"/>
      <c r="V27" s="90"/>
      <c r="W27" s="40"/>
      <c r="X27" s="40"/>
      <c r="Y27" s="40"/>
      <c r="Z27" s="40"/>
      <c r="AA27" s="40"/>
      <c r="AB27" s="40"/>
      <c r="AC27" s="40"/>
      <c r="AD27" s="40"/>
      <c r="AE27" s="73"/>
      <c r="AF27" s="40"/>
    </row>
    <row r="28" spans="3:32" customFormat="1" ht="16" customHeight="1">
      <c r="C28" s="90"/>
      <c r="D28" s="39"/>
      <c r="F28" s="39"/>
      <c r="H28" s="43"/>
      <c r="I28" s="90"/>
      <c r="J28" s="90"/>
      <c r="K28" s="40"/>
      <c r="L28" s="40"/>
      <c r="M28" s="40"/>
      <c r="N28" s="40"/>
      <c r="O28" s="40"/>
      <c r="P28" s="40"/>
      <c r="Q28" s="40"/>
      <c r="R28" s="73"/>
      <c r="T28" s="148"/>
      <c r="U28" s="43"/>
      <c r="V28" s="90"/>
      <c r="W28" s="40"/>
      <c r="X28" s="40"/>
      <c r="Y28" s="40"/>
      <c r="Z28" s="40"/>
      <c r="AA28" s="40"/>
      <c r="AB28" s="40"/>
      <c r="AC28" s="40"/>
      <c r="AD28" s="40"/>
      <c r="AE28" s="73"/>
      <c r="AF28" s="40"/>
    </row>
    <row r="29" spans="3:32" customFormat="1" ht="16" customHeight="1">
      <c r="C29" s="90"/>
      <c r="D29" s="39"/>
      <c r="F29" s="39"/>
      <c r="H29" s="43"/>
      <c r="I29" s="90"/>
      <c r="J29" s="90"/>
      <c r="K29" s="40"/>
      <c r="L29" s="40"/>
      <c r="M29" s="40"/>
      <c r="N29" s="40"/>
      <c r="O29" s="40"/>
      <c r="P29" s="40"/>
      <c r="Q29" s="40"/>
      <c r="R29" s="73"/>
      <c r="T29" s="148"/>
      <c r="U29" s="43"/>
      <c r="V29" s="90"/>
      <c r="W29" s="40"/>
      <c r="X29" s="40"/>
      <c r="Y29" s="40"/>
      <c r="Z29" s="40"/>
      <c r="AA29" s="40"/>
      <c r="AB29" s="40"/>
      <c r="AC29" s="40"/>
      <c r="AD29" s="40"/>
      <c r="AE29" s="73"/>
      <c r="AF29" s="40"/>
    </row>
    <row r="30" spans="3:32" customFormat="1" ht="16" customHeight="1">
      <c r="C30" s="90"/>
      <c r="D30" s="39"/>
      <c r="F30" s="39"/>
      <c r="H30" s="43"/>
      <c r="I30" s="90"/>
      <c r="J30" s="90"/>
      <c r="K30" s="40"/>
      <c r="L30" s="40"/>
      <c r="M30" s="40"/>
      <c r="N30" s="40"/>
      <c r="O30" s="40"/>
      <c r="P30" s="40"/>
      <c r="Q30" s="40"/>
      <c r="R30" s="73"/>
      <c r="T30" s="148"/>
      <c r="U30" s="43"/>
      <c r="V30" s="90"/>
      <c r="W30" s="40"/>
      <c r="X30" s="40"/>
      <c r="Y30" s="40"/>
      <c r="Z30" s="40"/>
      <c r="AA30" s="40"/>
      <c r="AB30" s="40"/>
      <c r="AC30" s="40"/>
      <c r="AD30" s="40"/>
      <c r="AE30" s="73"/>
      <c r="AF30" s="40"/>
    </row>
    <row r="31" spans="3:32" customFormat="1" ht="16" customHeight="1">
      <c r="C31" s="90"/>
      <c r="D31" s="39"/>
      <c r="F31" s="39"/>
      <c r="H31" s="43"/>
      <c r="I31" s="90"/>
      <c r="J31" s="90"/>
      <c r="K31" s="40"/>
      <c r="L31" s="40"/>
      <c r="M31" s="40"/>
      <c r="N31" s="40"/>
      <c r="O31" s="40"/>
      <c r="P31" s="40"/>
      <c r="Q31" s="40"/>
      <c r="R31" s="73"/>
      <c r="T31" s="148"/>
      <c r="U31" s="43"/>
      <c r="V31" s="90"/>
      <c r="W31" s="40"/>
      <c r="X31" s="40"/>
      <c r="Y31" s="40"/>
      <c r="Z31" s="40"/>
      <c r="AA31" s="40"/>
      <c r="AB31" s="40"/>
      <c r="AC31" s="40"/>
      <c r="AD31" s="40"/>
      <c r="AE31" s="73"/>
      <c r="AF31" s="40"/>
    </row>
    <row r="32" spans="3:32" customFormat="1" ht="16" customHeight="1">
      <c r="C32" s="90"/>
      <c r="D32" s="39"/>
      <c r="F32" s="39"/>
      <c r="H32" s="43"/>
      <c r="I32" s="90"/>
      <c r="J32" s="90"/>
      <c r="K32" s="40"/>
      <c r="L32" s="40"/>
      <c r="M32" s="40"/>
      <c r="N32" s="40"/>
      <c r="O32" s="40"/>
      <c r="P32" s="40"/>
      <c r="Q32" s="40"/>
      <c r="R32" s="73"/>
      <c r="T32" s="148"/>
      <c r="U32" s="43"/>
      <c r="V32" s="90"/>
      <c r="W32" s="40"/>
      <c r="X32" s="40"/>
      <c r="Y32" s="40"/>
      <c r="Z32" s="40"/>
      <c r="AA32" s="40"/>
      <c r="AB32" s="40"/>
      <c r="AC32" s="40"/>
      <c r="AD32" s="40"/>
      <c r="AE32" s="73"/>
      <c r="AF32" s="40"/>
    </row>
    <row r="33" spans="3:32" customFormat="1" ht="16" customHeight="1">
      <c r="C33" s="90"/>
      <c r="D33" s="39"/>
      <c r="F33" s="39"/>
      <c r="H33" s="43"/>
      <c r="I33" s="90"/>
      <c r="J33" s="90"/>
      <c r="K33" s="40"/>
      <c r="L33" s="40"/>
      <c r="M33" s="40"/>
      <c r="N33" s="40"/>
      <c r="O33" s="40"/>
      <c r="P33" s="40"/>
      <c r="Q33" s="40"/>
      <c r="R33" s="73"/>
      <c r="T33" s="148"/>
      <c r="U33" s="43"/>
      <c r="V33" s="90"/>
      <c r="W33" s="40"/>
      <c r="X33" s="40"/>
      <c r="Y33" s="40"/>
      <c r="Z33" s="40"/>
      <c r="AA33" s="40"/>
      <c r="AB33" s="40"/>
      <c r="AC33" s="40"/>
      <c r="AD33" s="40"/>
      <c r="AE33" s="73"/>
      <c r="AF33" s="40"/>
    </row>
  </sheetData>
  <mergeCells count="10">
    <mergeCell ref="C16:C17"/>
    <mergeCell ref="D2:E3"/>
    <mergeCell ref="G2:AE2"/>
    <mergeCell ref="G3:AE3"/>
    <mergeCell ref="D5:E5"/>
    <mergeCell ref="C6:C7"/>
    <mergeCell ref="G4:R4"/>
    <mergeCell ref="S4:AE4"/>
    <mergeCell ref="C8:C13"/>
    <mergeCell ref="F2:F4"/>
  </mergeCells>
  <printOptions horizontalCentered="1"/>
  <pageMargins left="0.25" right="0.25" top="0.25" bottom="0.25" header="0.3" footer="0.3"/>
  <pageSetup paperSize="8" scale="65" orientation="landscape" r:id="rId1"/>
  <headerFooter>
    <oddHeader xml:space="preserve">&amp;C&amp;"Calibri,Regular"&amp;1&amp;K000000
</oddHead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  <pageSetUpPr fitToPage="1"/>
  </sheetPr>
  <dimension ref="A1:Y42"/>
  <sheetViews>
    <sheetView showGridLines="0" zoomScale="85" zoomScaleNormal="85" workbookViewId="0">
      <pane xSplit="5" ySplit="4" topLeftCell="F9" activePane="bottomRight" state="frozen"/>
      <selection pane="topRight" activeCell="F1" sqref="F1"/>
      <selection pane="bottomLeft" activeCell="A5" sqref="A5"/>
      <selection pane="bottomRight" activeCell="W23" sqref="W23"/>
    </sheetView>
  </sheetViews>
  <sheetFormatPr defaultColWidth="8.81640625" defaultRowHeight="16" customHeight="1"/>
  <cols>
    <col min="1" max="1" width="1.26953125" style="1" customWidth="1"/>
    <col min="2" max="2" width="3" style="1" customWidth="1"/>
    <col min="3" max="3" width="10.26953125" style="91" customWidth="1"/>
    <col min="4" max="4" width="23.1796875" style="2" customWidth="1"/>
    <col min="5" max="5" width="30" style="1" customWidth="1"/>
    <col min="6" max="6" width="29.453125" style="1" hidden="1" customWidth="1"/>
    <col min="7" max="11" width="30.1796875" style="1" hidden="1" customWidth="1"/>
    <col min="12" max="12" width="11.81640625" style="2" customWidth="1"/>
    <col min="13" max="13" width="12.7265625" style="1" customWidth="1"/>
    <col min="14" max="14" width="8.453125" style="149" customWidth="1"/>
    <col min="15" max="15" width="9.81640625" style="91" customWidth="1"/>
    <col min="16" max="16" width="9.81640625" style="91" hidden="1" customWidth="1"/>
    <col min="17" max="17" width="11.7265625" style="5" hidden="1" customWidth="1"/>
    <col min="18" max="18" width="10" style="5" hidden="1" customWidth="1"/>
    <col min="19" max="20" width="10" style="5" customWidth="1"/>
    <col min="21" max="21" width="12.453125" style="5" customWidth="1"/>
    <col min="22" max="22" width="12.453125" style="5" hidden="1" customWidth="1"/>
    <col min="23" max="23" width="12.54296875" style="5" customWidth="1"/>
    <col min="24" max="24" width="12.54296875" style="145" customWidth="1"/>
    <col min="25" max="25" width="11.26953125" style="5" customWidth="1"/>
    <col min="26" max="16384" width="8.81640625" style="1"/>
  </cols>
  <sheetData>
    <row r="1" spans="1:25" ht="23.25" customHeight="1">
      <c r="C1" s="89"/>
      <c r="D1" s="21"/>
      <c r="E1" s="9" t="s">
        <v>871</v>
      </c>
      <c r="F1" s="20"/>
      <c r="G1" s="20"/>
      <c r="H1" s="20"/>
      <c r="I1" s="20"/>
      <c r="J1" s="20"/>
      <c r="K1" s="20"/>
      <c r="L1" s="21"/>
      <c r="M1" s="20"/>
      <c r="N1" s="89"/>
      <c r="O1" s="89"/>
      <c r="P1" s="89"/>
      <c r="Q1" s="25"/>
      <c r="R1" s="25"/>
      <c r="S1" s="25"/>
      <c r="T1" s="25"/>
      <c r="U1" s="26"/>
      <c r="V1" s="26"/>
      <c r="W1" s="26"/>
      <c r="X1" s="160"/>
      <c r="Y1" s="25"/>
    </row>
    <row r="2" spans="1:25" ht="21" customHeight="1">
      <c r="C2" s="367"/>
      <c r="D2" s="1268"/>
      <c r="E2" s="1268"/>
      <c r="F2" s="217"/>
      <c r="G2" s="217"/>
      <c r="H2" s="217"/>
      <c r="I2" s="217"/>
      <c r="J2" s="217"/>
      <c r="K2" s="217"/>
      <c r="L2" s="1267" t="s">
        <v>30</v>
      </c>
      <c r="M2" s="1303" t="s">
        <v>81</v>
      </c>
      <c r="N2" s="1304"/>
      <c r="O2" s="1304"/>
      <c r="P2" s="1304"/>
      <c r="Q2" s="1304"/>
      <c r="R2" s="1304"/>
      <c r="S2" s="1304"/>
      <c r="T2" s="1304"/>
      <c r="U2" s="1304"/>
      <c r="V2" s="1304"/>
      <c r="W2" s="1304"/>
      <c r="X2" s="1305"/>
      <c r="Y2" s="32"/>
    </row>
    <row r="3" spans="1:25" ht="27" customHeight="1" thickBot="1">
      <c r="C3" s="368"/>
      <c r="D3" s="1286"/>
      <c r="E3" s="1283"/>
      <c r="F3" s="218"/>
      <c r="G3" s="218"/>
      <c r="H3" s="218"/>
      <c r="I3" s="218"/>
      <c r="J3" s="182"/>
      <c r="K3" s="218"/>
      <c r="L3" s="1268"/>
      <c r="M3" s="1291" t="s">
        <v>185</v>
      </c>
      <c r="N3" s="1292"/>
      <c r="O3" s="1292"/>
      <c r="P3" s="1292"/>
      <c r="Q3" s="1292"/>
      <c r="R3" s="1292"/>
      <c r="S3" s="1292"/>
      <c r="T3" s="1292"/>
      <c r="U3" s="1292"/>
      <c r="V3" s="1292"/>
      <c r="W3" s="1292"/>
      <c r="X3" s="1294"/>
      <c r="Y3" s="33"/>
    </row>
    <row r="4" spans="1:25" customFormat="1" ht="51.75" customHeight="1" thickBot="1">
      <c r="C4" s="369" t="s">
        <v>259</v>
      </c>
      <c r="D4" s="1302" t="s">
        <v>40</v>
      </c>
      <c r="E4" s="1302"/>
      <c r="F4" s="35"/>
      <c r="G4" s="97"/>
      <c r="H4" s="97"/>
      <c r="I4" s="823" t="s">
        <v>788</v>
      </c>
      <c r="J4" s="823" t="s">
        <v>789</v>
      </c>
      <c r="K4" s="823" t="s">
        <v>790</v>
      </c>
      <c r="L4" s="1171" t="s">
        <v>192</v>
      </c>
      <c r="M4" s="1172" t="s">
        <v>181</v>
      </c>
      <c r="N4" s="1173" t="s">
        <v>180</v>
      </c>
      <c r="O4" s="1174" t="s">
        <v>43</v>
      </c>
      <c r="P4" s="1175" t="s">
        <v>204</v>
      </c>
      <c r="Q4" s="1176" t="s">
        <v>840</v>
      </c>
      <c r="R4" s="1177" t="s">
        <v>176</v>
      </c>
      <c r="S4" s="1178" t="s">
        <v>943</v>
      </c>
      <c r="T4" s="1179" t="s">
        <v>944</v>
      </c>
      <c r="U4" s="1180" t="s">
        <v>217</v>
      </c>
      <c r="V4" s="1180" t="s">
        <v>82</v>
      </c>
      <c r="W4" s="1181" t="s">
        <v>175</v>
      </c>
      <c r="X4" s="1182" t="s">
        <v>68</v>
      </c>
      <c r="Y4" s="38"/>
    </row>
    <row r="5" spans="1:25" customFormat="1" ht="20.149999999999999" customHeight="1">
      <c r="A5" s="39"/>
      <c r="B5" s="39"/>
      <c r="C5" s="1296" t="s">
        <v>23</v>
      </c>
      <c r="D5" s="409"/>
      <c r="E5" s="419" t="s">
        <v>56</v>
      </c>
      <c r="F5" s="1298" t="s">
        <v>64</v>
      </c>
      <c r="G5" s="419" t="s">
        <v>340</v>
      </c>
      <c r="H5" s="419" t="s">
        <v>341</v>
      </c>
      <c r="I5" s="376"/>
      <c r="J5" s="376"/>
      <c r="K5" s="377"/>
      <c r="L5" s="1183" t="s">
        <v>29</v>
      </c>
      <c r="M5" s="333">
        <f>749+50</f>
        <v>799</v>
      </c>
      <c r="N5" s="140">
        <v>60</v>
      </c>
      <c r="O5" s="617">
        <f t="shared" ref="O5:O6" si="0">N5*M5</f>
        <v>47940</v>
      </c>
      <c r="P5" s="195"/>
      <c r="Q5" s="1184"/>
      <c r="R5" s="81">
        <f>MIN(M5,Q5)*54</f>
        <v>43146</v>
      </c>
      <c r="S5" s="81"/>
      <c r="T5" s="81"/>
      <c r="U5" s="741">
        <f>ROUNDDOWN(MIN(M5,Q5)*0.5,0)</f>
        <v>399</v>
      </c>
      <c r="V5" s="52"/>
      <c r="W5" s="277">
        <f>R5+(U5*6)</f>
        <v>45540</v>
      </c>
      <c r="X5" s="153">
        <f t="shared" ref="X5:X20" si="1">O5-W5</f>
        <v>2400</v>
      </c>
      <c r="Y5" s="34"/>
    </row>
    <row r="6" spans="1:25" customFormat="1" ht="20.149999999999999" customHeight="1">
      <c r="A6" s="39"/>
      <c r="B6" s="39"/>
      <c r="C6" s="1277"/>
      <c r="D6" s="410"/>
      <c r="E6" s="420" t="s">
        <v>56</v>
      </c>
      <c r="F6" s="1299"/>
      <c r="G6" s="420"/>
      <c r="H6" s="420"/>
      <c r="I6" s="220"/>
      <c r="J6" s="220"/>
      <c r="K6" s="378"/>
      <c r="L6" s="379" t="s">
        <v>31</v>
      </c>
      <c r="M6" s="320">
        <f>849+50</f>
        <v>899</v>
      </c>
      <c r="N6" s="141">
        <v>60</v>
      </c>
      <c r="O6" s="615">
        <f t="shared" si="0"/>
        <v>53940</v>
      </c>
      <c r="P6" s="196"/>
      <c r="Q6" s="166"/>
      <c r="R6" s="82">
        <f t="shared" ref="R6:R20" si="2">MIN(M6,Q6)*54</f>
        <v>48546</v>
      </c>
      <c r="S6" s="82"/>
      <c r="T6" s="82"/>
      <c r="U6" s="903">
        <f t="shared" ref="U6:U20" si="3">ROUNDDOWN(MIN(M6,Q6)*0.5,0)</f>
        <v>449</v>
      </c>
      <c r="V6" s="47"/>
      <c r="W6" s="232">
        <f t="shared" ref="W6:W20" si="4">R6+(U6*6)</f>
        <v>51240</v>
      </c>
      <c r="X6" s="285">
        <f t="shared" si="1"/>
        <v>2700</v>
      </c>
      <c r="Y6" s="34"/>
    </row>
    <row r="7" spans="1:25" customFormat="1" ht="19.5" customHeight="1">
      <c r="A7" s="39"/>
      <c r="B7" s="39"/>
      <c r="C7" s="1277"/>
      <c r="D7" s="410"/>
      <c r="E7" s="421" t="s">
        <v>57</v>
      </c>
      <c r="F7" s="1299"/>
      <c r="G7" s="421" t="s">
        <v>342</v>
      </c>
      <c r="H7" s="421" t="s">
        <v>343</v>
      </c>
      <c r="I7" s="220"/>
      <c r="J7" s="220"/>
      <c r="K7" s="378"/>
      <c r="L7" s="61" t="s">
        <v>29</v>
      </c>
      <c r="M7" s="230">
        <f>799+50</f>
        <v>849</v>
      </c>
      <c r="N7" s="250">
        <v>60</v>
      </c>
      <c r="O7" s="614">
        <f t="shared" ref="O7:O36" si="5">N7*M7</f>
        <v>50940</v>
      </c>
      <c r="P7" s="247"/>
      <c r="Q7" s="167"/>
      <c r="R7" s="224">
        <f t="shared" si="2"/>
        <v>45846</v>
      </c>
      <c r="S7" s="224"/>
      <c r="T7" s="224"/>
      <c r="U7" s="902">
        <f t="shared" si="3"/>
        <v>424</v>
      </c>
      <c r="V7" s="223"/>
      <c r="W7" s="231">
        <f t="shared" si="4"/>
        <v>48390</v>
      </c>
      <c r="X7" s="202">
        <f t="shared" si="1"/>
        <v>2550</v>
      </c>
      <c r="Y7" s="34"/>
    </row>
    <row r="8" spans="1:25" customFormat="1" ht="20.149999999999999" customHeight="1">
      <c r="A8" s="39"/>
      <c r="B8" s="39"/>
      <c r="C8" s="1277"/>
      <c r="D8" s="410"/>
      <c r="E8" s="420" t="s">
        <v>57</v>
      </c>
      <c r="F8" s="1299"/>
      <c r="G8" s="420"/>
      <c r="H8" s="420"/>
      <c r="I8" s="220"/>
      <c r="J8" s="220"/>
      <c r="K8" s="378"/>
      <c r="L8" s="379" t="s">
        <v>26</v>
      </c>
      <c r="M8" s="320">
        <f>899+50</f>
        <v>949</v>
      </c>
      <c r="N8" s="141">
        <v>60</v>
      </c>
      <c r="O8" s="615">
        <f t="shared" si="5"/>
        <v>56940</v>
      </c>
      <c r="P8" s="196"/>
      <c r="Q8" s="166"/>
      <c r="R8" s="82">
        <f t="shared" si="2"/>
        <v>51246</v>
      </c>
      <c r="S8" s="82"/>
      <c r="T8" s="82"/>
      <c r="U8" s="903">
        <f t="shared" si="3"/>
        <v>474</v>
      </c>
      <c r="V8" s="47"/>
      <c r="W8" s="232">
        <f t="shared" si="4"/>
        <v>54090</v>
      </c>
      <c r="X8" s="285">
        <f t="shared" si="1"/>
        <v>2850</v>
      </c>
      <c r="Y8" s="34"/>
    </row>
    <row r="9" spans="1:25" customFormat="1" ht="19.5" customHeight="1">
      <c r="A9" s="39"/>
      <c r="B9" s="39"/>
      <c r="C9" s="1277"/>
      <c r="D9" s="165"/>
      <c r="E9" s="421" t="s">
        <v>328</v>
      </c>
      <c r="F9" s="384" t="s">
        <v>362</v>
      </c>
      <c r="G9" s="421" t="s">
        <v>338</v>
      </c>
      <c r="H9" s="421" t="s">
        <v>339</v>
      </c>
      <c r="I9" s="384"/>
      <c r="J9" s="384"/>
      <c r="K9" s="385"/>
      <c r="L9" s="61" t="s">
        <v>28</v>
      </c>
      <c r="M9" s="230">
        <f>999+50</f>
        <v>1049</v>
      </c>
      <c r="N9" s="250">
        <v>60</v>
      </c>
      <c r="O9" s="614">
        <f t="shared" ref="O9:O10" si="6">N9*M9</f>
        <v>62940</v>
      </c>
      <c r="P9" s="247"/>
      <c r="Q9" s="332"/>
      <c r="R9" s="224">
        <f t="shared" si="2"/>
        <v>56646</v>
      </c>
      <c r="S9" s="224"/>
      <c r="T9" s="224"/>
      <c r="U9" s="902">
        <f t="shared" si="3"/>
        <v>524</v>
      </c>
      <c r="V9" s="223"/>
      <c r="W9" s="231">
        <f t="shared" si="4"/>
        <v>59790</v>
      </c>
      <c r="X9" s="202">
        <f t="shared" si="1"/>
        <v>3150</v>
      </c>
      <c r="Y9" s="34"/>
    </row>
    <row r="10" spans="1:25" customFormat="1" ht="20.149999999999999" customHeight="1">
      <c r="A10" s="39"/>
      <c r="B10" s="39"/>
      <c r="C10" s="1277"/>
      <c r="D10" s="410"/>
      <c r="E10" s="422" t="s">
        <v>328</v>
      </c>
      <c r="F10" s="380"/>
      <c r="G10" s="422"/>
      <c r="H10" s="422"/>
      <c r="I10" s="380"/>
      <c r="J10" s="380"/>
      <c r="K10" s="381"/>
      <c r="L10" s="383" t="s">
        <v>26</v>
      </c>
      <c r="M10" s="331">
        <f>1099+50</f>
        <v>1149</v>
      </c>
      <c r="N10" s="280">
        <v>60</v>
      </c>
      <c r="O10" s="616">
        <f t="shared" si="6"/>
        <v>68940</v>
      </c>
      <c r="P10" s="256"/>
      <c r="Q10" s="412"/>
      <c r="R10" s="82">
        <f t="shared" si="2"/>
        <v>62046</v>
      </c>
      <c r="S10" s="82"/>
      <c r="T10" s="82"/>
      <c r="U10" s="903">
        <f t="shared" si="3"/>
        <v>574</v>
      </c>
      <c r="V10" s="47"/>
      <c r="W10" s="232">
        <f t="shared" si="4"/>
        <v>65490</v>
      </c>
      <c r="X10" s="285">
        <f t="shared" si="1"/>
        <v>3450</v>
      </c>
      <c r="Y10" s="34"/>
    </row>
    <row r="11" spans="1:25" customFormat="1" ht="19.5" customHeight="1">
      <c r="A11" s="39"/>
      <c r="B11" s="39"/>
      <c r="C11" s="1277"/>
      <c r="D11" s="165"/>
      <c r="E11" s="423" t="s">
        <v>329</v>
      </c>
      <c r="F11" s="220" t="s">
        <v>65</v>
      </c>
      <c r="G11" s="423" t="s">
        <v>344</v>
      </c>
      <c r="H11" s="423" t="s">
        <v>345</v>
      </c>
      <c r="I11" s="220"/>
      <c r="J11" s="220"/>
      <c r="K11" s="378"/>
      <c r="L11" s="46" t="s">
        <v>28</v>
      </c>
      <c r="M11" s="320">
        <v>1199</v>
      </c>
      <c r="N11" s="141">
        <v>60</v>
      </c>
      <c r="O11" s="615">
        <f t="shared" ref="O11:O14" si="7">N11*M11</f>
        <v>71940</v>
      </c>
      <c r="P11" s="196"/>
      <c r="Q11" s="166"/>
      <c r="R11" s="224">
        <f t="shared" si="2"/>
        <v>64746</v>
      </c>
      <c r="S11" s="224"/>
      <c r="T11" s="224"/>
      <c r="U11" s="902">
        <f t="shared" si="3"/>
        <v>599</v>
      </c>
      <c r="V11" s="223"/>
      <c r="W11" s="231">
        <f t="shared" si="4"/>
        <v>68340</v>
      </c>
      <c r="X11" s="202">
        <f t="shared" si="1"/>
        <v>3600</v>
      </c>
      <c r="Y11" s="34"/>
    </row>
    <row r="12" spans="1:25" customFormat="1" ht="20.149999999999999" customHeight="1" thickBot="1">
      <c r="A12" s="39"/>
      <c r="B12" s="39"/>
      <c r="C12" s="1277"/>
      <c r="D12" s="410"/>
      <c r="E12" s="420" t="s">
        <v>329</v>
      </c>
      <c r="F12" s="220"/>
      <c r="G12" s="420"/>
      <c r="H12" s="420"/>
      <c r="I12" s="220"/>
      <c r="J12" s="220"/>
      <c r="K12" s="378"/>
      <c r="L12" s="379" t="s">
        <v>26</v>
      </c>
      <c r="M12" s="320">
        <v>1299</v>
      </c>
      <c r="N12" s="141">
        <v>60</v>
      </c>
      <c r="O12" s="615">
        <f t="shared" si="7"/>
        <v>77940</v>
      </c>
      <c r="P12" s="196"/>
      <c r="Q12" s="166"/>
      <c r="R12" s="185">
        <f t="shared" si="2"/>
        <v>70146</v>
      </c>
      <c r="S12" s="185"/>
      <c r="T12" s="185"/>
      <c r="U12" s="406">
        <f t="shared" si="3"/>
        <v>649</v>
      </c>
      <c r="V12" s="47"/>
      <c r="W12" s="132">
        <f t="shared" si="4"/>
        <v>74040</v>
      </c>
      <c r="X12" s="152">
        <f t="shared" si="1"/>
        <v>3900</v>
      </c>
      <c r="Y12" s="34"/>
    </row>
    <row r="13" spans="1:25" customFormat="1" ht="19.5" customHeight="1">
      <c r="A13" s="39"/>
      <c r="B13" s="39"/>
      <c r="C13" s="1277"/>
      <c r="D13" s="1301"/>
      <c r="E13" s="419" t="s">
        <v>327</v>
      </c>
      <c r="F13" s="1298" t="s">
        <v>363</v>
      </c>
      <c r="G13" s="419" t="s">
        <v>346</v>
      </c>
      <c r="H13" s="419" t="s">
        <v>347</v>
      </c>
      <c r="I13" s="376"/>
      <c r="J13" s="376"/>
      <c r="K13" s="377"/>
      <c r="L13" s="60" t="s">
        <v>28</v>
      </c>
      <c r="M13" s="333">
        <v>599</v>
      </c>
      <c r="N13" s="140">
        <v>60</v>
      </c>
      <c r="O13" s="617">
        <f t="shared" si="7"/>
        <v>35940</v>
      </c>
      <c r="P13" s="195"/>
      <c r="Q13" s="532"/>
      <c r="R13" s="81">
        <f t="shared" si="2"/>
        <v>32346</v>
      </c>
      <c r="S13" s="81"/>
      <c r="T13" s="81"/>
      <c r="U13" s="741">
        <f t="shared" si="3"/>
        <v>299</v>
      </c>
      <c r="V13" s="52"/>
      <c r="W13" s="277">
        <f t="shared" si="4"/>
        <v>34140</v>
      </c>
      <c r="X13" s="153">
        <f t="shared" si="1"/>
        <v>1800</v>
      </c>
      <c r="Y13" s="34"/>
    </row>
    <row r="14" spans="1:25" customFormat="1" ht="20.149999999999999" customHeight="1">
      <c r="A14" s="39"/>
      <c r="B14" s="39"/>
      <c r="C14" s="1277"/>
      <c r="D14" s="1301"/>
      <c r="E14" s="420" t="s">
        <v>327</v>
      </c>
      <c r="F14" s="1299"/>
      <c r="G14" s="420"/>
      <c r="H14" s="420"/>
      <c r="I14" s="220"/>
      <c r="J14" s="220"/>
      <c r="K14" s="378"/>
      <c r="L14" s="379" t="s">
        <v>26</v>
      </c>
      <c r="M14" s="331">
        <v>699</v>
      </c>
      <c r="N14" s="141">
        <v>60</v>
      </c>
      <c r="O14" s="615">
        <f t="shared" si="7"/>
        <v>41940</v>
      </c>
      <c r="P14" s="196"/>
      <c r="Q14" s="412"/>
      <c r="R14" s="82">
        <f t="shared" si="2"/>
        <v>37746</v>
      </c>
      <c r="S14" s="82"/>
      <c r="T14" s="82"/>
      <c r="U14" s="903">
        <f t="shared" si="3"/>
        <v>349</v>
      </c>
      <c r="V14" s="234"/>
      <c r="W14" s="232">
        <f t="shared" si="4"/>
        <v>39840</v>
      </c>
      <c r="X14" s="285">
        <f t="shared" si="1"/>
        <v>2100</v>
      </c>
      <c r="Y14" s="34"/>
    </row>
    <row r="15" spans="1:25" customFormat="1" ht="19.5" customHeight="1">
      <c r="A15" s="39"/>
      <c r="B15" s="39"/>
      <c r="C15" s="1277"/>
      <c r="D15" s="1301"/>
      <c r="E15" s="421" t="s">
        <v>330</v>
      </c>
      <c r="F15" s="1299"/>
      <c r="G15" s="421" t="s">
        <v>348</v>
      </c>
      <c r="H15" s="421" t="s">
        <v>349</v>
      </c>
      <c r="I15" s="220"/>
      <c r="J15" s="220"/>
      <c r="K15" s="378"/>
      <c r="L15" s="61" t="s">
        <v>28</v>
      </c>
      <c r="M15" s="320">
        <v>699</v>
      </c>
      <c r="N15" s="250">
        <v>60</v>
      </c>
      <c r="O15" s="614">
        <f t="shared" ref="O15:O18" si="8">N15*M15</f>
        <v>41940</v>
      </c>
      <c r="P15" s="247"/>
      <c r="Q15" s="167"/>
      <c r="R15" s="224">
        <f t="shared" si="2"/>
        <v>37746</v>
      </c>
      <c r="S15" s="224"/>
      <c r="T15" s="224"/>
      <c r="U15" s="902">
        <f t="shared" si="3"/>
        <v>349</v>
      </c>
      <c r="V15" s="223"/>
      <c r="W15" s="231">
        <f t="shared" si="4"/>
        <v>39840</v>
      </c>
      <c r="X15" s="202">
        <f t="shared" si="1"/>
        <v>2100</v>
      </c>
      <c r="Y15" s="34"/>
    </row>
    <row r="16" spans="1:25" customFormat="1" ht="20.149999999999999" customHeight="1">
      <c r="A16" s="39"/>
      <c r="B16" s="39"/>
      <c r="C16" s="1277"/>
      <c r="D16" s="1301"/>
      <c r="E16" s="420" t="s">
        <v>330</v>
      </c>
      <c r="F16" s="1299"/>
      <c r="G16" s="420"/>
      <c r="H16" s="420"/>
      <c r="I16" s="220"/>
      <c r="J16" s="220"/>
      <c r="K16" s="378"/>
      <c r="L16" s="379" t="s">
        <v>26</v>
      </c>
      <c r="M16" s="320">
        <v>799</v>
      </c>
      <c r="N16" s="141">
        <v>60</v>
      </c>
      <c r="O16" s="615">
        <f t="shared" si="8"/>
        <v>47940</v>
      </c>
      <c r="P16" s="196"/>
      <c r="Q16" s="166"/>
      <c r="R16" s="82">
        <f t="shared" si="2"/>
        <v>43146</v>
      </c>
      <c r="S16" s="82"/>
      <c r="T16" s="82"/>
      <c r="U16" s="903">
        <f t="shared" si="3"/>
        <v>399</v>
      </c>
      <c r="V16" s="47"/>
      <c r="W16" s="232">
        <f t="shared" si="4"/>
        <v>45540</v>
      </c>
      <c r="X16" s="285">
        <f t="shared" si="1"/>
        <v>2400</v>
      </c>
      <c r="Y16" s="34"/>
    </row>
    <row r="17" spans="1:25" customFormat="1" ht="19.5" customHeight="1">
      <c r="A17" s="39"/>
      <c r="B17" s="39"/>
      <c r="C17" s="1277"/>
      <c r="D17" s="1301"/>
      <c r="E17" s="421" t="s">
        <v>331</v>
      </c>
      <c r="F17" s="1299"/>
      <c r="G17" s="421" t="s">
        <v>350</v>
      </c>
      <c r="H17" s="421" t="s">
        <v>351</v>
      </c>
      <c r="I17" s="220"/>
      <c r="J17" s="220"/>
      <c r="K17" s="378"/>
      <c r="L17" s="61" t="s">
        <v>28</v>
      </c>
      <c r="M17" s="230">
        <v>899</v>
      </c>
      <c r="N17" s="250">
        <v>60</v>
      </c>
      <c r="O17" s="614">
        <f t="shared" si="8"/>
        <v>53940</v>
      </c>
      <c r="P17" s="247"/>
      <c r="Q17" s="167"/>
      <c r="R17" s="224">
        <f t="shared" si="2"/>
        <v>48546</v>
      </c>
      <c r="S17" s="224"/>
      <c r="T17" s="224"/>
      <c r="U17" s="902">
        <f t="shared" si="3"/>
        <v>449</v>
      </c>
      <c r="V17" s="223"/>
      <c r="W17" s="231">
        <f t="shared" si="4"/>
        <v>51240</v>
      </c>
      <c r="X17" s="202">
        <f t="shared" si="1"/>
        <v>2700</v>
      </c>
      <c r="Y17" s="34"/>
    </row>
    <row r="18" spans="1:25" customFormat="1" ht="20.149999999999999" customHeight="1">
      <c r="A18" s="39"/>
      <c r="B18" s="39"/>
      <c r="C18" s="1277"/>
      <c r="D18" s="1301"/>
      <c r="E18" s="420" t="s">
        <v>331</v>
      </c>
      <c r="F18" s="1299"/>
      <c r="G18" s="420"/>
      <c r="H18" s="420"/>
      <c r="I18" s="220"/>
      <c r="J18" s="220"/>
      <c r="K18" s="378"/>
      <c r="L18" s="379" t="s">
        <v>26</v>
      </c>
      <c r="M18" s="331">
        <v>999</v>
      </c>
      <c r="N18" s="141">
        <v>60</v>
      </c>
      <c r="O18" s="615">
        <f t="shared" si="8"/>
        <v>59940</v>
      </c>
      <c r="P18" s="196"/>
      <c r="Q18" s="166"/>
      <c r="R18" s="82">
        <f t="shared" si="2"/>
        <v>53946</v>
      </c>
      <c r="S18" s="82"/>
      <c r="T18" s="82"/>
      <c r="U18" s="903">
        <f t="shared" si="3"/>
        <v>499</v>
      </c>
      <c r="V18" s="47"/>
      <c r="W18" s="232">
        <f t="shared" si="4"/>
        <v>56940</v>
      </c>
      <c r="X18" s="285">
        <f t="shared" si="1"/>
        <v>3000</v>
      </c>
      <c r="Y18" s="34"/>
    </row>
    <row r="19" spans="1:25" customFormat="1" ht="19.5" customHeight="1">
      <c r="A19" s="39"/>
      <c r="B19" s="39"/>
      <c r="C19" s="1277"/>
      <c r="D19" s="1301"/>
      <c r="E19" s="421" t="s">
        <v>332</v>
      </c>
      <c r="F19" s="1299"/>
      <c r="G19" s="421" t="s">
        <v>352</v>
      </c>
      <c r="H19" s="421" t="s">
        <v>353</v>
      </c>
      <c r="I19" s="220"/>
      <c r="J19" s="220"/>
      <c r="K19" s="378"/>
      <c r="L19" s="61" t="s">
        <v>28</v>
      </c>
      <c r="M19" s="320">
        <v>1099</v>
      </c>
      <c r="N19" s="250">
        <v>60</v>
      </c>
      <c r="O19" s="614">
        <f t="shared" ref="O19:O20" si="9">N19*M19</f>
        <v>65940</v>
      </c>
      <c r="P19" s="247"/>
      <c r="Q19" s="167"/>
      <c r="R19" s="224">
        <f t="shared" si="2"/>
        <v>59346</v>
      </c>
      <c r="S19" s="224"/>
      <c r="T19" s="224"/>
      <c r="U19" s="902">
        <f t="shared" si="3"/>
        <v>549</v>
      </c>
      <c r="V19" s="223"/>
      <c r="W19" s="231">
        <f t="shared" si="4"/>
        <v>62640</v>
      </c>
      <c r="X19" s="202">
        <f t="shared" si="1"/>
        <v>3300</v>
      </c>
      <c r="Y19" s="34"/>
    </row>
    <row r="20" spans="1:25" customFormat="1" ht="20.149999999999999" customHeight="1" thickBot="1">
      <c r="A20" s="39"/>
      <c r="B20" s="39"/>
      <c r="C20" s="1277"/>
      <c r="D20" s="1301"/>
      <c r="E20" s="534" t="s">
        <v>332</v>
      </c>
      <c r="F20" s="1300"/>
      <c r="G20" s="534"/>
      <c r="H20" s="534"/>
      <c r="I20" s="533"/>
      <c r="J20" s="533"/>
      <c r="K20" s="535"/>
      <c r="L20" s="536" t="s">
        <v>26</v>
      </c>
      <c r="M20" s="241">
        <v>1199</v>
      </c>
      <c r="N20" s="146">
        <v>60</v>
      </c>
      <c r="O20" s="618">
        <f t="shared" si="9"/>
        <v>71940</v>
      </c>
      <c r="P20" s="197"/>
      <c r="Q20" s="537"/>
      <c r="R20" s="76">
        <f t="shared" si="2"/>
        <v>64746</v>
      </c>
      <c r="S20" s="76"/>
      <c r="T20" s="76"/>
      <c r="U20" s="904">
        <f t="shared" si="3"/>
        <v>599</v>
      </c>
      <c r="V20" s="53"/>
      <c r="W20" s="133">
        <f t="shared" si="4"/>
        <v>68340</v>
      </c>
      <c r="X20" s="154">
        <f t="shared" si="1"/>
        <v>3600</v>
      </c>
      <c r="Y20" s="34"/>
    </row>
    <row r="21" spans="1:25" customFormat="1" ht="19.5" customHeight="1">
      <c r="A21" s="39"/>
      <c r="B21" s="39"/>
      <c r="C21" s="1277"/>
      <c r="D21" s="165" t="s">
        <v>886</v>
      </c>
      <c r="E21" s="1164" t="s">
        <v>843</v>
      </c>
      <c r="F21" s="1298" t="s">
        <v>413</v>
      </c>
      <c r="G21" s="421" t="s">
        <v>866</v>
      </c>
      <c r="H21" s="421" t="s">
        <v>867</v>
      </c>
      <c r="I21" s="220"/>
      <c r="J21" s="220"/>
      <c r="K21" s="378"/>
      <c r="L21" s="61" t="s">
        <v>28</v>
      </c>
      <c r="M21" s="320">
        <v>949</v>
      </c>
      <c r="N21" s="250">
        <v>60</v>
      </c>
      <c r="O21" s="614">
        <f t="shared" ref="O21:O22" si="10">N21*M21</f>
        <v>56940</v>
      </c>
      <c r="P21" s="247"/>
      <c r="Q21" s="167"/>
      <c r="R21" s="224">
        <f t="shared" ref="R21:R22" si="11">MIN(M21,Q21)*54</f>
        <v>51246</v>
      </c>
      <c r="S21" s="1167">
        <v>149</v>
      </c>
      <c r="T21" s="1169">
        <f>ROUNDDOWN(MIN(M21,Q21)*0.5,0)</f>
        <v>474</v>
      </c>
      <c r="U21" s="902"/>
      <c r="V21" s="223"/>
      <c r="W21" s="231">
        <f>R21+(S21*1)+(T21*5)</f>
        <v>53765</v>
      </c>
      <c r="X21" s="202">
        <f t="shared" ref="X21:X24" si="12">O21-W21</f>
        <v>3175</v>
      </c>
      <c r="Y21" s="34"/>
    </row>
    <row r="22" spans="1:25" customFormat="1" ht="20.149999999999999" customHeight="1">
      <c r="A22" s="39"/>
      <c r="B22" s="39"/>
      <c r="C22" s="1277"/>
      <c r="D22" s="558"/>
      <c r="E22" s="1165" t="s">
        <v>843</v>
      </c>
      <c r="F22" s="1299"/>
      <c r="G22" s="420"/>
      <c r="H22" s="420"/>
      <c r="I22" s="220"/>
      <c r="J22" s="220"/>
      <c r="K22" s="378"/>
      <c r="L22" s="379" t="s">
        <v>26</v>
      </c>
      <c r="M22" s="320">
        <v>1049</v>
      </c>
      <c r="N22" s="141">
        <v>60</v>
      </c>
      <c r="O22" s="615">
        <f t="shared" si="10"/>
        <v>62940</v>
      </c>
      <c r="P22" s="196"/>
      <c r="Q22" s="166"/>
      <c r="R22" s="185">
        <f t="shared" si="11"/>
        <v>56646</v>
      </c>
      <c r="S22" s="1168">
        <v>149</v>
      </c>
      <c r="T22" s="1170">
        <f t="shared" ref="T22:T24" si="13">ROUNDDOWN(MIN(M22,Q22)*0.5,0)</f>
        <v>524</v>
      </c>
      <c r="U22" s="903"/>
      <c r="V22" s="234"/>
      <c r="W22" s="232">
        <f t="shared" ref="W22:W24" si="14">R22+(S22*1)+(T22*5)</f>
        <v>59415</v>
      </c>
      <c r="X22" s="285">
        <f t="shared" si="12"/>
        <v>3525</v>
      </c>
      <c r="Y22" s="34"/>
    </row>
    <row r="23" spans="1:25" customFormat="1" ht="19.5" customHeight="1">
      <c r="A23" s="39"/>
      <c r="B23" s="39"/>
      <c r="C23" s="1277"/>
      <c r="D23" s="165" t="s">
        <v>886</v>
      </c>
      <c r="E23" s="1164" t="s">
        <v>844</v>
      </c>
      <c r="F23" s="1299"/>
      <c r="G23" s="421" t="s">
        <v>868</v>
      </c>
      <c r="H23" s="421" t="s">
        <v>869</v>
      </c>
      <c r="I23" s="220"/>
      <c r="J23" s="220"/>
      <c r="K23" s="378"/>
      <c r="L23" s="61" t="s">
        <v>28</v>
      </c>
      <c r="M23" s="230">
        <v>1149</v>
      </c>
      <c r="N23" s="250">
        <v>60</v>
      </c>
      <c r="O23" s="614">
        <f t="shared" ref="O23:O24" si="15">N23*M23</f>
        <v>68940</v>
      </c>
      <c r="P23" s="247"/>
      <c r="Q23" s="167"/>
      <c r="R23" s="224">
        <f t="shared" ref="R23:R24" si="16">MIN(M23,Q23)*54</f>
        <v>62046</v>
      </c>
      <c r="S23" s="1167">
        <v>149</v>
      </c>
      <c r="T23" s="1169">
        <f t="shared" si="13"/>
        <v>574</v>
      </c>
      <c r="U23" s="902"/>
      <c r="V23" s="223"/>
      <c r="W23" s="231">
        <f t="shared" si="14"/>
        <v>65065</v>
      </c>
      <c r="X23" s="202">
        <f t="shared" si="12"/>
        <v>3875</v>
      </c>
      <c r="Y23" s="34"/>
    </row>
    <row r="24" spans="1:25" customFormat="1" ht="20.149999999999999" customHeight="1" thickBot="1">
      <c r="A24" s="39"/>
      <c r="B24" s="39"/>
      <c r="C24" s="1277"/>
      <c r="D24" s="558"/>
      <c r="E24" s="1166" t="s">
        <v>844</v>
      </c>
      <c r="F24" s="1300"/>
      <c r="G24" s="534"/>
      <c r="H24" s="534"/>
      <c r="I24" s="533"/>
      <c r="J24" s="533"/>
      <c r="K24" s="535"/>
      <c r="L24" s="536" t="s">
        <v>26</v>
      </c>
      <c r="M24" s="241">
        <v>1249</v>
      </c>
      <c r="N24" s="146">
        <v>60</v>
      </c>
      <c r="O24" s="618">
        <f t="shared" si="15"/>
        <v>74940</v>
      </c>
      <c r="P24" s="197"/>
      <c r="Q24" s="537"/>
      <c r="R24" s="76">
        <f t="shared" si="16"/>
        <v>67446</v>
      </c>
      <c r="S24" s="1168">
        <v>149</v>
      </c>
      <c r="T24" s="1151">
        <f t="shared" si="13"/>
        <v>624</v>
      </c>
      <c r="U24" s="406"/>
      <c r="V24" s="47"/>
      <c r="W24" s="132">
        <f t="shared" si="14"/>
        <v>70715</v>
      </c>
      <c r="X24" s="152">
        <f t="shared" si="12"/>
        <v>4225</v>
      </c>
      <c r="Y24" s="34"/>
    </row>
    <row r="25" spans="1:25" customFormat="1" ht="19.5" customHeight="1">
      <c r="A25" s="39"/>
      <c r="B25" s="39"/>
      <c r="C25" s="1277"/>
      <c r="D25" s="781" t="s">
        <v>797</v>
      </c>
      <c r="E25" s="423" t="s">
        <v>333</v>
      </c>
      <c r="F25" s="1298" t="s">
        <v>364</v>
      </c>
      <c r="G25" s="423" t="s">
        <v>354</v>
      </c>
      <c r="H25" s="423" t="s">
        <v>355</v>
      </c>
      <c r="I25" s="220"/>
      <c r="J25" s="220"/>
      <c r="K25" s="378"/>
      <c r="L25" s="46" t="s">
        <v>28</v>
      </c>
      <c r="M25" s="758">
        <f>499-100</f>
        <v>399</v>
      </c>
      <c r="N25" s="141">
        <v>60</v>
      </c>
      <c r="O25" s="615">
        <f t="shared" ref="O25:O26" si="17">N25*M25</f>
        <v>23940</v>
      </c>
      <c r="P25" s="196"/>
      <c r="Q25" s="166"/>
      <c r="R25" s="185">
        <f t="shared" ref="R25:R32" si="18">MIN(M25,Q25)*60</f>
        <v>23940</v>
      </c>
      <c r="S25" s="81"/>
      <c r="T25" s="81"/>
      <c r="U25" s="52"/>
      <c r="V25" s="52"/>
      <c r="W25" s="277">
        <f t="shared" ref="W25:W32" si="19">R25+(V25*60)</f>
        <v>23940</v>
      </c>
      <c r="X25" s="153">
        <f t="shared" ref="X25:X26" si="20">O25-W25</f>
        <v>0</v>
      </c>
      <c r="Y25" s="34"/>
    </row>
    <row r="26" spans="1:25" customFormat="1" ht="20.149999999999999" customHeight="1">
      <c r="A26" s="39"/>
      <c r="B26" s="39"/>
      <c r="C26" s="1277"/>
      <c r="D26" s="418"/>
      <c r="E26" s="420" t="s">
        <v>333</v>
      </c>
      <c r="F26" s="1299"/>
      <c r="G26" s="420"/>
      <c r="H26" s="420"/>
      <c r="I26" s="220"/>
      <c r="J26" s="220"/>
      <c r="K26" s="378"/>
      <c r="L26" s="379" t="s">
        <v>26</v>
      </c>
      <c r="M26" s="758">
        <f>599-100</f>
        <v>499</v>
      </c>
      <c r="N26" s="141">
        <v>60</v>
      </c>
      <c r="O26" s="615">
        <f t="shared" si="17"/>
        <v>29940</v>
      </c>
      <c r="P26" s="196"/>
      <c r="Q26" s="166"/>
      <c r="R26" s="185">
        <f t="shared" si="18"/>
        <v>29940</v>
      </c>
      <c r="S26" s="185"/>
      <c r="T26" s="185"/>
      <c r="U26" s="47"/>
      <c r="V26" s="47"/>
      <c r="W26" s="132">
        <f t="shared" si="19"/>
        <v>29940</v>
      </c>
      <c r="X26" s="152">
        <f t="shared" si="20"/>
        <v>0</v>
      </c>
      <c r="Y26" s="34"/>
    </row>
    <row r="27" spans="1:25" customFormat="1" ht="19.5" customHeight="1">
      <c r="A27" s="39"/>
      <c r="B27" s="39"/>
      <c r="C27" s="1277"/>
      <c r="D27" s="781" t="s">
        <v>797</v>
      </c>
      <c r="E27" s="421" t="s">
        <v>334</v>
      </c>
      <c r="F27" s="1299"/>
      <c r="G27" s="421" t="s">
        <v>356</v>
      </c>
      <c r="H27" s="421" t="s">
        <v>357</v>
      </c>
      <c r="I27" s="384"/>
      <c r="J27" s="384"/>
      <c r="K27" s="385"/>
      <c r="L27" s="61" t="s">
        <v>28</v>
      </c>
      <c r="M27" s="905">
        <f>549-100</f>
        <v>449</v>
      </c>
      <c r="N27" s="250">
        <v>60</v>
      </c>
      <c r="O27" s="614">
        <f t="shared" ref="O27:O28" si="21">N27*M27</f>
        <v>26940</v>
      </c>
      <c r="P27" s="247"/>
      <c r="Q27" s="167"/>
      <c r="R27" s="224">
        <f t="shared" si="18"/>
        <v>26940</v>
      </c>
      <c r="S27" s="224"/>
      <c r="T27" s="224"/>
      <c r="U27" s="223"/>
      <c r="V27" s="223"/>
      <c r="W27" s="231">
        <f t="shared" si="19"/>
        <v>26940</v>
      </c>
      <c r="X27" s="202">
        <f t="shared" ref="X27:X28" si="22">O27-W27</f>
        <v>0</v>
      </c>
      <c r="Y27" s="34"/>
    </row>
    <row r="28" spans="1:25" customFormat="1" ht="20.149999999999999" customHeight="1">
      <c r="A28" s="39"/>
      <c r="B28" s="39"/>
      <c r="C28" s="1277"/>
      <c r="D28" s="418"/>
      <c r="E28" s="422" t="s">
        <v>334</v>
      </c>
      <c r="F28" s="1299"/>
      <c r="G28" s="422"/>
      <c r="H28" s="422"/>
      <c r="I28" s="380"/>
      <c r="J28" s="380"/>
      <c r="K28" s="381"/>
      <c r="L28" s="383" t="s">
        <v>26</v>
      </c>
      <c r="M28" s="890">
        <f>649-100</f>
        <v>549</v>
      </c>
      <c r="N28" s="280">
        <v>60</v>
      </c>
      <c r="O28" s="616">
        <f t="shared" si="21"/>
        <v>32940</v>
      </c>
      <c r="P28" s="256"/>
      <c r="Q28" s="233"/>
      <c r="R28" s="82">
        <f t="shared" si="18"/>
        <v>32940</v>
      </c>
      <c r="S28" s="82"/>
      <c r="T28" s="82"/>
      <c r="U28" s="234"/>
      <c r="V28" s="234"/>
      <c r="W28" s="232">
        <f t="shared" si="19"/>
        <v>32940</v>
      </c>
      <c r="X28" s="285">
        <f t="shared" si="22"/>
        <v>0</v>
      </c>
      <c r="Y28" s="34"/>
    </row>
    <row r="29" spans="1:25" customFormat="1" ht="19.5" customHeight="1">
      <c r="A29" s="39"/>
      <c r="B29" s="39"/>
      <c r="C29" s="1277"/>
      <c r="D29" s="781" t="s">
        <v>797</v>
      </c>
      <c r="E29" s="423" t="s">
        <v>335</v>
      </c>
      <c r="F29" s="1299"/>
      <c r="G29" s="423" t="s">
        <v>358</v>
      </c>
      <c r="H29" s="423" t="s">
        <v>359</v>
      </c>
      <c r="I29" s="220"/>
      <c r="J29" s="220"/>
      <c r="K29" s="378"/>
      <c r="L29" s="46" t="s">
        <v>28</v>
      </c>
      <c r="M29" s="758">
        <f>749-150</f>
        <v>599</v>
      </c>
      <c r="N29" s="141">
        <v>60</v>
      </c>
      <c r="O29" s="615">
        <f t="shared" ref="O29:O30" si="23">N29*M29</f>
        <v>35940</v>
      </c>
      <c r="P29" s="196"/>
      <c r="Q29" s="166"/>
      <c r="R29" s="185">
        <f t="shared" si="18"/>
        <v>35940</v>
      </c>
      <c r="S29" s="185"/>
      <c r="T29" s="185"/>
      <c r="U29" s="47"/>
      <c r="V29" s="47"/>
      <c r="W29" s="132">
        <f t="shared" si="19"/>
        <v>35940</v>
      </c>
      <c r="X29" s="152">
        <f t="shared" ref="X29:X30" si="24">O29-W29</f>
        <v>0</v>
      </c>
      <c r="Y29" s="34"/>
    </row>
    <row r="30" spans="1:25" customFormat="1" ht="20.149999999999999" customHeight="1">
      <c r="A30" s="39"/>
      <c r="B30" s="39"/>
      <c r="C30" s="1277"/>
      <c r="D30" s="418"/>
      <c r="E30" s="420" t="s">
        <v>335</v>
      </c>
      <c r="F30" s="1299"/>
      <c r="G30" s="420"/>
      <c r="H30" s="420"/>
      <c r="I30" s="220"/>
      <c r="J30" s="220"/>
      <c r="K30" s="378"/>
      <c r="L30" s="379" t="s">
        <v>26</v>
      </c>
      <c r="M30" s="758">
        <f>849-150</f>
        <v>699</v>
      </c>
      <c r="N30" s="141">
        <v>60</v>
      </c>
      <c r="O30" s="615">
        <f t="shared" si="23"/>
        <v>41940</v>
      </c>
      <c r="P30" s="196"/>
      <c r="Q30" s="166"/>
      <c r="R30" s="185">
        <f t="shared" si="18"/>
        <v>41940</v>
      </c>
      <c r="S30" s="185"/>
      <c r="T30" s="185"/>
      <c r="U30" s="47"/>
      <c r="V30" s="47"/>
      <c r="W30" s="132">
        <f t="shared" si="19"/>
        <v>41940</v>
      </c>
      <c r="X30" s="152">
        <f t="shared" si="24"/>
        <v>0</v>
      </c>
      <c r="Y30" s="34"/>
    </row>
    <row r="31" spans="1:25" customFormat="1" ht="19.5" customHeight="1">
      <c r="A31" s="39"/>
      <c r="B31" s="39"/>
      <c r="C31" s="1277"/>
      <c r="D31" s="781" t="s">
        <v>797</v>
      </c>
      <c r="E31" s="421" t="s">
        <v>336</v>
      </c>
      <c r="F31" s="1299"/>
      <c r="G31" s="421" t="s">
        <v>360</v>
      </c>
      <c r="H31" s="421" t="s">
        <v>361</v>
      </c>
      <c r="I31" s="384"/>
      <c r="J31" s="384"/>
      <c r="K31" s="385"/>
      <c r="L31" s="61" t="s">
        <v>28</v>
      </c>
      <c r="M31" s="905">
        <f>899-150</f>
        <v>749</v>
      </c>
      <c r="N31" s="250">
        <v>60</v>
      </c>
      <c r="O31" s="614">
        <f t="shared" ref="O31:O32" si="25">N31*M31</f>
        <v>44940</v>
      </c>
      <c r="P31" s="247"/>
      <c r="Q31" s="167"/>
      <c r="R31" s="224">
        <f t="shared" si="18"/>
        <v>44940</v>
      </c>
      <c r="S31" s="224"/>
      <c r="T31" s="224"/>
      <c r="U31" s="223"/>
      <c r="V31" s="223"/>
      <c r="W31" s="231">
        <f t="shared" si="19"/>
        <v>44940</v>
      </c>
      <c r="X31" s="202">
        <f t="shared" ref="X31:X32" si="26">O31-W31</f>
        <v>0</v>
      </c>
      <c r="Y31" s="34"/>
    </row>
    <row r="32" spans="1:25" customFormat="1" ht="20.149999999999999" customHeight="1" thickBot="1">
      <c r="A32" s="39"/>
      <c r="B32" s="39"/>
      <c r="C32" s="1277"/>
      <c r="D32" s="410"/>
      <c r="E32" s="420" t="s">
        <v>336</v>
      </c>
      <c r="F32" s="1300"/>
      <c r="G32" s="420"/>
      <c r="H32" s="420"/>
      <c r="I32" s="220"/>
      <c r="J32" s="220"/>
      <c r="K32" s="378"/>
      <c r="L32" s="379" t="s">
        <v>26</v>
      </c>
      <c r="M32" s="758">
        <f>999-150</f>
        <v>849</v>
      </c>
      <c r="N32" s="141">
        <v>60</v>
      </c>
      <c r="O32" s="615">
        <f t="shared" si="25"/>
        <v>50940</v>
      </c>
      <c r="P32" s="196"/>
      <c r="Q32" s="166"/>
      <c r="R32" s="185">
        <f t="shared" si="18"/>
        <v>50940</v>
      </c>
      <c r="S32" s="185"/>
      <c r="T32" s="185"/>
      <c r="U32" s="47"/>
      <c r="V32" s="47"/>
      <c r="W32" s="132">
        <f t="shared" si="19"/>
        <v>50940</v>
      </c>
      <c r="X32" s="152">
        <f t="shared" si="26"/>
        <v>0</v>
      </c>
      <c r="Y32" s="34"/>
    </row>
    <row r="33" spans="1:25" customFormat="1" ht="20.149999999999999" customHeight="1">
      <c r="A33" s="39"/>
      <c r="B33" s="39"/>
      <c r="C33" s="1296" t="s">
        <v>114</v>
      </c>
      <c r="D33" s="907" t="s">
        <v>232</v>
      </c>
      <c r="E33" s="1142" t="s">
        <v>102</v>
      </c>
      <c r="F33" s="376" t="s">
        <v>146</v>
      </c>
      <c r="G33" s="184" t="s">
        <v>130</v>
      </c>
      <c r="H33" s="50" t="s">
        <v>131</v>
      </c>
      <c r="I33" s="376"/>
      <c r="J33" s="376"/>
      <c r="K33" s="538" t="s">
        <v>197</v>
      </c>
      <c r="L33" s="60" t="s">
        <v>115</v>
      </c>
      <c r="M33" s="333">
        <f>1399+100+100</f>
        <v>1599</v>
      </c>
      <c r="N33" s="140">
        <v>60</v>
      </c>
      <c r="O33" s="617">
        <f t="shared" si="5"/>
        <v>95940</v>
      </c>
      <c r="P33" s="195"/>
      <c r="Q33" s="81"/>
      <c r="R33" s="81"/>
      <c r="S33" s="81"/>
      <c r="T33" s="81"/>
      <c r="U33" s="539"/>
      <c r="V33" s="540"/>
      <c r="W33" s="541"/>
      <c r="X33" s="542"/>
      <c r="Y33" s="34"/>
    </row>
    <row r="34" spans="1:25" customFormat="1" ht="20.149999999999999" customHeight="1">
      <c r="A34" s="39"/>
      <c r="B34" s="39"/>
      <c r="C34" s="1277"/>
      <c r="D34" s="411" t="s">
        <v>233</v>
      </c>
      <c r="E34" s="1143" t="s">
        <v>105</v>
      </c>
      <c r="F34" s="220" t="s">
        <v>147</v>
      </c>
      <c r="G34" s="624" t="s">
        <v>118</v>
      </c>
      <c r="H34" s="625" t="s">
        <v>134</v>
      </c>
      <c r="I34" s="113" t="s">
        <v>167</v>
      </c>
      <c r="J34" s="113" t="s">
        <v>168</v>
      </c>
      <c r="K34" s="180" t="s">
        <v>197</v>
      </c>
      <c r="L34" s="95" t="s">
        <v>115</v>
      </c>
      <c r="M34" s="622">
        <f>1649+100+100+100</f>
        <v>1949</v>
      </c>
      <c r="N34" s="249">
        <v>60</v>
      </c>
      <c r="O34" s="619">
        <f t="shared" si="5"/>
        <v>116940</v>
      </c>
      <c r="P34" s="199"/>
      <c r="Q34" s="224"/>
      <c r="R34" s="224"/>
      <c r="S34" s="224"/>
      <c r="T34" s="224"/>
      <c r="U34" s="96"/>
      <c r="V34" s="362"/>
      <c r="W34" s="116"/>
      <c r="X34" s="261"/>
      <c r="Y34" s="34"/>
    </row>
    <row r="35" spans="1:25" customFormat="1" ht="20.149999999999999" customHeight="1">
      <c r="A35" s="39"/>
      <c r="B35" s="39"/>
      <c r="C35" s="1277"/>
      <c r="D35" s="411" t="s">
        <v>234</v>
      </c>
      <c r="E35" s="1143" t="s">
        <v>109</v>
      </c>
      <c r="F35" s="94" t="s">
        <v>129</v>
      </c>
      <c r="G35" s="624" t="s">
        <v>122</v>
      </c>
      <c r="H35" s="625" t="s">
        <v>138</v>
      </c>
      <c r="I35" s="113" t="s">
        <v>178</v>
      </c>
      <c r="J35" s="113" t="s">
        <v>177</v>
      </c>
      <c r="K35" s="180" t="s">
        <v>197</v>
      </c>
      <c r="L35" s="95" t="s">
        <v>115</v>
      </c>
      <c r="M35" s="906">
        <f>1299+100+100</f>
        <v>1499</v>
      </c>
      <c r="N35" s="249">
        <v>60</v>
      </c>
      <c r="O35" s="619">
        <f t="shared" si="5"/>
        <v>89940</v>
      </c>
      <c r="P35" s="199"/>
      <c r="Q35" s="224"/>
      <c r="R35" s="224"/>
      <c r="S35" s="224"/>
      <c r="T35" s="224"/>
      <c r="U35" s="96"/>
      <c r="V35" s="362"/>
      <c r="W35" s="116"/>
      <c r="X35" s="261"/>
      <c r="Y35" s="34"/>
    </row>
    <row r="36" spans="1:25" customFormat="1" ht="20.149999999999999" customHeight="1">
      <c r="A36" s="39"/>
      <c r="B36" s="39"/>
      <c r="C36" s="1297"/>
      <c r="D36" s="832" t="s">
        <v>235</v>
      </c>
      <c r="E36" s="1144" t="s">
        <v>113</v>
      </c>
      <c r="F36" s="237" t="s">
        <v>145</v>
      </c>
      <c r="G36" s="626" t="s">
        <v>126</v>
      </c>
      <c r="H36" s="627" t="s">
        <v>142</v>
      </c>
      <c r="I36" s="237"/>
      <c r="J36" s="214" t="s">
        <v>205</v>
      </c>
      <c r="K36" s="284" t="s">
        <v>197</v>
      </c>
      <c r="L36" s="238" t="s">
        <v>115</v>
      </c>
      <c r="M36" s="623">
        <f>2499+100+100+100</f>
        <v>2799</v>
      </c>
      <c r="N36" s="251">
        <v>60</v>
      </c>
      <c r="O36" s="620">
        <f t="shared" si="5"/>
        <v>167940</v>
      </c>
      <c r="P36" s="248"/>
      <c r="Q36" s="190"/>
      <c r="R36" s="190"/>
      <c r="S36" s="1163"/>
      <c r="T36" s="1163"/>
      <c r="U36" s="92"/>
      <c r="V36" s="363"/>
      <c r="W36" s="239"/>
      <c r="X36" s="286"/>
      <c r="Y36" s="34"/>
    </row>
    <row r="38" spans="1:25" ht="16" customHeight="1">
      <c r="O38" s="317"/>
    </row>
    <row r="39" spans="1:25" ht="16" customHeight="1">
      <c r="K39" s="822" t="s">
        <v>786</v>
      </c>
    </row>
    <row r="40" spans="1:25" ht="16" customHeight="1">
      <c r="E40"/>
    </row>
    <row r="42" spans="1:25" ht="16" customHeight="1">
      <c r="H42" s="1" t="s">
        <v>791</v>
      </c>
    </row>
  </sheetData>
  <mergeCells count="12">
    <mergeCell ref="D4:E4"/>
    <mergeCell ref="D2:E3"/>
    <mergeCell ref="L2:L3"/>
    <mergeCell ref="M2:X2"/>
    <mergeCell ref="M3:X3"/>
    <mergeCell ref="C33:C36"/>
    <mergeCell ref="F5:F8"/>
    <mergeCell ref="C5:C32"/>
    <mergeCell ref="F13:F20"/>
    <mergeCell ref="F25:F32"/>
    <mergeCell ref="D13:D20"/>
    <mergeCell ref="F21:F24"/>
  </mergeCells>
  <printOptions horizontalCentered="1"/>
  <pageMargins left="0.25" right="0.25" top="0.25" bottom="0.25" header="0.3" footer="0.3"/>
  <pageSetup paperSize="8" orientation="landscape" r:id="rId1"/>
  <headerFooter>
    <oddHeader xml:space="preserve">&amp;C&amp;"Calibri,Regular"&amp;1&amp;K000000
</oddHead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pageSetUpPr fitToPage="1"/>
  </sheetPr>
  <dimension ref="C1:AC50"/>
  <sheetViews>
    <sheetView showGridLines="0" zoomScale="85" zoomScaleNormal="85" workbookViewId="0">
      <pane xSplit="5" ySplit="4" topLeftCell="F5" activePane="bottomRight" state="frozen"/>
      <selection activeCell="D23" sqref="D23:E23"/>
      <selection pane="topRight" activeCell="D23" sqref="D23:E23"/>
      <selection pane="bottomLeft" activeCell="D23" sqref="D23:E23"/>
      <selection pane="bottomRight" activeCell="A9" sqref="A9:XFD9"/>
    </sheetView>
  </sheetViews>
  <sheetFormatPr defaultColWidth="8.81640625" defaultRowHeight="16" customHeight="1"/>
  <cols>
    <col min="1" max="1" width="1.26953125" style="1" customWidth="1"/>
    <col min="2" max="2" width="3" style="1" customWidth="1"/>
    <col min="3" max="3" width="8" style="366" customWidth="1"/>
    <col min="4" max="4" width="24.7265625" style="2" customWidth="1"/>
    <col min="5" max="5" width="21.54296875" style="1" customWidth="1"/>
    <col min="6" max="6" width="52" style="1" customWidth="1"/>
    <col min="7" max="7" width="10" style="3" customWidth="1"/>
    <col min="8" max="8" width="11.453125" style="4" customWidth="1"/>
    <col min="9" max="9" width="11" style="3" customWidth="1"/>
    <col min="10" max="10" width="11.81640625" style="2" customWidth="1"/>
    <col min="11" max="11" width="10.81640625" style="1" customWidth="1"/>
    <col min="12" max="12" width="8.453125" style="149" customWidth="1"/>
    <col min="13" max="13" width="9.81640625" style="91" customWidth="1"/>
    <col min="14" max="14" width="9.81640625" style="91" hidden="1" customWidth="1"/>
    <col min="15" max="15" width="34.26953125" style="91" customWidth="1"/>
    <col min="16" max="16" width="14.453125" style="91" customWidth="1"/>
    <col min="17" max="17" width="14.453125" style="639" customWidth="1"/>
    <col min="18" max="18" width="14.453125" style="91" customWidth="1"/>
    <col min="19" max="19" width="14.6328125" style="639" customWidth="1"/>
    <col min="20" max="20" width="14.453125" style="91" customWidth="1"/>
    <col min="21" max="24" width="11.7265625" style="5" customWidth="1"/>
    <col min="25" max="25" width="12.453125" style="5" customWidth="1"/>
    <col min="26" max="26" width="9.54296875" style="145" customWidth="1"/>
    <col min="27" max="27" width="10.81640625" style="1" bestFit="1" customWidth="1"/>
    <col min="28" max="16384" width="8.81640625" style="1"/>
  </cols>
  <sheetData>
    <row r="1" spans="3:29" ht="23.25" customHeight="1">
      <c r="C1" s="364"/>
      <c r="D1" s="21"/>
      <c r="E1" s="22" t="s">
        <v>871</v>
      </c>
      <c r="F1" s="22"/>
      <c r="G1" s="23"/>
      <c r="H1" s="24"/>
      <c r="I1" s="23"/>
      <c r="J1" s="21"/>
      <c r="K1" s="20"/>
      <c r="L1" s="89"/>
      <c r="M1" s="89"/>
      <c r="N1" s="89"/>
      <c r="O1" s="89"/>
      <c r="P1" s="89"/>
      <c r="Q1" s="635"/>
      <c r="R1" s="89"/>
      <c r="S1" s="635"/>
      <c r="T1" s="89"/>
      <c r="U1" s="25"/>
      <c r="V1" s="25"/>
      <c r="W1" s="25"/>
      <c r="X1" s="25"/>
      <c r="Y1" s="25"/>
      <c r="Z1" s="142"/>
    </row>
    <row r="2" spans="3:29" ht="21" customHeight="1">
      <c r="C2" s="1306" t="s">
        <v>259</v>
      </c>
      <c r="D2" s="1311" t="s">
        <v>40</v>
      </c>
      <c r="E2" s="1312"/>
      <c r="F2" s="561"/>
      <c r="G2" s="1317" t="s">
        <v>38</v>
      </c>
      <c r="H2" s="1320" t="s">
        <v>66</v>
      </c>
      <c r="I2" s="1323" t="s">
        <v>78</v>
      </c>
      <c r="J2" s="1326" t="s">
        <v>81</v>
      </c>
      <c r="K2" s="1327"/>
      <c r="L2" s="1327"/>
      <c r="M2" s="1327"/>
      <c r="N2" s="1327"/>
      <c r="O2" s="1327"/>
      <c r="P2" s="1327"/>
      <c r="Q2" s="1327"/>
      <c r="R2" s="1327"/>
      <c r="S2" s="1327"/>
      <c r="T2" s="1327"/>
      <c r="U2" s="1327"/>
      <c r="V2" s="1327"/>
      <c r="W2" s="1327"/>
      <c r="X2" s="1327"/>
      <c r="Y2" s="1327"/>
      <c r="Z2" s="1328"/>
    </row>
    <row r="3" spans="3:29" ht="27" customHeight="1">
      <c r="C3" s="1277"/>
      <c r="D3" s="1313"/>
      <c r="E3" s="1314"/>
      <c r="F3" s="562"/>
      <c r="G3" s="1318"/>
      <c r="H3" s="1321"/>
      <c r="I3" s="1324"/>
      <c r="J3" s="173" t="s">
        <v>193</v>
      </c>
      <c r="K3" s="1287" t="s">
        <v>185</v>
      </c>
      <c r="L3" s="1288"/>
      <c r="M3" s="1288"/>
      <c r="N3" s="1273"/>
      <c r="O3" s="1273"/>
      <c r="P3" s="1273"/>
      <c r="Q3" s="1273"/>
      <c r="R3" s="1273"/>
      <c r="S3" s="1273"/>
      <c r="T3" s="1273"/>
      <c r="U3" s="1288"/>
      <c r="V3" s="1288"/>
      <c r="W3" s="1288"/>
      <c r="X3" s="1288"/>
      <c r="Y3" s="1288"/>
      <c r="Z3" s="1289"/>
    </row>
    <row r="4" spans="3:29" customFormat="1" ht="75.75" customHeight="1" thickBot="1">
      <c r="C4" s="1307"/>
      <c r="D4" s="1315"/>
      <c r="E4" s="1316"/>
      <c r="F4" s="563"/>
      <c r="G4" s="1319"/>
      <c r="H4" s="1322"/>
      <c r="I4" s="1325"/>
      <c r="J4" s="156" t="s">
        <v>77</v>
      </c>
      <c r="K4" s="157" t="s">
        <v>192</v>
      </c>
      <c r="L4" s="308" t="s">
        <v>180</v>
      </c>
      <c r="M4" s="309" t="s">
        <v>43</v>
      </c>
      <c r="N4" s="209" t="s">
        <v>204</v>
      </c>
      <c r="O4" s="243" t="s">
        <v>872</v>
      </c>
      <c r="P4" s="243" t="s">
        <v>223</v>
      </c>
      <c r="Q4" s="634" t="s">
        <v>481</v>
      </c>
      <c r="R4" s="243" t="s">
        <v>482</v>
      </c>
      <c r="S4" s="634" t="s">
        <v>220</v>
      </c>
      <c r="T4" s="243" t="s">
        <v>221</v>
      </c>
      <c r="U4" s="634" t="s">
        <v>219</v>
      </c>
      <c r="V4" s="243" t="s">
        <v>324</v>
      </c>
      <c r="W4" s="243" t="s">
        <v>325</v>
      </c>
      <c r="X4" s="243" t="s">
        <v>222</v>
      </c>
      <c r="Y4" s="174" t="s">
        <v>175</v>
      </c>
      <c r="Z4" s="158" t="s">
        <v>68</v>
      </c>
    </row>
    <row r="5" spans="3:29" customFormat="1" ht="25" customHeight="1">
      <c r="C5" s="1277" t="s">
        <v>37</v>
      </c>
      <c r="D5" s="165"/>
      <c r="E5" s="824" t="s">
        <v>463</v>
      </c>
      <c r="F5" s="824"/>
      <c r="G5" s="46" t="s">
        <v>39</v>
      </c>
      <c r="H5" s="281">
        <v>1999</v>
      </c>
      <c r="I5" s="175">
        <f t="shared" ref="I5" si="0">J5*12</f>
        <v>11994</v>
      </c>
      <c r="J5" s="64">
        <f>H5*0.5</f>
        <v>999.5</v>
      </c>
      <c r="K5" s="63" t="s">
        <v>45</v>
      </c>
      <c r="L5" s="150">
        <v>60</v>
      </c>
      <c r="M5" s="274">
        <f t="shared" ref="M5:M21" si="1">H5*L5</f>
        <v>119940</v>
      </c>
      <c r="N5" s="205"/>
      <c r="O5" s="242" t="s">
        <v>293</v>
      </c>
      <c r="P5" s="240"/>
      <c r="Q5" s="67"/>
      <c r="R5" s="240"/>
      <c r="S5" s="67">
        <f>ROUNDDOWN(H5*0.5,0)</f>
        <v>999</v>
      </c>
      <c r="T5" s="123">
        <f>H5</f>
        <v>1999</v>
      </c>
      <c r="U5" s="123"/>
      <c r="V5" s="123"/>
      <c r="W5" s="123"/>
      <c r="X5" s="123"/>
      <c r="Y5" s="168">
        <f>I5+(J5*12)+(S5*6)+(T5*42)</f>
        <v>113940</v>
      </c>
      <c r="Z5" s="152">
        <f t="shared" ref="Z5:Z13" si="2">M5-Y5</f>
        <v>6000</v>
      </c>
    </row>
    <row r="6" spans="3:29" customFormat="1" ht="25" customHeight="1">
      <c r="C6" s="1277"/>
      <c r="D6" s="165"/>
      <c r="E6" s="824" t="s">
        <v>464</v>
      </c>
      <c r="F6" s="824"/>
      <c r="G6" s="46" t="s">
        <v>39</v>
      </c>
      <c r="H6" s="281">
        <v>1299</v>
      </c>
      <c r="I6" s="175">
        <f t="shared" ref="I6" si="3">J6*12</f>
        <v>7794</v>
      </c>
      <c r="J6" s="64">
        <f>H6*0.5</f>
        <v>649.5</v>
      </c>
      <c r="K6" s="63" t="s">
        <v>45</v>
      </c>
      <c r="L6" s="150">
        <v>60</v>
      </c>
      <c r="M6" s="274">
        <f t="shared" ref="M6" si="4">H6*L6</f>
        <v>77940</v>
      </c>
      <c r="N6" s="205"/>
      <c r="O6" s="242" t="s">
        <v>293</v>
      </c>
      <c r="P6" s="240"/>
      <c r="Q6" s="67"/>
      <c r="R6" s="240"/>
      <c r="S6" s="67">
        <f>ROUNDDOWN(H6*0.5,0)</f>
        <v>649</v>
      </c>
      <c r="T6" s="123">
        <f>H6</f>
        <v>1299</v>
      </c>
      <c r="U6" s="123"/>
      <c r="V6" s="123"/>
      <c r="W6" s="123"/>
      <c r="X6" s="123"/>
      <c r="Y6" s="168">
        <f>I6+(J6*12)+(S6*6)+(T6*42)</f>
        <v>74040</v>
      </c>
      <c r="Z6" s="152">
        <f t="shared" si="2"/>
        <v>3900</v>
      </c>
      <c r="AA6" s="316"/>
    </row>
    <row r="7" spans="3:29" customFormat="1" ht="25" customHeight="1">
      <c r="C7" s="1277"/>
      <c r="D7" s="165"/>
      <c r="E7" s="824" t="s">
        <v>465</v>
      </c>
      <c r="F7" s="824"/>
      <c r="G7" s="46" t="s">
        <v>39</v>
      </c>
      <c r="H7" s="281">
        <v>1099</v>
      </c>
      <c r="I7" s="175">
        <f t="shared" ref="I7" si="5">J7*12</f>
        <v>6594</v>
      </c>
      <c r="J7" s="64">
        <f>H7*0.5</f>
        <v>549.5</v>
      </c>
      <c r="K7" s="63" t="s">
        <v>45</v>
      </c>
      <c r="L7" s="150">
        <v>60</v>
      </c>
      <c r="M7" s="274">
        <f t="shared" ref="M7:M8" si="6">H7*L7</f>
        <v>65940</v>
      </c>
      <c r="N7" s="205"/>
      <c r="O7" s="242" t="s">
        <v>293</v>
      </c>
      <c r="P7" s="240"/>
      <c r="Q7" s="67"/>
      <c r="R7" s="240"/>
      <c r="S7" s="67">
        <f>ROUNDDOWN(H7*0.5,0)</f>
        <v>549</v>
      </c>
      <c r="T7" s="123">
        <f>H7</f>
        <v>1099</v>
      </c>
      <c r="U7" s="123"/>
      <c r="V7" s="123"/>
      <c r="W7" s="123"/>
      <c r="X7" s="123"/>
      <c r="Y7" s="168">
        <f>I7+(J7*12)+(S7*6)+(T7*42)</f>
        <v>62640</v>
      </c>
      <c r="Z7" s="152">
        <f t="shared" si="2"/>
        <v>3300</v>
      </c>
      <c r="AA7" s="316"/>
    </row>
    <row r="8" spans="3:29" customFormat="1" ht="25" customHeight="1">
      <c r="C8" s="1277"/>
      <c r="D8" s="165" t="s">
        <v>815</v>
      </c>
      <c r="E8" s="1101" t="s">
        <v>800</v>
      </c>
      <c r="F8" s="824" t="s">
        <v>817</v>
      </c>
      <c r="G8" s="46" t="s">
        <v>39</v>
      </c>
      <c r="H8" s="281">
        <v>2599</v>
      </c>
      <c r="I8" s="175">
        <f>J8*12</f>
        <v>15594</v>
      </c>
      <c r="J8" s="64">
        <f t="shared" ref="J8" si="7">MIN(U8,H8)*50%</f>
        <v>1299.5</v>
      </c>
      <c r="K8" s="63" t="s">
        <v>45</v>
      </c>
      <c r="L8" s="150">
        <v>60</v>
      </c>
      <c r="M8" s="274">
        <f t="shared" si="6"/>
        <v>155940</v>
      </c>
      <c r="N8" s="205"/>
      <c r="O8" s="242" t="s">
        <v>293</v>
      </c>
      <c r="P8" s="240"/>
      <c r="Q8" s="67"/>
      <c r="R8" s="240"/>
      <c r="S8" s="67">
        <f>ROUNDDOWN(H8*0.5,0)</f>
        <v>1299</v>
      </c>
      <c r="T8" s="123">
        <f>H8</f>
        <v>2599</v>
      </c>
      <c r="U8" s="123"/>
      <c r="V8" s="123"/>
      <c r="W8" s="123"/>
      <c r="X8" s="123"/>
      <c r="Y8" s="168">
        <f>I8+(J8*12)+(S8*6)+(T8*42)</f>
        <v>148140</v>
      </c>
      <c r="Z8" s="152">
        <f t="shared" ref="Z8" si="8">M8-Y8</f>
        <v>7800</v>
      </c>
      <c r="AA8" s="316"/>
    </row>
    <row r="9" spans="3:29" customFormat="1" ht="30" customHeight="1">
      <c r="C9" s="1277"/>
      <c r="D9" s="411"/>
      <c r="E9" s="824" t="s">
        <v>722</v>
      </c>
      <c r="F9" s="824"/>
      <c r="G9" s="46" t="s">
        <v>39</v>
      </c>
      <c r="H9" s="281">
        <v>1349</v>
      </c>
      <c r="I9" s="175">
        <f>J9*12</f>
        <v>8094</v>
      </c>
      <c r="J9" s="64">
        <f t="shared" ref="J9" si="9">MIN(U9,H9)*50%</f>
        <v>674.5</v>
      </c>
      <c r="K9" s="63" t="s">
        <v>45</v>
      </c>
      <c r="L9" s="150">
        <v>60</v>
      </c>
      <c r="M9" s="274">
        <f t="shared" ref="M9" si="10">H9*L9</f>
        <v>80940</v>
      </c>
      <c r="N9" s="205"/>
      <c r="O9" s="240"/>
      <c r="P9" s="240">
        <f>H9</f>
        <v>1349</v>
      </c>
      <c r="Q9" s="67"/>
      <c r="R9" s="240"/>
      <c r="S9" s="67"/>
      <c r="T9" s="123"/>
      <c r="U9" s="123"/>
      <c r="V9" s="123"/>
      <c r="W9" s="123"/>
      <c r="X9" s="123"/>
      <c r="Y9" s="168">
        <f>I9+(J9*12)+(P9*48)</f>
        <v>80940</v>
      </c>
      <c r="Z9" s="152">
        <f t="shared" si="2"/>
        <v>0</v>
      </c>
    </row>
    <row r="10" spans="3:29" customFormat="1" ht="30" customHeight="1">
      <c r="C10" s="1277"/>
      <c r="D10" s="165"/>
      <c r="E10" s="824" t="s">
        <v>466</v>
      </c>
      <c r="F10" s="824"/>
      <c r="G10" s="46" t="s">
        <v>39</v>
      </c>
      <c r="H10" s="281">
        <v>649</v>
      </c>
      <c r="I10" s="175">
        <f t="shared" ref="I10" si="11">J10*12</f>
        <v>3894</v>
      </c>
      <c r="J10" s="64">
        <f t="shared" ref="J10:J13" si="12">MIN(U10,H10)*50%</f>
        <v>324.5</v>
      </c>
      <c r="K10" s="63" t="s">
        <v>45</v>
      </c>
      <c r="L10" s="150">
        <v>60</v>
      </c>
      <c r="M10" s="274">
        <f t="shared" ref="M10" si="13">H10*L10</f>
        <v>38940</v>
      </c>
      <c r="N10" s="205"/>
      <c r="O10" s="240"/>
      <c r="P10" s="240">
        <f>H10</f>
        <v>649</v>
      </c>
      <c r="Q10" s="67"/>
      <c r="R10" s="240"/>
      <c r="S10" s="67"/>
      <c r="T10" s="123"/>
      <c r="U10" s="123"/>
      <c r="V10" s="123"/>
      <c r="W10" s="123"/>
      <c r="X10" s="123"/>
      <c r="Y10" s="168">
        <f>I10+(J10*12)+(P10*48)</f>
        <v>38940</v>
      </c>
      <c r="Z10" s="152">
        <f t="shared" si="2"/>
        <v>0</v>
      </c>
    </row>
    <row r="11" spans="3:29" customFormat="1" ht="25" customHeight="1">
      <c r="C11" s="1277"/>
      <c r="D11" s="877"/>
      <c r="E11" s="824" t="s">
        <v>467</v>
      </c>
      <c r="F11" s="824"/>
      <c r="G11" s="46" t="s">
        <v>39</v>
      </c>
      <c r="H11" s="281">
        <v>549</v>
      </c>
      <c r="I11" s="175">
        <f t="shared" ref="I11:I12" si="14">J11*12</f>
        <v>3294</v>
      </c>
      <c r="J11" s="64">
        <f t="shared" si="12"/>
        <v>274.5</v>
      </c>
      <c r="K11" s="63" t="s">
        <v>45</v>
      </c>
      <c r="L11" s="150">
        <v>60</v>
      </c>
      <c r="M11" s="274">
        <f t="shared" ref="M11:M12" si="15">H11*L11</f>
        <v>32940</v>
      </c>
      <c r="N11" s="205"/>
      <c r="O11" s="240"/>
      <c r="P11" s="240">
        <f>H11</f>
        <v>549</v>
      </c>
      <c r="Q11" s="67"/>
      <c r="R11" s="240"/>
      <c r="S11" s="67"/>
      <c r="T11" s="123"/>
      <c r="U11" s="123"/>
      <c r="V11" s="123"/>
      <c r="W11" s="123"/>
      <c r="X11" s="123"/>
      <c r="Y11" s="168">
        <f>I11+(J11*12)+(P11*48)</f>
        <v>32940</v>
      </c>
      <c r="Z11" s="152">
        <f t="shared" si="2"/>
        <v>0</v>
      </c>
    </row>
    <row r="12" spans="3:29" customFormat="1" ht="25" customHeight="1">
      <c r="C12" s="1277"/>
      <c r="D12" s="165" t="s">
        <v>815</v>
      </c>
      <c r="E12" s="1101" t="s">
        <v>805</v>
      </c>
      <c r="F12" s="824" t="s">
        <v>816</v>
      </c>
      <c r="G12" s="46"/>
      <c r="H12" s="281">
        <v>699</v>
      </c>
      <c r="I12" s="175">
        <f t="shared" si="14"/>
        <v>4194</v>
      </c>
      <c r="J12" s="64">
        <f t="shared" si="12"/>
        <v>349.5</v>
      </c>
      <c r="K12" s="63" t="s">
        <v>45</v>
      </c>
      <c r="L12" s="150">
        <v>60</v>
      </c>
      <c r="M12" s="274">
        <f t="shared" si="15"/>
        <v>41940</v>
      </c>
      <c r="N12" s="205"/>
      <c r="O12" s="240"/>
      <c r="P12" s="240">
        <f>H12</f>
        <v>699</v>
      </c>
      <c r="Q12" s="67"/>
      <c r="R12" s="240"/>
      <c r="S12" s="67"/>
      <c r="T12" s="123"/>
      <c r="U12" s="123"/>
      <c r="V12" s="123"/>
      <c r="W12" s="123"/>
      <c r="X12" s="123"/>
      <c r="Y12" s="168">
        <f>I12+(J12*12)+(P12*48)</f>
        <v>41940</v>
      </c>
      <c r="Z12" s="152">
        <f t="shared" si="2"/>
        <v>0</v>
      </c>
    </row>
    <row r="13" spans="3:29" customFormat="1" ht="25" customHeight="1">
      <c r="C13" s="1277"/>
      <c r="D13" s="1056"/>
      <c r="E13" s="824" t="s">
        <v>469</v>
      </c>
      <c r="F13" s="824" t="s">
        <v>480</v>
      </c>
      <c r="G13" s="46" t="s">
        <v>39</v>
      </c>
      <c r="H13" s="908">
        <f>499+50</f>
        <v>549</v>
      </c>
      <c r="I13" s="175">
        <f t="shared" ref="I13" si="16">J13*12</f>
        <v>3294</v>
      </c>
      <c r="J13" s="64">
        <f t="shared" si="12"/>
        <v>274.5</v>
      </c>
      <c r="K13" s="63" t="s">
        <v>45</v>
      </c>
      <c r="L13" s="150">
        <v>60</v>
      </c>
      <c r="M13" s="274">
        <f t="shared" ref="M13" si="17">H13*L13</f>
        <v>32940</v>
      </c>
      <c r="N13" s="205"/>
      <c r="O13" s="240"/>
      <c r="P13" s="240">
        <f>H13</f>
        <v>549</v>
      </c>
      <c r="Q13" s="67"/>
      <c r="R13" s="240"/>
      <c r="S13" s="67"/>
      <c r="T13" s="123"/>
      <c r="U13" s="123"/>
      <c r="V13" s="123"/>
      <c r="W13" s="123"/>
      <c r="X13" s="123"/>
      <c r="Y13" s="168">
        <f>I13+(J13*12)+(P13*48)</f>
        <v>32940</v>
      </c>
      <c r="Z13" s="152">
        <f t="shared" si="2"/>
        <v>0</v>
      </c>
    </row>
    <row r="14" spans="3:29" customFormat="1" ht="25" customHeight="1">
      <c r="C14" s="1277"/>
      <c r="D14" s="151"/>
      <c r="E14" s="824" t="s">
        <v>214</v>
      </c>
      <c r="F14" s="824" t="s">
        <v>455</v>
      </c>
      <c r="G14" s="46" t="s">
        <v>39</v>
      </c>
      <c r="H14" s="908">
        <f>649+100</f>
        <v>749</v>
      </c>
      <c r="I14" s="175">
        <f t="shared" ref="I14:I16" si="18">J14*12</f>
        <v>4494</v>
      </c>
      <c r="J14" s="64">
        <f>H14*0.5</f>
        <v>374.5</v>
      </c>
      <c r="K14" s="63" t="s">
        <v>45</v>
      </c>
      <c r="L14" s="150">
        <v>60</v>
      </c>
      <c r="M14" s="274">
        <f>H14*L14</f>
        <v>44940</v>
      </c>
      <c r="N14" s="205"/>
      <c r="O14" s="941" t="s">
        <v>218</v>
      </c>
      <c r="P14" s="240"/>
      <c r="Q14" s="67"/>
      <c r="R14" s="240"/>
      <c r="S14" s="67"/>
      <c r="T14" s="123"/>
      <c r="U14" s="67">
        <f>ROUNDDOWN(H14*0.5,0)</f>
        <v>374</v>
      </c>
      <c r="V14" s="123"/>
      <c r="W14" s="123"/>
      <c r="X14" s="123">
        <f>H14</f>
        <v>749</v>
      </c>
      <c r="Y14" s="168">
        <f>I14+(J14*12)+(U14*12)+(X14*36)</f>
        <v>40440</v>
      </c>
      <c r="Z14" s="152">
        <f t="shared" ref="Z14:Z16" si="19">M14-Y14</f>
        <v>4500</v>
      </c>
      <c r="AC14" s="316"/>
    </row>
    <row r="15" spans="3:29" customFormat="1" ht="25" customHeight="1">
      <c r="C15" s="1061"/>
      <c r="D15" s="781" t="s">
        <v>797</v>
      </c>
      <c r="E15" s="1102" t="s">
        <v>487</v>
      </c>
      <c r="F15" s="824"/>
      <c r="G15" s="46" t="s">
        <v>39</v>
      </c>
      <c r="H15" s="908">
        <f>799-100</f>
        <v>699</v>
      </c>
      <c r="I15" s="175">
        <f t="shared" si="18"/>
        <v>4194</v>
      </c>
      <c r="J15" s="64">
        <f>H15*0.5</f>
        <v>349.5</v>
      </c>
      <c r="K15" s="63" t="s">
        <v>45</v>
      </c>
      <c r="L15" s="150">
        <v>60</v>
      </c>
      <c r="M15" s="274">
        <f t="shared" ref="M15" si="20">H15*L15</f>
        <v>41940</v>
      </c>
      <c r="N15" s="205"/>
      <c r="O15" s="240"/>
      <c r="P15" s="240">
        <f>H15</f>
        <v>699</v>
      </c>
      <c r="Q15" s="67"/>
      <c r="R15" s="240"/>
      <c r="S15" s="67"/>
      <c r="T15" s="123"/>
      <c r="U15" s="123"/>
      <c r="V15" s="123"/>
      <c r="W15" s="123"/>
      <c r="X15" s="123"/>
      <c r="Y15" s="168">
        <f>I15+(J15*12)+(P15*48)</f>
        <v>41940</v>
      </c>
      <c r="Z15" s="152">
        <f t="shared" si="19"/>
        <v>0</v>
      </c>
      <c r="AA15" s="316"/>
    </row>
    <row r="16" spans="3:29" customFormat="1" ht="30" customHeight="1" thickBot="1">
      <c r="C16" s="1061"/>
      <c r="D16" s="781" t="s">
        <v>797</v>
      </c>
      <c r="E16" s="1102" t="s">
        <v>490</v>
      </c>
      <c r="F16" s="824"/>
      <c r="G16" s="46" t="s">
        <v>39</v>
      </c>
      <c r="H16" s="908">
        <f>999-150</f>
        <v>849</v>
      </c>
      <c r="I16" s="175">
        <f t="shared" si="18"/>
        <v>5094</v>
      </c>
      <c r="J16" s="64">
        <f t="shared" ref="J16" si="21">MIN(U16,H16)*50%</f>
        <v>424.5</v>
      </c>
      <c r="K16" s="63" t="s">
        <v>45</v>
      </c>
      <c r="L16" s="150">
        <v>60</v>
      </c>
      <c r="M16" s="274">
        <f t="shared" ref="M16" si="22">H16*L16</f>
        <v>50940</v>
      </c>
      <c r="N16" s="205"/>
      <c r="O16" s="240"/>
      <c r="P16" s="240">
        <f>H16</f>
        <v>849</v>
      </c>
      <c r="Q16" s="67"/>
      <c r="R16" s="240"/>
      <c r="S16" s="67"/>
      <c r="T16" s="123"/>
      <c r="U16" s="123"/>
      <c r="V16" s="123"/>
      <c r="W16" s="123"/>
      <c r="X16" s="123"/>
      <c r="Y16" s="168">
        <f>I16+(J16*12)+(P16*48)</f>
        <v>50940</v>
      </c>
      <c r="Z16" s="152">
        <f t="shared" si="19"/>
        <v>0</v>
      </c>
    </row>
    <row r="17" spans="3:26" customFormat="1" ht="25" customHeight="1">
      <c r="C17" s="1296" t="s">
        <v>44</v>
      </c>
      <c r="D17" s="387"/>
      <c r="E17" s="821" t="s">
        <v>216</v>
      </c>
      <c r="F17" s="821"/>
      <c r="G17" s="60" t="s">
        <v>86</v>
      </c>
      <c r="H17" s="923">
        <f>1399+100</f>
        <v>1499</v>
      </c>
      <c r="I17" s="210">
        <f t="shared" ref="I17:I24" si="23">J17*12</f>
        <v>8994</v>
      </c>
      <c r="J17" s="211">
        <f t="shared" ref="J17:J18" si="24">H17*0.5</f>
        <v>749.5</v>
      </c>
      <c r="K17" s="118" t="s">
        <v>45</v>
      </c>
      <c r="L17" s="388">
        <v>60</v>
      </c>
      <c r="M17" s="272">
        <f t="shared" ref="M17:M19" si="25">H17*L17</f>
        <v>89940</v>
      </c>
      <c r="N17" s="194"/>
      <c r="O17" s="246" t="s">
        <v>293</v>
      </c>
      <c r="P17" s="163"/>
      <c r="Q17" s="636"/>
      <c r="R17" s="117"/>
      <c r="S17" s="636">
        <f t="shared" ref="S17" si="26">ROUNDDOWN(H17*0.5,0)</f>
        <v>749</v>
      </c>
      <c r="T17" s="117">
        <f t="shared" ref="T17" si="27">H17</f>
        <v>1499</v>
      </c>
      <c r="U17" s="225"/>
      <c r="V17" s="225"/>
      <c r="W17" s="225"/>
      <c r="X17" s="225"/>
      <c r="Y17" s="169">
        <f t="shared" ref="Y17" si="28">I17+(J17*12)+(S17*6)+(T17*42)</f>
        <v>85440</v>
      </c>
      <c r="Z17" s="153">
        <f t="shared" ref="Z17:Z20" si="29">M17-Y17</f>
        <v>4500</v>
      </c>
    </row>
    <row r="18" spans="3:26" customFormat="1" ht="25" customHeight="1">
      <c r="C18" s="1277"/>
      <c r="D18" s="165" t="s">
        <v>815</v>
      </c>
      <c r="E18" s="879" t="s">
        <v>846</v>
      </c>
      <c r="F18" s="555"/>
      <c r="G18" s="46" t="s">
        <v>86</v>
      </c>
      <c r="H18" s="878">
        <v>1199</v>
      </c>
      <c r="I18" s="922">
        <f t="shared" si="23"/>
        <v>7194</v>
      </c>
      <c r="J18" s="64">
        <f t="shared" si="24"/>
        <v>599.5</v>
      </c>
      <c r="K18" s="63" t="s">
        <v>45</v>
      </c>
      <c r="L18" s="150">
        <v>60</v>
      </c>
      <c r="M18" s="274">
        <f t="shared" si="25"/>
        <v>71940</v>
      </c>
      <c r="N18" s="205"/>
      <c r="O18" s="242" t="s">
        <v>293</v>
      </c>
      <c r="P18" s="240"/>
      <c r="Q18" s="67"/>
      <c r="R18" s="240"/>
      <c r="S18" s="67">
        <f>ROUNDDOWN(H18*0.5,0)</f>
        <v>599</v>
      </c>
      <c r="T18" s="240">
        <f>H18</f>
        <v>1199</v>
      </c>
      <c r="U18" s="123"/>
      <c r="V18" s="123"/>
      <c r="W18" s="123"/>
      <c r="X18" s="123"/>
      <c r="Y18" s="168">
        <f>I18+(J18*12)+(S18*6)+(T18*42)</f>
        <v>68340</v>
      </c>
      <c r="Z18" s="152">
        <f t="shared" ref="Z18" si="30">M18-Y18</f>
        <v>3600</v>
      </c>
    </row>
    <row r="19" spans="3:26" customFormat="1" ht="25" customHeight="1">
      <c r="C19" s="1277"/>
      <c r="D19" s="165" t="s">
        <v>815</v>
      </c>
      <c r="E19" s="879" t="s">
        <v>845</v>
      </c>
      <c r="F19" s="555" t="s">
        <v>884</v>
      </c>
      <c r="G19" s="46" t="s">
        <v>86</v>
      </c>
      <c r="H19" s="878">
        <v>999</v>
      </c>
      <c r="I19" s="922">
        <f t="shared" ref="I19" si="31">J19*12</f>
        <v>5994</v>
      </c>
      <c r="J19" s="64">
        <f t="shared" ref="J19" si="32">H19*0.5</f>
        <v>499.5</v>
      </c>
      <c r="K19" s="63" t="s">
        <v>45</v>
      </c>
      <c r="L19" s="150">
        <v>60</v>
      </c>
      <c r="M19" s="274">
        <f t="shared" si="25"/>
        <v>59940</v>
      </c>
      <c r="N19" s="205"/>
      <c r="O19" s="242" t="s">
        <v>293</v>
      </c>
      <c r="P19" s="240"/>
      <c r="Q19" s="67"/>
      <c r="R19" s="240"/>
      <c r="S19" s="67">
        <f>ROUNDDOWN(H19*0.5,0)</f>
        <v>499</v>
      </c>
      <c r="T19" s="240">
        <f>H19</f>
        <v>999</v>
      </c>
      <c r="U19" s="123"/>
      <c r="V19" s="123"/>
      <c r="W19" s="123"/>
      <c r="X19" s="123"/>
      <c r="Y19" s="168">
        <f>I19+(J19*12)+(S19*6)+(T19*42)</f>
        <v>56940</v>
      </c>
      <c r="Z19" s="152">
        <f t="shared" si="29"/>
        <v>3000</v>
      </c>
    </row>
    <row r="20" spans="3:26" customFormat="1" ht="25" customHeight="1">
      <c r="C20" s="1277"/>
      <c r="D20" s="151"/>
      <c r="E20" s="555" t="s">
        <v>164</v>
      </c>
      <c r="F20" s="555"/>
      <c r="G20" s="46" t="s">
        <v>39</v>
      </c>
      <c r="H20" s="908">
        <f>599+100</f>
        <v>699</v>
      </c>
      <c r="I20" s="112">
        <f t="shared" si="23"/>
        <v>4194</v>
      </c>
      <c r="J20" s="64">
        <f t="shared" ref="J20:J21" si="33">H20*0.5</f>
        <v>349.5</v>
      </c>
      <c r="K20" s="67" t="s">
        <v>45</v>
      </c>
      <c r="L20" s="150">
        <v>60</v>
      </c>
      <c r="M20" s="274">
        <f t="shared" si="1"/>
        <v>41940</v>
      </c>
      <c r="N20" s="205"/>
      <c r="O20" s="941" t="s">
        <v>218</v>
      </c>
      <c r="P20" s="240"/>
      <c r="Q20" s="67"/>
      <c r="R20" s="240"/>
      <c r="S20" s="67"/>
      <c r="T20" s="240"/>
      <c r="U20" s="67">
        <f>ROUNDDOWN(H20*0.5,0)</f>
        <v>349</v>
      </c>
      <c r="V20" s="123"/>
      <c r="W20" s="123"/>
      <c r="X20" s="123">
        <f>H20</f>
        <v>699</v>
      </c>
      <c r="Y20" s="168">
        <f>I20+(J20*12)+(U20*12)+(X20*36)</f>
        <v>37740</v>
      </c>
      <c r="Z20" s="152">
        <f t="shared" si="29"/>
        <v>4200</v>
      </c>
    </row>
    <row r="21" spans="3:26" customFormat="1" ht="25" customHeight="1">
      <c r="C21" s="1277"/>
      <c r="D21" s="165"/>
      <c r="E21" s="555" t="s">
        <v>483</v>
      </c>
      <c r="F21" s="555" t="s">
        <v>488</v>
      </c>
      <c r="G21" s="46" t="s">
        <v>39</v>
      </c>
      <c r="H21" s="88">
        <v>399</v>
      </c>
      <c r="I21" s="112">
        <f t="shared" si="23"/>
        <v>2394</v>
      </c>
      <c r="J21" s="64">
        <f t="shared" si="33"/>
        <v>199.5</v>
      </c>
      <c r="K21" s="67" t="s">
        <v>45</v>
      </c>
      <c r="L21" s="150">
        <v>60</v>
      </c>
      <c r="M21" s="274">
        <f t="shared" si="1"/>
        <v>23940</v>
      </c>
      <c r="N21" s="205"/>
      <c r="O21" s="760"/>
      <c r="P21" s="228">
        <f>H21</f>
        <v>399</v>
      </c>
      <c r="Q21" s="67"/>
      <c r="R21" s="240"/>
      <c r="S21" s="67"/>
      <c r="T21" s="123"/>
      <c r="U21" s="123"/>
      <c r="V21" s="123"/>
      <c r="W21" s="123"/>
      <c r="X21" s="123"/>
      <c r="Y21" s="168">
        <f>I21+(J21*12)+(P21*48)</f>
        <v>23940</v>
      </c>
      <c r="Z21" s="152">
        <f t="shared" ref="Z21" si="34">M21-Y21</f>
        <v>0</v>
      </c>
    </row>
    <row r="22" spans="3:26" customFormat="1" ht="25" customHeight="1" thickBot="1">
      <c r="C22" s="1307"/>
      <c r="D22" s="876" t="s">
        <v>797</v>
      </c>
      <c r="E22" s="1094" t="s">
        <v>365</v>
      </c>
      <c r="F22" s="820"/>
      <c r="G22" s="826" t="s">
        <v>86</v>
      </c>
      <c r="H22" s="924">
        <f>449-100</f>
        <v>349</v>
      </c>
      <c r="I22" s="628">
        <f t="shared" ref="I22" si="35">J22*12</f>
        <v>2094</v>
      </c>
      <c r="J22" s="629">
        <f>MIN(U22,H22)*50%</f>
        <v>174.5</v>
      </c>
      <c r="K22" s="630" t="s">
        <v>45</v>
      </c>
      <c r="L22" s="631">
        <v>60</v>
      </c>
      <c r="M22" s="632">
        <f>H22*L22</f>
        <v>20940</v>
      </c>
      <c r="N22" s="206"/>
      <c r="O22" s="644" t="s">
        <v>489</v>
      </c>
      <c r="P22" s="633"/>
      <c r="Q22" s="67">
        <f>ROUNDDOWN(H22*0.5,0)</f>
        <v>174</v>
      </c>
      <c r="R22" s="240">
        <f>H22</f>
        <v>349</v>
      </c>
      <c r="S22" s="67"/>
      <c r="T22" s="123"/>
      <c r="U22" s="123"/>
      <c r="V22" s="123"/>
      <c r="W22" s="123"/>
      <c r="X22" s="123"/>
      <c r="Y22" s="168">
        <f>I22+(J22*12)+(Q22*3)+(R22*45)</f>
        <v>20415</v>
      </c>
      <c r="Z22" s="152">
        <f t="shared" ref="Z22:Z27" si="36">M22-Y22</f>
        <v>525</v>
      </c>
    </row>
    <row r="23" spans="3:26" customFormat="1" ht="25" customHeight="1">
      <c r="C23" s="1308" t="s">
        <v>258</v>
      </c>
      <c r="D23" s="244"/>
      <c r="E23" s="827" t="s">
        <v>165</v>
      </c>
      <c r="F23" s="827"/>
      <c r="G23" s="60" t="s">
        <v>39</v>
      </c>
      <c r="H23" s="923">
        <f>79+20+10</f>
        <v>109</v>
      </c>
      <c r="I23" s="210">
        <f t="shared" si="23"/>
        <v>654</v>
      </c>
      <c r="J23" s="211">
        <f>MIN(U23,H23)*50%</f>
        <v>54.5</v>
      </c>
      <c r="K23" s="118" t="s">
        <v>45</v>
      </c>
      <c r="L23" s="245">
        <v>60</v>
      </c>
      <c r="M23" s="272">
        <f>H23*L23</f>
        <v>6540</v>
      </c>
      <c r="N23" s="194"/>
      <c r="O23" s="117"/>
      <c r="P23" s="117">
        <f>H23</f>
        <v>109</v>
      </c>
      <c r="Q23" s="636"/>
      <c r="R23" s="117"/>
      <c r="S23" s="636"/>
      <c r="T23" s="117"/>
      <c r="U23" s="204"/>
      <c r="V23" s="204"/>
      <c r="W23" s="204"/>
      <c r="X23" s="204"/>
      <c r="Y23" s="169">
        <f>I23+(J23*12)+(P23*48)</f>
        <v>6540</v>
      </c>
      <c r="Z23" s="153">
        <f t="shared" si="36"/>
        <v>0</v>
      </c>
    </row>
    <row r="24" spans="3:26" customFormat="1" ht="25" customHeight="1">
      <c r="C24" s="1309"/>
      <c r="D24" s="159"/>
      <c r="E24" s="828" t="s">
        <v>166</v>
      </c>
      <c r="F24" s="828"/>
      <c r="G24" s="46" t="s">
        <v>39</v>
      </c>
      <c r="H24" s="925">
        <f>109+20+10</f>
        <v>139</v>
      </c>
      <c r="I24" s="112">
        <f t="shared" si="23"/>
        <v>834</v>
      </c>
      <c r="J24" s="64">
        <f>MIN(U24,H24)*50%</f>
        <v>69.5</v>
      </c>
      <c r="K24" s="63" t="s">
        <v>45</v>
      </c>
      <c r="L24" s="155">
        <v>60</v>
      </c>
      <c r="M24" s="274">
        <f>H24*L24</f>
        <v>8340</v>
      </c>
      <c r="N24" s="205"/>
      <c r="O24" s="240"/>
      <c r="P24" s="240">
        <f>H24</f>
        <v>139</v>
      </c>
      <c r="Q24" s="67"/>
      <c r="R24" s="240"/>
      <c r="S24" s="67"/>
      <c r="T24" s="240"/>
      <c r="U24" s="203"/>
      <c r="V24" s="203"/>
      <c r="W24" s="203"/>
      <c r="X24" s="203"/>
      <c r="Y24" s="168">
        <f>I24+(J24*12)+(P24*48)</f>
        <v>8340</v>
      </c>
      <c r="Z24" s="152">
        <f t="shared" si="36"/>
        <v>0</v>
      </c>
    </row>
    <row r="25" spans="3:26" customFormat="1" ht="25" customHeight="1">
      <c r="C25" s="1309"/>
      <c r="D25" s="77"/>
      <c r="E25" s="829" t="s">
        <v>326</v>
      </c>
      <c r="F25" s="829"/>
      <c r="G25" s="825" t="s">
        <v>86</v>
      </c>
      <c r="H25" s="88">
        <v>299</v>
      </c>
      <c r="I25" s="112">
        <f t="shared" ref="I25" si="37">J25*12</f>
        <v>1794</v>
      </c>
      <c r="J25" s="64">
        <f>MIN(U25,H25)*50%</f>
        <v>149.5</v>
      </c>
      <c r="K25" s="63" t="s">
        <v>45</v>
      </c>
      <c r="L25" s="155">
        <v>60</v>
      </c>
      <c r="M25" s="274">
        <f>H25*L25</f>
        <v>17940</v>
      </c>
      <c r="N25" s="205"/>
      <c r="O25" s="240"/>
      <c r="P25" s="240">
        <f>H25</f>
        <v>299</v>
      </c>
      <c r="Q25" s="67"/>
      <c r="R25" s="240"/>
      <c r="S25" s="67"/>
      <c r="T25" s="240"/>
      <c r="U25" s="203"/>
      <c r="V25" s="203"/>
      <c r="W25" s="203"/>
      <c r="X25" s="203"/>
      <c r="Y25" s="168">
        <f>I25+(J25*12)+(P25*48)</f>
        <v>17940</v>
      </c>
      <c r="Z25" s="152">
        <f t="shared" si="36"/>
        <v>0</v>
      </c>
    </row>
    <row r="26" spans="3:26" customFormat="1" ht="25" customHeight="1">
      <c r="C26" s="1309"/>
      <c r="D26" s="414"/>
      <c r="E26" s="829" t="s">
        <v>253</v>
      </c>
      <c r="F26" s="829"/>
      <c r="G26" s="46" t="s">
        <v>39</v>
      </c>
      <c r="H26" s="925">
        <f>329+70+50</f>
        <v>449</v>
      </c>
      <c r="I26" s="112">
        <f t="shared" ref="I26:I27" si="38">J26*12</f>
        <v>2694</v>
      </c>
      <c r="J26" s="64">
        <f t="shared" ref="J26:J27" si="39">MIN(U26,H26)*50%</f>
        <v>224.5</v>
      </c>
      <c r="K26" s="63" t="s">
        <v>45</v>
      </c>
      <c r="L26" s="155">
        <v>60</v>
      </c>
      <c r="M26" s="274">
        <f t="shared" ref="M26:M27" si="40">H26*L26</f>
        <v>26940</v>
      </c>
      <c r="N26" s="205"/>
      <c r="O26" s="240"/>
      <c r="P26" s="240">
        <f t="shared" ref="P26:P27" si="41">H26</f>
        <v>449</v>
      </c>
      <c r="Q26" s="67"/>
      <c r="R26" s="240"/>
      <c r="S26" s="67"/>
      <c r="T26" s="240"/>
      <c r="U26" s="203"/>
      <c r="V26" s="203"/>
      <c r="W26" s="203"/>
      <c r="X26" s="203"/>
      <c r="Y26" s="168">
        <f t="shared" ref="Y26:Y27" si="42">I26+(J26*12)+(P26*48)</f>
        <v>26940</v>
      </c>
      <c r="Z26" s="152">
        <f t="shared" si="36"/>
        <v>0</v>
      </c>
    </row>
    <row r="27" spans="3:26" customFormat="1" ht="25" customHeight="1">
      <c r="C27" s="1310"/>
      <c r="D27" s="832" t="s">
        <v>793</v>
      </c>
      <c r="E27" s="830" t="s">
        <v>257</v>
      </c>
      <c r="F27" s="830"/>
      <c r="G27" s="238" t="s">
        <v>39</v>
      </c>
      <c r="H27" s="926">
        <f>159+10+20</f>
        <v>189</v>
      </c>
      <c r="I27" s="658">
        <f t="shared" si="38"/>
        <v>1134</v>
      </c>
      <c r="J27" s="659">
        <f t="shared" si="39"/>
        <v>94.5</v>
      </c>
      <c r="K27" s="660" t="s">
        <v>45</v>
      </c>
      <c r="L27" s="661">
        <v>60</v>
      </c>
      <c r="M27" s="310">
        <f t="shared" si="40"/>
        <v>11340</v>
      </c>
      <c r="N27" s="208"/>
      <c r="O27" s="662"/>
      <c r="P27" s="662">
        <f t="shared" si="41"/>
        <v>189</v>
      </c>
      <c r="Q27" s="663"/>
      <c r="R27" s="662"/>
      <c r="S27" s="663"/>
      <c r="T27" s="662"/>
      <c r="U27" s="664"/>
      <c r="V27" s="664"/>
      <c r="W27" s="664"/>
      <c r="X27" s="664"/>
      <c r="Y27" s="665">
        <f t="shared" si="42"/>
        <v>11340</v>
      </c>
      <c r="Z27" s="666">
        <f t="shared" si="36"/>
        <v>0</v>
      </c>
    </row>
    <row r="28" spans="3:26" customFormat="1" ht="16" customHeight="1">
      <c r="C28" s="365"/>
      <c r="D28" s="68"/>
      <c r="E28" s="66"/>
      <c r="F28" s="66"/>
      <c r="G28" s="69"/>
      <c r="H28" s="334"/>
      <c r="I28" s="69"/>
      <c r="J28" s="68"/>
      <c r="K28" s="66"/>
      <c r="L28" s="75"/>
      <c r="M28" s="74"/>
      <c r="N28" s="74"/>
      <c r="O28" s="74"/>
      <c r="P28" s="74"/>
      <c r="Q28" s="637"/>
      <c r="R28" s="74"/>
      <c r="S28" s="637"/>
      <c r="T28" s="74"/>
      <c r="U28" s="40"/>
      <c r="V28" s="40"/>
      <c r="W28" s="40"/>
      <c r="X28" s="40"/>
      <c r="Y28" s="40"/>
      <c r="Z28" s="73"/>
    </row>
    <row r="29" spans="3:26" customFormat="1" ht="16" customHeight="1">
      <c r="C29" s="365"/>
      <c r="D29" s="68"/>
      <c r="E29" s="66"/>
      <c r="F29" s="66"/>
      <c r="G29" s="69"/>
      <c r="H29" s="393"/>
      <c r="I29" s="394"/>
      <c r="J29" s="390"/>
      <c r="K29" s="66"/>
      <c r="L29" s="75"/>
      <c r="M29" s="74"/>
      <c r="N29" s="74"/>
      <c r="O29" s="74"/>
      <c r="P29" s="74"/>
      <c r="Q29" s="637"/>
      <c r="R29" s="74"/>
      <c r="S29" s="637"/>
      <c r="T29" s="74"/>
      <c r="U29" s="40"/>
      <c r="V29" s="40"/>
      <c r="W29" s="40"/>
      <c r="X29" s="40"/>
      <c r="Y29" s="40"/>
      <c r="Z29" s="73"/>
    </row>
    <row r="30" spans="3:26" customFormat="1" ht="16" customHeight="1">
      <c r="C30" s="365"/>
      <c r="D30" s="68"/>
      <c r="E30" s="66"/>
      <c r="F30" s="66"/>
      <c r="G30" s="69"/>
      <c r="H30" s="393"/>
      <c r="I30" s="389"/>
      <c r="J30" s="390"/>
      <c r="K30" s="66"/>
      <c r="L30" s="75"/>
      <c r="M30" s="74"/>
      <c r="N30" s="74"/>
      <c r="O30" s="74"/>
      <c r="P30" s="74"/>
      <c r="Q30" s="637"/>
      <c r="R30" s="74"/>
      <c r="S30" s="637"/>
      <c r="T30" s="74"/>
      <c r="U30" s="40"/>
      <c r="V30" s="40"/>
      <c r="W30" s="40"/>
      <c r="X30" s="40"/>
      <c r="Y30" s="40"/>
      <c r="Z30" s="73"/>
    </row>
    <row r="31" spans="3:26" customFormat="1" ht="16" customHeight="1">
      <c r="C31" s="365"/>
      <c r="D31" s="39"/>
      <c r="G31" s="41"/>
      <c r="H31" s="334"/>
      <c r="I31" s="41"/>
      <c r="J31" s="391"/>
      <c r="L31" s="148"/>
      <c r="M31" s="90"/>
      <c r="N31" s="90"/>
      <c r="O31" s="90"/>
      <c r="P31" s="90"/>
      <c r="Q31" s="638"/>
      <c r="R31" s="90"/>
      <c r="S31" s="638"/>
      <c r="T31" s="90"/>
      <c r="U31" s="40"/>
      <c r="V31" s="40"/>
      <c r="W31" s="40"/>
      <c r="X31" s="40"/>
      <c r="Y31" s="40"/>
      <c r="Z31" s="73"/>
    </row>
    <row r="32" spans="3:26" customFormat="1" ht="16" customHeight="1">
      <c r="C32" s="365"/>
      <c r="D32" s="39"/>
      <c r="G32" s="41"/>
      <c r="H32" s="334"/>
      <c r="I32" s="41"/>
      <c r="J32" s="392"/>
      <c r="L32" s="148"/>
      <c r="M32" s="90"/>
      <c r="N32" s="90"/>
      <c r="O32" s="90"/>
      <c r="P32" s="90"/>
      <c r="Q32" s="638"/>
      <c r="R32" s="90"/>
      <c r="S32" s="638"/>
      <c r="T32" s="90"/>
      <c r="U32" s="40"/>
      <c r="V32" s="40"/>
      <c r="W32" s="40"/>
      <c r="X32" s="40"/>
      <c r="Y32" s="40"/>
      <c r="Z32" s="73"/>
    </row>
    <row r="33" spans="3:26" customFormat="1" ht="16" customHeight="1">
      <c r="C33" s="365"/>
      <c r="D33" s="39"/>
      <c r="G33" s="41"/>
      <c r="H33" s="334"/>
      <c r="I33" s="41"/>
      <c r="J33" s="39"/>
      <c r="L33" s="148"/>
      <c r="M33" s="90"/>
      <c r="N33" s="90"/>
      <c r="O33" s="90"/>
      <c r="P33" s="90"/>
      <c r="Q33" s="638"/>
      <c r="R33" s="90"/>
      <c r="S33" s="638"/>
      <c r="T33" s="90"/>
      <c r="U33" s="40"/>
      <c r="V33" s="40"/>
      <c r="W33" s="40"/>
      <c r="X33" s="40"/>
      <c r="Y33" s="40"/>
      <c r="Z33" s="73"/>
    </row>
    <row r="34" spans="3:26" customFormat="1" ht="16" customHeight="1">
      <c r="C34" s="365"/>
      <c r="D34" s="39"/>
      <c r="G34" s="41"/>
      <c r="H34" s="334"/>
      <c r="I34" s="41"/>
      <c r="J34" s="39"/>
      <c r="L34" s="148"/>
      <c r="M34" s="90"/>
      <c r="N34" s="90"/>
      <c r="O34" s="90"/>
      <c r="P34" s="90"/>
      <c r="Q34" s="638"/>
      <c r="R34" s="90"/>
      <c r="S34" s="638"/>
      <c r="T34" s="90"/>
      <c r="U34" s="40"/>
      <c r="V34" s="40"/>
      <c r="W34" s="40"/>
      <c r="X34" s="40"/>
      <c r="Y34" s="40"/>
      <c r="Z34" s="73"/>
    </row>
    <row r="35" spans="3:26" customFormat="1" ht="16" customHeight="1">
      <c r="C35" s="365"/>
      <c r="D35" s="39"/>
      <c r="G35" s="41"/>
      <c r="H35" s="334"/>
      <c r="I35" s="41"/>
      <c r="J35" s="39"/>
      <c r="L35" s="148"/>
      <c r="M35" s="90"/>
      <c r="N35" s="90"/>
      <c r="O35" s="90"/>
      <c r="P35" s="90"/>
      <c r="Q35" s="638"/>
      <c r="R35" s="90"/>
      <c r="S35" s="638"/>
      <c r="T35" s="90"/>
      <c r="U35" s="40"/>
      <c r="V35" s="40"/>
      <c r="W35" s="40"/>
      <c r="X35" s="40"/>
      <c r="Y35" s="40"/>
      <c r="Z35" s="73"/>
    </row>
    <row r="36" spans="3:26" customFormat="1" ht="16" customHeight="1">
      <c r="C36" s="365"/>
      <c r="D36" s="39"/>
      <c r="G36" s="41"/>
      <c r="H36" s="334"/>
      <c r="I36" s="41"/>
      <c r="J36" s="39"/>
      <c r="L36" s="148"/>
      <c r="M36" s="90"/>
      <c r="N36" s="90"/>
      <c r="O36" s="90"/>
      <c r="P36" s="90"/>
      <c r="Q36" s="638"/>
      <c r="R36" s="90"/>
      <c r="S36" s="638"/>
      <c r="T36" s="90"/>
      <c r="U36" s="40"/>
      <c r="V36" s="40"/>
      <c r="W36" s="40"/>
      <c r="X36" s="40"/>
      <c r="Y36" s="40"/>
      <c r="Z36" s="73"/>
    </row>
    <row r="37" spans="3:26" customFormat="1" ht="16" customHeight="1">
      <c r="C37" s="365"/>
      <c r="D37" s="39"/>
      <c r="G37" s="41"/>
      <c r="H37" s="334"/>
      <c r="I37" s="41"/>
      <c r="J37" s="39"/>
      <c r="L37" s="148"/>
      <c r="M37" s="90"/>
      <c r="N37" s="90"/>
      <c r="O37" s="90"/>
      <c r="P37" s="90"/>
      <c r="Q37" s="638"/>
      <c r="R37" s="90"/>
      <c r="S37" s="638"/>
      <c r="T37" s="90"/>
      <c r="U37" s="40"/>
      <c r="V37" s="40"/>
      <c r="W37" s="40"/>
      <c r="X37" s="40"/>
      <c r="Y37" s="40"/>
      <c r="Z37" s="73"/>
    </row>
    <row r="38" spans="3:26" customFormat="1" ht="16" customHeight="1">
      <c r="C38" s="365"/>
      <c r="D38" s="39"/>
      <c r="G38" s="41"/>
      <c r="H38" s="334"/>
      <c r="I38" s="41"/>
      <c r="J38" s="39"/>
      <c r="L38" s="148"/>
      <c r="M38" s="90"/>
      <c r="N38" s="90"/>
      <c r="O38" s="90"/>
      <c r="P38" s="90"/>
      <c r="Q38" s="638"/>
      <c r="R38" s="90"/>
      <c r="S38" s="638"/>
      <c r="T38" s="90"/>
      <c r="U38" s="40"/>
      <c r="V38" s="40"/>
      <c r="W38" s="40"/>
      <c r="X38" s="40"/>
      <c r="Y38" s="40"/>
      <c r="Z38" s="73"/>
    </row>
    <row r="39" spans="3:26" customFormat="1" ht="16" customHeight="1">
      <c r="C39" s="365"/>
      <c r="D39" s="39"/>
      <c r="G39" s="41"/>
      <c r="H39" s="334"/>
      <c r="I39" s="41"/>
      <c r="J39" s="39"/>
      <c r="L39" s="148"/>
      <c r="M39" s="90"/>
      <c r="N39" s="90"/>
      <c r="O39" s="90"/>
      <c r="P39" s="90"/>
      <c r="Q39" s="638"/>
      <c r="R39" s="90"/>
      <c r="S39" s="638"/>
      <c r="T39" s="90"/>
      <c r="U39" s="40"/>
      <c r="V39" s="40"/>
      <c r="W39" s="40"/>
      <c r="X39" s="40"/>
      <c r="Y39" s="40"/>
      <c r="Z39" s="73"/>
    </row>
    <row r="40" spans="3:26" customFormat="1" ht="16" customHeight="1">
      <c r="C40" s="365"/>
      <c r="D40" s="39"/>
      <c r="G40" s="41"/>
      <c r="H40" s="334"/>
      <c r="I40" s="41"/>
      <c r="J40" s="39"/>
      <c r="L40" s="148"/>
      <c r="M40" s="90"/>
      <c r="N40" s="90"/>
      <c r="O40" s="90"/>
      <c r="P40" s="90"/>
      <c r="Q40" s="638"/>
      <c r="R40" s="90"/>
      <c r="S40" s="638"/>
      <c r="T40" s="90"/>
      <c r="U40" s="40"/>
      <c r="V40" s="40"/>
      <c r="W40" s="40"/>
      <c r="X40" s="40"/>
      <c r="Y40" s="40"/>
      <c r="Z40" s="73"/>
    </row>
    <row r="41" spans="3:26" customFormat="1" ht="16" customHeight="1">
      <c r="C41" s="365"/>
      <c r="D41" s="39"/>
      <c r="G41" s="41"/>
      <c r="H41" s="334"/>
      <c r="I41" s="41"/>
      <c r="J41" s="39"/>
      <c r="L41" s="148"/>
      <c r="M41" s="90"/>
      <c r="N41" s="90"/>
      <c r="O41" s="90"/>
      <c r="P41" s="90"/>
      <c r="Q41" s="638"/>
      <c r="R41" s="90"/>
      <c r="S41" s="638"/>
      <c r="T41" s="90"/>
      <c r="U41" s="40"/>
      <c r="V41" s="40"/>
      <c r="W41" s="40"/>
      <c r="X41" s="40"/>
      <c r="Y41" s="40"/>
      <c r="Z41" s="73"/>
    </row>
    <row r="42" spans="3:26" customFormat="1" ht="16" customHeight="1">
      <c r="C42" s="365"/>
      <c r="D42" s="39"/>
      <c r="G42" s="41"/>
      <c r="H42" s="334"/>
      <c r="I42" s="41"/>
      <c r="J42" s="39"/>
      <c r="L42" s="148"/>
      <c r="M42" s="90"/>
      <c r="N42" s="90"/>
      <c r="O42" s="90"/>
      <c r="P42" s="90"/>
      <c r="Q42" s="638"/>
      <c r="R42" s="90"/>
      <c r="S42" s="638"/>
      <c r="T42" s="90"/>
      <c r="U42" s="40"/>
      <c r="V42" s="40"/>
      <c r="W42" s="40"/>
      <c r="X42" s="40"/>
      <c r="Y42" s="40"/>
      <c r="Z42" s="73"/>
    </row>
    <row r="43" spans="3:26" customFormat="1" ht="16" customHeight="1">
      <c r="C43" s="365"/>
      <c r="D43" s="39"/>
      <c r="G43" s="41"/>
      <c r="H43" s="42"/>
      <c r="I43" s="41"/>
      <c r="J43" s="39"/>
      <c r="L43" s="148"/>
      <c r="M43" s="90"/>
      <c r="N43" s="90"/>
      <c r="O43" s="90"/>
      <c r="P43" s="90"/>
      <c r="Q43" s="638"/>
      <c r="R43" s="90"/>
      <c r="S43" s="638"/>
      <c r="T43" s="90"/>
      <c r="U43" s="40"/>
      <c r="V43" s="40"/>
      <c r="W43" s="40"/>
      <c r="X43" s="40"/>
      <c r="Y43" s="40"/>
      <c r="Z43" s="73"/>
    </row>
    <row r="44" spans="3:26" customFormat="1" ht="16" customHeight="1">
      <c r="C44" s="365"/>
      <c r="D44" s="39"/>
      <c r="G44" s="41"/>
      <c r="H44" s="42"/>
      <c r="I44" s="41"/>
      <c r="J44" s="39"/>
      <c r="L44" s="148"/>
      <c r="M44" s="90"/>
      <c r="N44" s="90"/>
      <c r="O44" s="90"/>
      <c r="P44" s="90"/>
      <c r="Q44" s="638"/>
      <c r="R44" s="90"/>
      <c r="S44" s="638"/>
      <c r="T44" s="90"/>
      <c r="U44" s="40"/>
      <c r="V44" s="40"/>
      <c r="W44" s="40"/>
      <c r="X44" s="40"/>
      <c r="Y44" s="40"/>
      <c r="Z44" s="73"/>
    </row>
    <row r="45" spans="3:26" customFormat="1" ht="16" customHeight="1">
      <c r="C45" s="365"/>
      <c r="D45" s="39"/>
      <c r="G45" s="41"/>
      <c r="H45" s="42"/>
      <c r="I45" s="41"/>
      <c r="J45" s="39"/>
      <c r="L45" s="148"/>
      <c r="M45" s="90"/>
      <c r="N45" s="90"/>
      <c r="O45" s="90"/>
      <c r="P45" s="90"/>
      <c r="Q45" s="638"/>
      <c r="R45" s="90"/>
      <c r="S45" s="638"/>
      <c r="T45" s="90"/>
      <c r="U45" s="40"/>
      <c r="V45" s="40"/>
      <c r="W45" s="40"/>
      <c r="X45" s="40"/>
      <c r="Y45" s="40"/>
      <c r="Z45" s="73"/>
    </row>
    <row r="46" spans="3:26" customFormat="1" ht="16" customHeight="1">
      <c r="C46" s="365"/>
      <c r="D46" s="39"/>
      <c r="G46" s="41"/>
      <c r="H46" s="42"/>
      <c r="I46" s="41"/>
      <c r="J46" s="39"/>
      <c r="L46" s="148"/>
      <c r="M46" s="90"/>
      <c r="N46" s="90"/>
      <c r="O46" s="90"/>
      <c r="P46" s="90"/>
      <c r="Q46" s="638"/>
      <c r="R46" s="90"/>
      <c r="S46" s="638"/>
      <c r="T46" s="90"/>
      <c r="U46" s="40"/>
      <c r="V46" s="40"/>
      <c r="W46" s="40"/>
      <c r="X46" s="40"/>
      <c r="Y46" s="40"/>
      <c r="Z46" s="73"/>
    </row>
    <row r="47" spans="3:26" customFormat="1" ht="16" customHeight="1">
      <c r="C47" s="365"/>
      <c r="D47" s="39"/>
      <c r="G47" s="41"/>
      <c r="H47" s="42"/>
      <c r="I47" s="41"/>
      <c r="J47" s="39"/>
      <c r="L47" s="148"/>
      <c r="M47" s="90"/>
      <c r="N47" s="90"/>
      <c r="O47" s="90"/>
      <c r="P47" s="90"/>
      <c r="Q47" s="638"/>
      <c r="R47" s="90"/>
      <c r="S47" s="638"/>
      <c r="T47" s="90"/>
      <c r="U47" s="40"/>
      <c r="V47" s="40"/>
      <c r="W47" s="40"/>
      <c r="X47" s="40"/>
      <c r="Y47" s="40"/>
      <c r="Z47" s="73"/>
    </row>
    <row r="48" spans="3:26" customFormat="1" ht="16" customHeight="1">
      <c r="C48" s="365"/>
      <c r="D48" s="39"/>
      <c r="G48" s="41"/>
      <c r="H48" s="42"/>
      <c r="I48" s="41"/>
      <c r="J48" s="39"/>
      <c r="L48" s="148"/>
      <c r="M48" s="90"/>
      <c r="N48" s="90"/>
      <c r="O48" s="90"/>
      <c r="P48" s="90"/>
      <c r="Q48" s="638"/>
      <c r="R48" s="90"/>
      <c r="S48" s="638"/>
      <c r="T48" s="90"/>
      <c r="U48" s="40"/>
      <c r="V48" s="40"/>
      <c r="W48" s="40"/>
      <c r="X48" s="40"/>
      <c r="Y48" s="40"/>
      <c r="Z48" s="73"/>
    </row>
    <row r="49" spans="3:26" customFormat="1" ht="16" customHeight="1">
      <c r="C49" s="365"/>
      <c r="D49" s="39"/>
      <c r="G49" s="41"/>
      <c r="H49" s="42"/>
      <c r="I49" s="41"/>
      <c r="J49" s="39"/>
      <c r="L49" s="148"/>
      <c r="M49" s="90"/>
      <c r="N49" s="90"/>
      <c r="O49" s="90"/>
      <c r="P49" s="90"/>
      <c r="Q49" s="638"/>
      <c r="R49" s="90"/>
      <c r="S49" s="638"/>
      <c r="T49" s="90"/>
      <c r="U49" s="40"/>
      <c r="V49" s="40"/>
      <c r="W49" s="40"/>
      <c r="X49" s="40"/>
      <c r="Y49" s="40"/>
      <c r="Z49" s="73"/>
    </row>
    <row r="50" spans="3:26" customFormat="1" ht="16" customHeight="1">
      <c r="C50" s="365"/>
      <c r="D50" s="39"/>
      <c r="G50" s="41"/>
      <c r="H50" s="42"/>
      <c r="I50" s="41"/>
      <c r="J50" s="39"/>
      <c r="L50" s="148"/>
      <c r="M50" s="90"/>
      <c r="N50" s="90"/>
      <c r="O50" s="90"/>
      <c r="P50" s="90"/>
      <c r="Q50" s="638"/>
      <c r="R50" s="90"/>
      <c r="S50" s="638"/>
      <c r="T50" s="90"/>
      <c r="U50" s="40"/>
      <c r="V50" s="40"/>
      <c r="W50" s="40"/>
      <c r="X50" s="40"/>
      <c r="Y50" s="40"/>
      <c r="Z50" s="73"/>
    </row>
  </sheetData>
  <mergeCells count="10">
    <mergeCell ref="C5:C14"/>
    <mergeCell ref="C2:C4"/>
    <mergeCell ref="C23:C27"/>
    <mergeCell ref="K3:Z3"/>
    <mergeCell ref="D2:E4"/>
    <mergeCell ref="G2:G4"/>
    <mergeCell ref="H2:H4"/>
    <mergeCell ref="I2:I4"/>
    <mergeCell ref="J2:Z2"/>
    <mergeCell ref="C17:C22"/>
  </mergeCells>
  <printOptions horizontalCentered="1" verticalCentered="1"/>
  <pageMargins left="0.25" right="0.25" top="0.25" bottom="0.25" header="0.3" footer="0.3"/>
  <pageSetup paperSize="9" scale="45" orientation="landscape" r:id="rId1"/>
  <headerFooter>
    <oddHeader xml:space="preserve">&amp;C&amp;"Calibri,Regular"&amp;1&amp;K000000
</oddHead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C4D9A-F685-4EF4-BAA7-C40D0A4230A7}">
  <sheetPr filterMode="1"/>
  <dimension ref="A1:BW190"/>
  <sheetViews>
    <sheetView workbookViewId="0">
      <pane xSplit="6" ySplit="3" topLeftCell="V153" activePane="bottomRight" state="frozen"/>
      <selection pane="topRight"/>
      <selection pane="bottomLeft"/>
      <selection pane="bottomRight" activeCell="AC157" sqref="AC157"/>
    </sheetView>
  </sheetViews>
  <sheetFormatPr defaultRowHeight="14.5"/>
  <cols>
    <col min="1" max="1" width="7.7265625" style="39" bestFit="1" customWidth="1"/>
    <col min="2" max="2" width="12.26953125" bestFit="1" customWidth="1"/>
    <col min="3" max="3" width="30.54296875" bestFit="1" customWidth="1"/>
    <col min="4" max="4" width="20.81640625" customWidth="1"/>
    <col min="5" max="5" width="27" hidden="1" customWidth="1"/>
    <col min="6" max="6" width="19.36328125" hidden="1" customWidth="1"/>
    <col min="7" max="7" width="9.81640625" hidden="1" customWidth="1"/>
    <col min="8" max="8" width="9.90625" bestFit="1" customWidth="1"/>
    <col min="9" max="9" width="9.54296875" bestFit="1" customWidth="1"/>
    <col min="10" max="10" width="15.26953125" bestFit="1" customWidth="1"/>
    <col min="12" max="12" width="15.26953125" bestFit="1" customWidth="1"/>
    <col min="13" max="13" width="19.453125" bestFit="1" customWidth="1"/>
    <col min="14" max="14" width="6.81640625" bestFit="1" customWidth="1"/>
    <col min="15" max="15" width="0" hidden="1" customWidth="1"/>
    <col min="19" max="19" width="7.90625" bestFit="1" customWidth="1"/>
    <col min="31" max="31" width="6.54296875" bestFit="1" customWidth="1"/>
    <col min="35" max="35" width="7.90625" bestFit="1" customWidth="1"/>
    <col min="36" max="36" width="13.08984375" customWidth="1"/>
    <col min="45" max="45" width="39" bestFit="1" customWidth="1"/>
    <col min="46" max="46" width="10.90625" hidden="1" customWidth="1"/>
    <col min="47" max="47" width="0" hidden="1" customWidth="1"/>
    <col min="48" max="48" width="6.6328125" hidden="1" customWidth="1"/>
    <col min="49" max="58" width="0" hidden="1" customWidth="1"/>
    <col min="59" max="59" width="39" hidden="1" customWidth="1"/>
    <col min="60" max="70" width="0" hidden="1" customWidth="1"/>
    <col min="71" max="71" width="39" hidden="1" customWidth="1"/>
    <col min="72" max="72" width="9.6328125" hidden="1" customWidth="1"/>
    <col min="73" max="74" width="13.6328125" hidden="1" customWidth="1"/>
    <col min="75" max="75" width="5.54296875" hidden="1" customWidth="1"/>
  </cols>
  <sheetData>
    <row r="1" spans="1:75">
      <c r="A1" s="942"/>
      <c r="B1" s="942"/>
      <c r="C1" s="942"/>
      <c r="D1" s="942"/>
      <c r="E1" s="942"/>
      <c r="F1" s="942"/>
      <c r="G1" s="942"/>
      <c r="H1" s="942"/>
      <c r="I1" s="943"/>
      <c r="J1" s="943"/>
      <c r="K1" s="943"/>
      <c r="L1" s="944"/>
      <c r="M1" s="942"/>
      <c r="N1" s="852"/>
      <c r="O1" s="852"/>
      <c r="P1" s="945"/>
      <c r="Q1" s="945"/>
      <c r="R1" s="943"/>
      <c r="S1" s="943"/>
      <c r="T1" s="943"/>
      <c r="U1" s="943"/>
      <c r="V1" s="943"/>
      <c r="W1" s="943"/>
      <c r="X1" s="943"/>
      <c r="Y1" s="943"/>
      <c r="Z1" s="943"/>
      <c r="AA1" s="943"/>
      <c r="AB1" s="943"/>
      <c r="AC1" s="945"/>
      <c r="AD1" s="945"/>
      <c r="AE1" s="945"/>
      <c r="AF1" s="943"/>
      <c r="AG1" s="946"/>
      <c r="AH1" s="947"/>
      <c r="AI1" s="946"/>
      <c r="AJ1" s="947"/>
      <c r="AK1" s="943"/>
      <c r="AL1" s="943"/>
      <c r="AM1" s="943"/>
      <c r="AN1" s="946"/>
      <c r="AO1" s="943"/>
      <c r="AP1" s="943"/>
      <c r="AQ1" s="946">
        <f>AVERAGE(AQ4:AQ183)</f>
        <v>2.961619515193277E-2</v>
      </c>
      <c r="AR1" s="946"/>
      <c r="AS1" s="943"/>
      <c r="AT1" s="943"/>
      <c r="AU1" s="943"/>
      <c r="AV1" s="943"/>
      <c r="AW1" s="943"/>
      <c r="AX1" s="943"/>
      <c r="AY1" s="943"/>
      <c r="AZ1" s="943"/>
      <c r="BA1" s="943"/>
      <c r="BB1" s="943"/>
      <c r="BC1" s="943"/>
      <c r="BD1" s="943"/>
      <c r="BE1" s="943"/>
      <c r="BF1" s="943"/>
      <c r="BG1" s="943"/>
      <c r="BH1" s="943"/>
      <c r="BI1" s="943"/>
      <c r="BJ1" s="943"/>
      <c r="BK1" s="943"/>
      <c r="BL1" s="943"/>
      <c r="BM1" s="943"/>
      <c r="BN1" s="943"/>
      <c r="BO1" s="943"/>
      <c r="BP1" s="943"/>
      <c r="BQ1" s="943"/>
      <c r="BR1" s="943"/>
      <c r="BS1" s="943"/>
      <c r="BT1" s="943"/>
      <c r="BU1" s="943"/>
      <c r="BV1" s="943"/>
      <c r="BW1" s="943"/>
    </row>
    <row r="2" spans="1:75">
      <c r="A2" s="1329"/>
      <c r="B2" s="1330"/>
      <c r="C2" s="1330"/>
      <c r="D2" s="1330"/>
      <c r="E2" s="1330"/>
      <c r="F2" s="1330"/>
      <c r="G2" s="1330"/>
      <c r="H2" s="1331"/>
      <c r="I2" s="948"/>
      <c r="J2" s="949"/>
      <c r="K2" s="949"/>
      <c r="L2" s="950"/>
      <c r="M2" s="949"/>
      <c r="N2" s="949"/>
      <c r="O2" s="949"/>
      <c r="P2" s="1332" t="s">
        <v>268</v>
      </c>
      <c r="Q2" s="1332"/>
      <c r="R2" s="1332"/>
      <c r="S2" s="1332"/>
      <c r="T2" s="1332"/>
      <c r="U2" s="1332"/>
      <c r="V2" s="1332"/>
      <c r="W2" s="1332"/>
      <c r="X2" s="1332"/>
      <c r="Y2" s="1332"/>
      <c r="Z2" s="1332"/>
      <c r="AA2" s="1332"/>
      <c r="AB2" s="951"/>
      <c r="AC2" s="1333" t="s">
        <v>893</v>
      </c>
      <c r="AD2" s="1334"/>
      <c r="AE2" s="1334"/>
      <c r="AF2" s="1334"/>
      <c r="AG2" s="1334"/>
      <c r="AH2" s="1334"/>
      <c r="AI2" s="1334"/>
      <c r="AJ2" s="1334"/>
      <c r="AK2" s="1334"/>
      <c r="AL2" s="1334"/>
      <c r="AM2" s="1334"/>
      <c r="AN2" s="1334"/>
      <c r="AO2" s="1334"/>
      <c r="AP2" s="1334"/>
      <c r="AQ2" s="1334"/>
      <c r="AR2" s="1334"/>
      <c r="AS2" s="1334"/>
      <c r="AT2" s="954"/>
      <c r="AU2" s="954"/>
      <c r="AV2" s="954"/>
      <c r="AW2" s="1335"/>
      <c r="AX2" s="1335"/>
      <c r="AY2" s="1335"/>
      <c r="AZ2" s="1336"/>
      <c r="BA2" s="1335"/>
      <c r="BB2" s="1335"/>
      <c r="BC2" s="1335"/>
      <c r="BD2" s="1335"/>
      <c r="BE2" s="1335"/>
      <c r="BF2" s="1335"/>
      <c r="BG2" s="1337"/>
      <c r="BH2" s="1338" t="s">
        <v>819</v>
      </c>
      <c r="BI2" s="1339"/>
      <c r="BJ2" s="1339"/>
      <c r="BK2" s="1339"/>
      <c r="BL2" s="1340"/>
      <c r="BM2" s="1339"/>
      <c r="BN2" s="1339"/>
      <c r="BO2" s="1339"/>
      <c r="BP2" s="1339"/>
      <c r="BQ2" s="1339"/>
      <c r="BR2" s="1339"/>
      <c r="BS2" s="1341"/>
      <c r="BT2" s="943"/>
      <c r="BU2" s="943"/>
      <c r="BV2" s="943"/>
      <c r="BW2" s="943"/>
    </row>
    <row r="3" spans="1:75" ht="56">
      <c r="A3" s="955" t="s">
        <v>820</v>
      </c>
      <c r="B3" s="955" t="s">
        <v>270</v>
      </c>
      <c r="C3" s="955" t="s">
        <v>821</v>
      </c>
      <c r="D3" s="955" t="s">
        <v>40</v>
      </c>
      <c r="E3" s="955"/>
      <c r="F3" s="955"/>
      <c r="G3" s="956" t="s">
        <v>894</v>
      </c>
      <c r="H3" s="956" t="s">
        <v>895</v>
      </c>
      <c r="I3" s="957" t="s">
        <v>514</v>
      </c>
      <c r="J3" s="958" t="s">
        <v>273</v>
      </c>
      <c r="K3" s="957" t="s">
        <v>896</v>
      </c>
      <c r="L3" s="959" t="s">
        <v>368</v>
      </c>
      <c r="M3" s="958" t="s">
        <v>822</v>
      </c>
      <c r="N3" s="853" t="s">
        <v>823</v>
      </c>
      <c r="O3" s="853" t="s">
        <v>897</v>
      </c>
      <c r="P3" s="960" t="s">
        <v>824</v>
      </c>
      <c r="Q3" s="960" t="s">
        <v>898</v>
      </c>
      <c r="R3" s="961" t="s">
        <v>825</v>
      </c>
      <c r="S3" s="961" t="s">
        <v>899</v>
      </c>
      <c r="T3" s="961" t="s">
        <v>900</v>
      </c>
      <c r="U3" s="961" t="s">
        <v>901</v>
      </c>
      <c r="V3" s="961" t="s">
        <v>275</v>
      </c>
      <c r="W3" s="961" t="s">
        <v>276</v>
      </c>
      <c r="X3" s="961" t="s">
        <v>370</v>
      </c>
      <c r="Y3" s="961" t="s">
        <v>462</v>
      </c>
      <c r="Z3" s="961" t="s">
        <v>902</v>
      </c>
      <c r="AA3" s="961" t="s">
        <v>278</v>
      </c>
      <c r="AB3" s="961" t="s">
        <v>826</v>
      </c>
      <c r="AC3" s="962" t="s">
        <v>371</v>
      </c>
      <c r="AD3" s="952" t="s">
        <v>903</v>
      </c>
      <c r="AE3" s="952" t="s">
        <v>904</v>
      </c>
      <c r="AF3" s="952" t="s">
        <v>827</v>
      </c>
      <c r="AG3" s="952" t="s">
        <v>905</v>
      </c>
      <c r="AH3" s="963" t="s">
        <v>828</v>
      </c>
      <c r="AI3" s="963" t="s">
        <v>899</v>
      </c>
      <c r="AJ3" s="1057" t="s">
        <v>885</v>
      </c>
      <c r="AK3" s="952" t="s">
        <v>275</v>
      </c>
      <c r="AL3" s="952" t="s">
        <v>276</v>
      </c>
      <c r="AM3" s="952" t="s">
        <v>370</v>
      </c>
      <c r="AN3" s="952" t="s">
        <v>462</v>
      </c>
      <c r="AO3" s="952" t="s">
        <v>902</v>
      </c>
      <c r="AP3" s="952" t="s">
        <v>903</v>
      </c>
      <c r="AQ3" s="952" t="s">
        <v>906</v>
      </c>
      <c r="AR3" s="952" t="s">
        <v>278</v>
      </c>
      <c r="AS3" s="953" t="s">
        <v>280</v>
      </c>
      <c r="AT3" s="955" t="s">
        <v>283</v>
      </c>
      <c r="AU3" s="956" t="s">
        <v>284</v>
      </c>
      <c r="AV3" s="955" t="s">
        <v>267</v>
      </c>
      <c r="AW3" s="964" t="s">
        <v>371</v>
      </c>
      <c r="AX3" s="957" t="s">
        <v>281</v>
      </c>
      <c r="AY3" s="957" t="s">
        <v>827</v>
      </c>
      <c r="AZ3" s="965" t="s">
        <v>828</v>
      </c>
      <c r="BA3" s="957" t="s">
        <v>275</v>
      </c>
      <c r="BB3" s="957" t="s">
        <v>276</v>
      </c>
      <c r="BC3" s="957" t="s">
        <v>277</v>
      </c>
      <c r="BD3" s="957" t="s">
        <v>281</v>
      </c>
      <c r="BE3" s="957" t="s">
        <v>282</v>
      </c>
      <c r="BF3" s="957" t="s">
        <v>278</v>
      </c>
      <c r="BG3" s="958" t="s">
        <v>280</v>
      </c>
      <c r="BH3" s="961" t="s">
        <v>371</v>
      </c>
      <c r="BI3" s="960" t="s">
        <v>371</v>
      </c>
      <c r="BJ3" s="961" t="s">
        <v>281</v>
      </c>
      <c r="BK3" s="961" t="s">
        <v>827</v>
      </c>
      <c r="BL3" s="966" t="s">
        <v>828</v>
      </c>
      <c r="BM3" s="961" t="s">
        <v>275</v>
      </c>
      <c r="BN3" s="961" t="s">
        <v>276</v>
      </c>
      <c r="BO3" s="961" t="s">
        <v>277</v>
      </c>
      <c r="BP3" s="961" t="s">
        <v>281</v>
      </c>
      <c r="BQ3" s="961" t="s">
        <v>282</v>
      </c>
      <c r="BR3" s="961" t="s">
        <v>278</v>
      </c>
      <c r="BS3" s="951" t="s">
        <v>280</v>
      </c>
      <c r="BT3" s="967" t="s">
        <v>907</v>
      </c>
      <c r="BU3" s="942"/>
      <c r="BV3" s="942"/>
      <c r="BW3" s="942">
        <f>IF(AA4&gt;17%,AA4-2%,AA4)</f>
        <v>-0.1018892113630856</v>
      </c>
    </row>
    <row r="4" spans="1:75" hidden="1">
      <c r="A4" s="968">
        <v>2606</v>
      </c>
      <c r="B4" s="968" t="s">
        <v>14</v>
      </c>
      <c r="C4" s="969" t="s">
        <v>829</v>
      </c>
      <c r="D4" s="969" t="s">
        <v>379</v>
      </c>
      <c r="E4" s="955" t="s">
        <v>206</v>
      </c>
      <c r="F4" s="955" t="s">
        <v>207</v>
      </c>
      <c r="G4" s="955" t="str">
        <f>IFERROR(VLOOKUP(D4,[3]전용!E:J,6,0),"")</f>
        <v/>
      </c>
      <c r="H4" s="854">
        <v>77666.666666666672</v>
      </c>
      <c r="I4" s="955">
        <v>5</v>
      </c>
      <c r="J4" s="955" t="s">
        <v>286</v>
      </c>
      <c r="K4" s="955">
        <v>6</v>
      </c>
      <c r="L4" s="970">
        <v>1749</v>
      </c>
      <c r="M4" s="971">
        <f t="shared" ref="M4:M67" si="0">L4*LEFT(I4,1)*12</f>
        <v>104940</v>
      </c>
      <c r="N4" s="855">
        <v>0.15</v>
      </c>
      <c r="O4" s="855"/>
      <c r="P4" s="970">
        <v>1349</v>
      </c>
      <c r="Q4" s="970">
        <f t="shared" ref="Q4:Q67" si="1">L4-P4</f>
        <v>400</v>
      </c>
      <c r="R4" s="971">
        <f t="shared" ref="R4:R34" si="2">P4*LEFT(I4,1)*12</f>
        <v>80940</v>
      </c>
      <c r="S4" s="856">
        <f>AA4-(Y4/2)</f>
        <v>-8.9389211363085586E-2</v>
      </c>
      <c r="T4" s="971"/>
      <c r="U4" s="971"/>
      <c r="V4" s="972">
        <v>3</v>
      </c>
      <c r="W4" s="971">
        <f t="shared" ref="W4:W67" si="3">(P4-T4)*U4+V4*P4*0.5</f>
        <v>2023.5</v>
      </c>
      <c r="X4" s="971">
        <f>R4-W4</f>
        <v>78916.5</v>
      </c>
      <c r="Y4" s="856">
        <f>X4/R4-1</f>
        <v>-2.5000000000000022E-2</v>
      </c>
      <c r="Z4" s="857">
        <f>IFERROR(X4/H4,"")</f>
        <v>1.0160922746781116</v>
      </c>
      <c r="AA4" s="856">
        <v>-0.1018892113630856</v>
      </c>
      <c r="AB4" s="856">
        <v>2.1314900477802295E-2</v>
      </c>
      <c r="AC4" s="970">
        <f t="shared" ref="AC4:AC67" si="4">P4+AD4</f>
        <v>1449</v>
      </c>
      <c r="AD4" s="970">
        <v>100</v>
      </c>
      <c r="AE4" s="970">
        <f>IF(AA4&gt;10%,0,IF(AA4&gt;5%,P4*0.04,IF(AA4&gt;0%,P4*0.04, P4*0.1)))</f>
        <v>134.9</v>
      </c>
      <c r="AF4" s="971">
        <f>AC4*LEFT(I4,1)*12</f>
        <v>86940</v>
      </c>
      <c r="AG4" s="857">
        <f>AF4/R4-1</f>
        <v>7.4128984432913159E-2</v>
      </c>
      <c r="AH4" s="576">
        <v>149</v>
      </c>
      <c r="AI4" s="856">
        <f t="shared" ref="AI4:AI5" si="5">AR4+(AN4/2)</f>
        <v>-4.8192757768156444E-2</v>
      </c>
      <c r="AJ4" s="1058">
        <v>3</v>
      </c>
      <c r="AK4" s="583">
        <v>0</v>
      </c>
      <c r="AL4" s="971">
        <f>(AC4-AH4)*AJ4+AK4*AC4*0.5</f>
        <v>3900</v>
      </c>
      <c r="AM4" s="971">
        <f t="shared" ref="AM4:AM67" si="6">AF4-AL4</f>
        <v>83040</v>
      </c>
      <c r="AN4" s="858">
        <f t="shared" ref="AN4:AN67" si="7">AM4/AF4-1</f>
        <v>-4.4858523119392646E-2</v>
      </c>
      <c r="AO4" s="857">
        <f t="shared" ref="AO4:AO67" si="8">IFERROR(AM4/H4,"")</f>
        <v>1.0691845493562231</v>
      </c>
      <c r="AP4" s="973">
        <f t="shared" ref="AP4:AP67" si="9">AM4-X4</f>
        <v>4123.5</v>
      </c>
      <c r="AQ4" s="855">
        <f t="shared" ref="AQ4:AQ67" si="10">AM4/X4-1</f>
        <v>5.2251430309250946E-2</v>
      </c>
      <c r="AR4" s="974">
        <f>IFERROR(AA4+AQ4*0.5,"")+5%</f>
        <v>-2.5763496208460121E-2</v>
      </c>
      <c r="AS4" s="975" t="s">
        <v>830</v>
      </c>
      <c r="AT4" s="976"/>
      <c r="AU4" s="971"/>
      <c r="AV4" s="976"/>
      <c r="AW4" s="970"/>
      <c r="AX4" s="971"/>
      <c r="AY4" s="971"/>
      <c r="AZ4" s="977"/>
      <c r="BA4" s="972"/>
      <c r="BB4" s="971"/>
      <c r="BC4" s="973"/>
      <c r="BD4" s="973"/>
      <c r="BE4" s="855"/>
      <c r="BF4" s="975"/>
      <c r="BG4" s="975"/>
      <c r="BH4" s="971"/>
      <c r="BI4" s="970"/>
      <c r="BJ4" s="971"/>
      <c r="BK4" s="971"/>
      <c r="BL4" s="977"/>
      <c r="BM4" s="972"/>
      <c r="BN4" s="971"/>
      <c r="BO4" s="973"/>
      <c r="BP4" s="973"/>
      <c r="BQ4" s="855"/>
      <c r="BR4" s="975"/>
      <c r="BS4" s="975"/>
      <c r="BT4" s="978" t="e" cm="1">
        <f t="array" ref="BT4">vlook</f>
        <v>#NAME?</v>
      </c>
      <c r="BU4" s="978">
        <f t="shared" ref="BU4:BU15" si="11">AP4/X4</f>
        <v>5.2251430309250918E-2</v>
      </c>
      <c r="BV4" s="978">
        <v>0.05</v>
      </c>
      <c r="BW4" s="978">
        <f t="shared" ref="BW4:BW67" si="12">IF(AA4&gt;19%,AA4-3.8%,AA4)</f>
        <v>-0.1018892113630856</v>
      </c>
    </row>
    <row r="5" spans="1:75" hidden="1">
      <c r="A5" s="979">
        <v>2606</v>
      </c>
      <c r="B5" s="979" t="s">
        <v>14</v>
      </c>
      <c r="C5" s="980" t="s">
        <v>829</v>
      </c>
      <c r="D5" s="980" t="s">
        <v>379</v>
      </c>
      <c r="E5" s="955" t="s">
        <v>206</v>
      </c>
      <c r="F5" s="955" t="s">
        <v>207</v>
      </c>
      <c r="G5" s="955" t="str">
        <f>IFERROR(VLOOKUP(D5,[3]전용!E:J,6,0),"")</f>
        <v/>
      </c>
      <c r="H5" s="854">
        <v>77666.666666666672</v>
      </c>
      <c r="I5" s="955">
        <v>6</v>
      </c>
      <c r="J5" s="955" t="s">
        <v>286</v>
      </c>
      <c r="K5" s="955">
        <v>6</v>
      </c>
      <c r="L5" s="970">
        <v>1549</v>
      </c>
      <c r="M5" s="971">
        <f t="shared" si="0"/>
        <v>111528</v>
      </c>
      <c r="N5" s="855">
        <v>0.15</v>
      </c>
      <c r="O5" s="855"/>
      <c r="P5" s="970">
        <v>1149</v>
      </c>
      <c r="Q5" s="970">
        <f t="shared" si="1"/>
        <v>400</v>
      </c>
      <c r="R5" s="971">
        <f t="shared" si="2"/>
        <v>82728</v>
      </c>
      <c r="S5" s="856">
        <f t="shared" ref="S5:S68" si="13">AA5-(Y5/2)</f>
        <v>-9.1472544696418912E-2</v>
      </c>
      <c r="T5" s="971"/>
      <c r="U5" s="971"/>
      <c r="V5" s="972">
        <v>3</v>
      </c>
      <c r="W5" s="971">
        <f t="shared" si="3"/>
        <v>1723.5</v>
      </c>
      <c r="X5" s="971">
        <f t="shared" ref="X5:X68" si="14">R5-W5</f>
        <v>81004.5</v>
      </c>
      <c r="Y5" s="858">
        <f t="shared" ref="Y5:Y68" si="15">X5/R5-1</f>
        <v>-2.083333333333337E-2</v>
      </c>
      <c r="Z5" s="857">
        <f t="shared" ref="Z5:Z68" si="16">IFERROR(X5/H5,"")</f>
        <v>1.0429763948497854</v>
      </c>
      <c r="AA5" s="856">
        <v>-0.1018892113630856</v>
      </c>
      <c r="AB5" s="856">
        <v>2.1314900477802295E-2</v>
      </c>
      <c r="AC5" s="970">
        <f t="shared" si="4"/>
        <v>1249</v>
      </c>
      <c r="AD5" s="970">
        <v>100</v>
      </c>
      <c r="AE5" s="970">
        <f t="shared" ref="AE5:AE7" si="17">IF(AA5&gt;10%,0,IF(AA5&gt;5%,P5*0.04,IF(AA5&gt;0%,P5*0.04, P5*0.1)))</f>
        <v>114.9</v>
      </c>
      <c r="AF5" s="971">
        <f t="shared" ref="AF5:AF68" si="18">AC5*LEFT(I5,1)*12</f>
        <v>89928</v>
      </c>
      <c r="AG5" s="857">
        <f t="shared" ref="AG5:AG68" si="19">AF5/R5-1</f>
        <v>8.7032201914708507E-2</v>
      </c>
      <c r="AH5" s="576">
        <v>149</v>
      </c>
      <c r="AI5" s="856">
        <f t="shared" si="5"/>
        <v>-3.5526188533659672E-2</v>
      </c>
      <c r="AJ5" s="1058">
        <v>3</v>
      </c>
      <c r="AK5" s="583">
        <v>0</v>
      </c>
      <c r="AL5" s="971">
        <f t="shared" ref="AL5:AL68" si="20">(AC5-AH5)*AJ5+AK5*AC5*0.5</f>
        <v>3300</v>
      </c>
      <c r="AM5" s="971">
        <f t="shared" si="6"/>
        <v>86628</v>
      </c>
      <c r="AN5" s="858">
        <f t="shared" si="7"/>
        <v>-3.6696023485454976E-2</v>
      </c>
      <c r="AO5" s="857">
        <f t="shared" si="8"/>
        <v>1.115381974248927</v>
      </c>
      <c r="AP5" s="973">
        <f t="shared" si="9"/>
        <v>5623.5</v>
      </c>
      <c r="AQ5" s="855">
        <f t="shared" si="10"/>
        <v>6.9422069144306819E-2</v>
      </c>
      <c r="AR5" s="974">
        <f>IFERROR(AA5+AQ5*0.5,"")+5%</f>
        <v>-1.7178176790932184E-2</v>
      </c>
      <c r="AS5" s="975" t="s">
        <v>830</v>
      </c>
      <c r="AT5" s="976"/>
      <c r="AU5" s="971"/>
      <c r="AV5" s="976"/>
      <c r="AW5" s="970"/>
      <c r="AX5" s="971"/>
      <c r="AY5" s="971"/>
      <c r="AZ5" s="977"/>
      <c r="BA5" s="972"/>
      <c r="BB5" s="971"/>
      <c r="BC5" s="973"/>
      <c r="BD5" s="973"/>
      <c r="BE5" s="855"/>
      <c r="BF5" s="975"/>
      <c r="BG5" s="975"/>
      <c r="BH5" s="971"/>
      <c r="BI5" s="970"/>
      <c r="BJ5" s="971"/>
      <c r="BK5" s="971"/>
      <c r="BL5" s="977"/>
      <c r="BM5" s="972"/>
      <c r="BN5" s="971"/>
      <c r="BO5" s="973"/>
      <c r="BP5" s="973"/>
      <c r="BQ5" s="855"/>
      <c r="BR5" s="975"/>
      <c r="BS5" s="975"/>
      <c r="BT5" s="978"/>
      <c r="BU5" s="978">
        <f t="shared" si="11"/>
        <v>6.9422069144306792E-2</v>
      </c>
      <c r="BV5" s="978">
        <v>0.05</v>
      </c>
      <c r="BW5" s="978">
        <f t="shared" si="12"/>
        <v>-0.1018892113630856</v>
      </c>
    </row>
    <row r="6" spans="1:75" hidden="1">
      <c r="A6" s="968">
        <v>2606</v>
      </c>
      <c r="B6" s="968" t="s">
        <v>14</v>
      </c>
      <c r="C6" s="969" t="s">
        <v>831</v>
      </c>
      <c r="D6" s="981" t="s">
        <v>380</v>
      </c>
      <c r="E6" s="955" t="s">
        <v>208</v>
      </c>
      <c r="F6" s="955" t="s">
        <v>207</v>
      </c>
      <c r="G6" s="955" t="str">
        <f>IFERROR(VLOOKUP(D6,[3]전용!E:J,6,0),"")</f>
        <v/>
      </c>
      <c r="H6" s="854">
        <v>62111.111111111109</v>
      </c>
      <c r="I6" s="955">
        <v>5</v>
      </c>
      <c r="J6" s="955" t="s">
        <v>286</v>
      </c>
      <c r="K6" s="955">
        <v>6</v>
      </c>
      <c r="L6" s="970">
        <v>1549</v>
      </c>
      <c r="M6" s="971">
        <f t="shared" si="0"/>
        <v>92940</v>
      </c>
      <c r="N6" s="855">
        <v>0.15</v>
      </c>
      <c r="O6" s="855"/>
      <c r="P6" s="970">
        <v>1149</v>
      </c>
      <c r="Q6" s="970">
        <f t="shared" si="1"/>
        <v>400</v>
      </c>
      <c r="R6" s="971">
        <f t="shared" si="2"/>
        <v>68940</v>
      </c>
      <c r="S6" s="856">
        <f t="shared" si="13"/>
        <v>-0.25137495463641413</v>
      </c>
      <c r="T6" s="971"/>
      <c r="U6" s="971"/>
      <c r="V6" s="972">
        <v>3</v>
      </c>
      <c r="W6" s="971">
        <f t="shared" si="3"/>
        <v>1723.5</v>
      </c>
      <c r="X6" s="971">
        <f t="shared" si="14"/>
        <v>67216.5</v>
      </c>
      <c r="Y6" s="858">
        <f t="shared" si="15"/>
        <v>-2.5000000000000022E-2</v>
      </c>
      <c r="Z6" s="857">
        <f t="shared" si="16"/>
        <v>1.0821976744186046</v>
      </c>
      <c r="AA6" s="856">
        <v>-0.26387495463641414</v>
      </c>
      <c r="AB6" s="856">
        <v>1.843261913114318E-2</v>
      </c>
      <c r="AC6" s="970">
        <f t="shared" si="4"/>
        <v>1249</v>
      </c>
      <c r="AD6" s="970">
        <v>100</v>
      </c>
      <c r="AE6" s="970">
        <f t="shared" si="17"/>
        <v>114.9</v>
      </c>
      <c r="AF6" s="971">
        <f t="shared" si="18"/>
        <v>74940</v>
      </c>
      <c r="AG6" s="857">
        <f t="shared" si="19"/>
        <v>8.7032201914708507E-2</v>
      </c>
      <c r="AH6" s="576">
        <v>149</v>
      </c>
      <c r="AI6" s="856">
        <f>AR6+(AN6/2)</f>
        <v>-0.11324478135405119</v>
      </c>
      <c r="AJ6" s="1058">
        <v>3</v>
      </c>
      <c r="AK6" s="583">
        <v>0</v>
      </c>
      <c r="AL6" s="971">
        <f t="shared" si="20"/>
        <v>3300</v>
      </c>
      <c r="AM6" s="971">
        <f t="shared" si="6"/>
        <v>71640</v>
      </c>
      <c r="AN6" s="858">
        <f t="shared" si="7"/>
        <v>-4.4035228182546016E-2</v>
      </c>
      <c r="AO6" s="857">
        <f t="shared" si="8"/>
        <v>1.1534168157423972</v>
      </c>
      <c r="AP6" s="973">
        <f t="shared" si="9"/>
        <v>4423.5</v>
      </c>
      <c r="AQ6" s="855">
        <f t="shared" si="10"/>
        <v>6.5809734217044946E-2</v>
      </c>
      <c r="AR6" s="974">
        <f>IFERROR(AA6+AQ6*0.8,"")+12%</f>
        <v>-9.1227167262778186E-2</v>
      </c>
      <c r="AS6" s="975" t="s">
        <v>832</v>
      </c>
      <c r="AT6" s="976"/>
      <c r="AU6" s="971"/>
      <c r="AV6" s="976"/>
      <c r="AW6" s="970"/>
      <c r="AX6" s="971"/>
      <c r="AY6" s="971"/>
      <c r="AZ6" s="977"/>
      <c r="BA6" s="972"/>
      <c r="BB6" s="971"/>
      <c r="BC6" s="973"/>
      <c r="BD6" s="973"/>
      <c r="BE6" s="855"/>
      <c r="BF6" s="975"/>
      <c r="BG6" s="975"/>
      <c r="BH6" s="971"/>
      <c r="BI6" s="970"/>
      <c r="BJ6" s="971"/>
      <c r="BK6" s="971"/>
      <c r="BL6" s="977"/>
      <c r="BM6" s="972"/>
      <c r="BN6" s="971"/>
      <c r="BO6" s="973"/>
      <c r="BP6" s="973"/>
      <c r="BQ6" s="855"/>
      <c r="BR6" s="975"/>
      <c r="BS6" s="975"/>
      <c r="BT6" s="978"/>
      <c r="BU6" s="978">
        <f t="shared" si="11"/>
        <v>6.5809734217044918E-2</v>
      </c>
      <c r="BV6" s="978">
        <v>0.03</v>
      </c>
      <c r="BW6" s="978">
        <f t="shared" si="12"/>
        <v>-0.26387495463641414</v>
      </c>
    </row>
    <row r="7" spans="1:75" hidden="1">
      <c r="A7" s="979">
        <v>2606</v>
      </c>
      <c r="B7" s="979" t="s">
        <v>14</v>
      </c>
      <c r="C7" s="982" t="s">
        <v>831</v>
      </c>
      <c r="D7" s="983" t="s">
        <v>380</v>
      </c>
      <c r="E7" s="955" t="s">
        <v>208</v>
      </c>
      <c r="F7" s="955" t="s">
        <v>207</v>
      </c>
      <c r="G7" s="955" t="str">
        <f>IFERROR(VLOOKUP(D7,[3]전용!E:J,6,0),"")</f>
        <v/>
      </c>
      <c r="H7" s="854">
        <v>62111.111111111109</v>
      </c>
      <c r="I7" s="955">
        <v>6</v>
      </c>
      <c r="J7" s="955" t="s">
        <v>286</v>
      </c>
      <c r="K7" s="955">
        <v>6</v>
      </c>
      <c r="L7" s="970">
        <v>1349</v>
      </c>
      <c r="M7" s="971">
        <f t="shared" si="0"/>
        <v>97128</v>
      </c>
      <c r="N7" s="855">
        <v>0.15</v>
      </c>
      <c r="O7" s="855"/>
      <c r="P7" s="970">
        <v>949</v>
      </c>
      <c r="Q7" s="970">
        <f t="shared" si="1"/>
        <v>400</v>
      </c>
      <c r="R7" s="971">
        <f t="shared" si="2"/>
        <v>68328</v>
      </c>
      <c r="S7" s="856">
        <f t="shared" si="13"/>
        <v>-0.25345828796974745</v>
      </c>
      <c r="T7" s="971"/>
      <c r="U7" s="971"/>
      <c r="V7" s="972">
        <v>3</v>
      </c>
      <c r="W7" s="971">
        <f t="shared" si="3"/>
        <v>1423.5</v>
      </c>
      <c r="X7" s="971">
        <f t="shared" si="14"/>
        <v>66904.5</v>
      </c>
      <c r="Y7" s="858">
        <f t="shared" si="15"/>
        <v>-2.083333333333337E-2</v>
      </c>
      <c r="Z7" s="857">
        <f t="shared" si="16"/>
        <v>1.0771744186046512</v>
      </c>
      <c r="AA7" s="856">
        <v>-0.26387495463641414</v>
      </c>
      <c r="AB7" s="856">
        <v>1.843261913114318E-2</v>
      </c>
      <c r="AC7" s="970">
        <f t="shared" si="4"/>
        <v>1049</v>
      </c>
      <c r="AD7" s="970">
        <v>100</v>
      </c>
      <c r="AE7" s="970">
        <f t="shared" si="17"/>
        <v>94.9</v>
      </c>
      <c r="AF7" s="971">
        <f t="shared" si="18"/>
        <v>75528</v>
      </c>
      <c r="AG7" s="857">
        <f t="shared" si="19"/>
        <v>0.10537407797681775</v>
      </c>
      <c r="AH7" s="576">
        <v>149</v>
      </c>
      <c r="AI7" s="856">
        <f t="shared" ref="AI7:AI70" si="21">AR7+(AN7/2)</f>
        <v>-0.11091980409497929</v>
      </c>
      <c r="AJ7" s="1058">
        <v>3</v>
      </c>
      <c r="AK7" s="583">
        <v>0</v>
      </c>
      <c r="AL7" s="971">
        <f t="shared" si="20"/>
        <v>2700</v>
      </c>
      <c r="AM7" s="971">
        <f t="shared" si="6"/>
        <v>72828</v>
      </c>
      <c r="AN7" s="858">
        <f t="shared" si="7"/>
        <v>-3.5748331744518635E-2</v>
      </c>
      <c r="AO7" s="857">
        <f t="shared" si="8"/>
        <v>1.1725438282647584</v>
      </c>
      <c r="AP7" s="973">
        <f t="shared" si="9"/>
        <v>5923.5</v>
      </c>
      <c r="AQ7" s="855">
        <f t="shared" si="10"/>
        <v>8.8536645517117707E-2</v>
      </c>
      <c r="AR7" s="974">
        <f>IFERROR(AA7+AQ7*0.8,"")+10%</f>
        <v>-9.3045638222719967E-2</v>
      </c>
      <c r="AS7" s="975" t="s">
        <v>832</v>
      </c>
      <c r="AT7" s="976"/>
      <c r="AU7" s="971"/>
      <c r="AV7" s="976"/>
      <c r="AW7" s="970"/>
      <c r="AX7" s="971"/>
      <c r="AY7" s="971"/>
      <c r="AZ7" s="977"/>
      <c r="BA7" s="972"/>
      <c r="BB7" s="971"/>
      <c r="BC7" s="973"/>
      <c r="BD7" s="973"/>
      <c r="BE7" s="855"/>
      <c r="BF7" s="975"/>
      <c r="BG7" s="975"/>
      <c r="BH7" s="971"/>
      <c r="BI7" s="970"/>
      <c r="BJ7" s="971"/>
      <c r="BK7" s="971"/>
      <c r="BL7" s="977"/>
      <c r="BM7" s="972"/>
      <c r="BN7" s="971"/>
      <c r="BO7" s="973"/>
      <c r="BP7" s="973"/>
      <c r="BQ7" s="855"/>
      <c r="BR7" s="975"/>
      <c r="BS7" s="975"/>
      <c r="BT7" s="978"/>
      <c r="BU7" s="978">
        <f t="shared" si="11"/>
        <v>8.8536645517117679E-2</v>
      </c>
      <c r="BV7" s="978">
        <v>0.03</v>
      </c>
      <c r="BW7" s="978">
        <f t="shared" si="12"/>
        <v>-0.26387495463641414</v>
      </c>
    </row>
    <row r="8" spans="1:75" hidden="1">
      <c r="A8" s="968">
        <v>2606</v>
      </c>
      <c r="B8" s="968" t="s">
        <v>14</v>
      </c>
      <c r="C8" s="969" t="s">
        <v>829</v>
      </c>
      <c r="D8" s="969" t="s">
        <v>378</v>
      </c>
      <c r="E8" s="955" t="s">
        <v>101</v>
      </c>
      <c r="F8" s="955"/>
      <c r="G8" s="955" t="str">
        <f>IFERROR(VLOOKUP(D8,[3]전용!E:J,6,0),"")</f>
        <v/>
      </c>
      <c r="H8" s="854">
        <v>53222.222222222197</v>
      </c>
      <c r="I8" s="955">
        <v>5</v>
      </c>
      <c r="J8" s="955" t="s">
        <v>286</v>
      </c>
      <c r="K8" s="955">
        <v>24</v>
      </c>
      <c r="L8" s="970">
        <v>949</v>
      </c>
      <c r="M8" s="971">
        <f t="shared" si="0"/>
        <v>56940</v>
      </c>
      <c r="N8" s="855">
        <v>0.18477592157503117</v>
      </c>
      <c r="O8" s="855"/>
      <c r="P8" s="970">
        <v>949</v>
      </c>
      <c r="Q8" s="970">
        <f t="shared" si="1"/>
        <v>0</v>
      </c>
      <c r="R8" s="971">
        <f t="shared" si="2"/>
        <v>56940</v>
      </c>
      <c r="S8" s="856">
        <f t="shared" si="13"/>
        <v>-4.9170477122408837E-2</v>
      </c>
      <c r="T8" s="971"/>
      <c r="U8" s="971"/>
      <c r="V8" s="976">
        <v>6</v>
      </c>
      <c r="W8" s="971">
        <f t="shared" si="3"/>
        <v>2847</v>
      </c>
      <c r="X8" s="971">
        <f t="shared" si="14"/>
        <v>54093</v>
      </c>
      <c r="Y8" s="858">
        <f t="shared" si="15"/>
        <v>-5.0000000000000044E-2</v>
      </c>
      <c r="Z8" s="857">
        <f t="shared" si="16"/>
        <v>1.0163611691022969</v>
      </c>
      <c r="AA8" s="856">
        <v>-7.4170477122408859E-2</v>
      </c>
      <c r="AB8" s="856">
        <v>7.5190741628923169E-2</v>
      </c>
      <c r="AC8" s="970">
        <f t="shared" si="4"/>
        <v>999</v>
      </c>
      <c r="AD8" s="970">
        <v>50</v>
      </c>
      <c r="AE8" s="970">
        <f t="shared" ref="AE8:AE71" si="22">IF(AA8&gt;10%,0,IF(AA8&gt;5%,P8*0.04,IF(AA8&gt;0%,P8*0.075, P8*0.1)))</f>
        <v>94.9</v>
      </c>
      <c r="AF8" s="971">
        <f t="shared" si="18"/>
        <v>59940</v>
      </c>
      <c r="AG8" s="857">
        <f t="shared" si="19"/>
        <v>5.2687038988408874E-2</v>
      </c>
      <c r="AH8" s="576">
        <v>0</v>
      </c>
      <c r="AI8" s="856">
        <f t="shared" si="21"/>
        <v>-1.8436879429546634E-2</v>
      </c>
      <c r="AJ8" s="859">
        <v>0</v>
      </c>
      <c r="AK8" s="583">
        <v>3</v>
      </c>
      <c r="AL8" s="971">
        <f t="shared" si="20"/>
        <v>1498.5</v>
      </c>
      <c r="AM8" s="971">
        <f t="shared" si="6"/>
        <v>58441.5</v>
      </c>
      <c r="AN8" s="858">
        <f t="shared" si="7"/>
        <v>-2.5000000000000022E-2</v>
      </c>
      <c r="AO8" s="857">
        <f t="shared" si="8"/>
        <v>1.0980657620041758</v>
      </c>
      <c r="AP8" s="973">
        <f t="shared" si="9"/>
        <v>4348.5</v>
      </c>
      <c r="AQ8" s="855">
        <f t="shared" si="10"/>
        <v>8.0389329488103733E-2</v>
      </c>
      <c r="AR8" s="974">
        <f>IFERROR(AA8+AQ8*0.6,"")+2%</f>
        <v>-5.936879429546623E-3</v>
      </c>
      <c r="AS8" s="975"/>
      <c r="AT8" s="976"/>
      <c r="AU8" s="971"/>
      <c r="AV8" s="976"/>
      <c r="AW8" s="970"/>
      <c r="AX8" s="971"/>
      <c r="AY8" s="971"/>
      <c r="AZ8" s="977"/>
      <c r="BA8" s="972"/>
      <c r="BB8" s="971"/>
      <c r="BC8" s="973"/>
      <c r="BD8" s="973"/>
      <c r="BE8" s="855"/>
      <c r="BF8" s="975"/>
      <c r="BG8" s="975"/>
      <c r="BH8" s="971"/>
      <c r="BI8" s="970"/>
      <c r="BJ8" s="971"/>
      <c r="BK8" s="971"/>
      <c r="BL8" s="977"/>
      <c r="BM8" s="972"/>
      <c r="BN8" s="971"/>
      <c r="BO8" s="973"/>
      <c r="BP8" s="973"/>
      <c r="BQ8" s="855"/>
      <c r="BR8" s="975"/>
      <c r="BS8" s="975"/>
      <c r="BT8" s="978"/>
      <c r="BU8" s="978">
        <f t="shared" si="11"/>
        <v>8.0389329488103817E-2</v>
      </c>
      <c r="BV8" s="978">
        <v>0.01</v>
      </c>
      <c r="BW8" s="978">
        <f t="shared" si="12"/>
        <v>-7.4170477122408859E-2</v>
      </c>
    </row>
    <row r="9" spans="1:75" hidden="1">
      <c r="A9" s="979">
        <v>2606</v>
      </c>
      <c r="B9" s="979" t="s">
        <v>14</v>
      </c>
      <c r="C9" s="980" t="s">
        <v>829</v>
      </c>
      <c r="D9" s="980" t="s">
        <v>378</v>
      </c>
      <c r="E9" s="955" t="s">
        <v>101</v>
      </c>
      <c r="F9" s="955"/>
      <c r="G9" s="955" t="str">
        <f>IFERROR(VLOOKUP(D9,[3]전용!E:J,6,0),"")</f>
        <v/>
      </c>
      <c r="H9" s="854">
        <v>53222.222222222197</v>
      </c>
      <c r="I9" s="955">
        <v>6</v>
      </c>
      <c r="J9" s="955" t="s">
        <v>286</v>
      </c>
      <c r="K9" s="955">
        <v>24</v>
      </c>
      <c r="L9" s="970">
        <v>899</v>
      </c>
      <c r="M9" s="971">
        <f t="shared" si="0"/>
        <v>64728</v>
      </c>
      <c r="N9" s="855">
        <v>0.18477592157503117</v>
      </c>
      <c r="O9" s="855"/>
      <c r="P9" s="970">
        <v>899</v>
      </c>
      <c r="Q9" s="970">
        <f t="shared" si="1"/>
        <v>0</v>
      </c>
      <c r="R9" s="971">
        <f t="shared" si="2"/>
        <v>64728</v>
      </c>
      <c r="S9" s="856">
        <f t="shared" si="13"/>
        <v>-5.3337143789075545E-2</v>
      </c>
      <c r="T9" s="971"/>
      <c r="U9" s="971"/>
      <c r="V9" s="976">
        <v>6</v>
      </c>
      <c r="W9" s="971">
        <f t="shared" si="3"/>
        <v>2697</v>
      </c>
      <c r="X9" s="971">
        <f t="shared" si="14"/>
        <v>62031</v>
      </c>
      <c r="Y9" s="858">
        <f t="shared" si="15"/>
        <v>-4.166666666666663E-2</v>
      </c>
      <c r="Z9" s="857">
        <f t="shared" si="16"/>
        <v>1.1655093945720256</v>
      </c>
      <c r="AA9" s="856">
        <v>-7.4170477122408859E-2</v>
      </c>
      <c r="AB9" s="856">
        <v>7.5190741628923169E-2</v>
      </c>
      <c r="AC9" s="970">
        <f t="shared" si="4"/>
        <v>949</v>
      </c>
      <c r="AD9" s="970">
        <v>50</v>
      </c>
      <c r="AE9" s="970">
        <f t="shared" si="22"/>
        <v>89.9</v>
      </c>
      <c r="AF9" s="971">
        <f t="shared" si="18"/>
        <v>68328</v>
      </c>
      <c r="AG9" s="857">
        <f t="shared" si="19"/>
        <v>5.5617352614015569E-2</v>
      </c>
      <c r="AH9" s="576">
        <v>0</v>
      </c>
      <c r="AI9" s="856">
        <f t="shared" si="21"/>
        <v>-1.7447810230048617E-2</v>
      </c>
      <c r="AJ9" s="859">
        <v>0</v>
      </c>
      <c r="AK9" s="583">
        <v>3</v>
      </c>
      <c r="AL9" s="971">
        <f t="shared" si="20"/>
        <v>1423.5</v>
      </c>
      <c r="AM9" s="971">
        <f t="shared" si="6"/>
        <v>66904.5</v>
      </c>
      <c r="AN9" s="858">
        <f t="shared" si="7"/>
        <v>-2.083333333333337E-2</v>
      </c>
      <c r="AO9" s="857">
        <f t="shared" si="8"/>
        <v>1.2570782881002094</v>
      </c>
      <c r="AP9" s="973">
        <f t="shared" si="9"/>
        <v>4873.5</v>
      </c>
      <c r="AQ9" s="855">
        <f t="shared" si="10"/>
        <v>7.856555593171155E-2</v>
      </c>
      <c r="AR9" s="974">
        <f>IFERROR(AA9+AQ9*0.6,"")+2%</f>
        <v>-7.0311435633819315E-3</v>
      </c>
      <c r="AS9" s="975"/>
      <c r="AT9" s="976"/>
      <c r="AU9" s="971"/>
      <c r="AV9" s="976"/>
      <c r="AW9" s="970"/>
      <c r="AX9" s="971"/>
      <c r="AY9" s="971"/>
      <c r="AZ9" s="977"/>
      <c r="BA9" s="972"/>
      <c r="BB9" s="971"/>
      <c r="BC9" s="973"/>
      <c r="BD9" s="973"/>
      <c r="BE9" s="855"/>
      <c r="BF9" s="975"/>
      <c r="BG9" s="975"/>
      <c r="BH9" s="971"/>
      <c r="BI9" s="970"/>
      <c r="BJ9" s="971"/>
      <c r="BK9" s="971"/>
      <c r="BL9" s="977"/>
      <c r="BM9" s="972"/>
      <c r="BN9" s="971"/>
      <c r="BO9" s="973"/>
      <c r="BP9" s="973"/>
      <c r="BQ9" s="855"/>
      <c r="BR9" s="975"/>
      <c r="BS9" s="975"/>
      <c r="BT9" s="978"/>
      <c r="BU9" s="978">
        <f t="shared" si="11"/>
        <v>7.8565555931711564E-2</v>
      </c>
      <c r="BV9" s="978">
        <v>0.01</v>
      </c>
      <c r="BW9" s="978">
        <f t="shared" si="12"/>
        <v>-7.4170477122408859E-2</v>
      </c>
    </row>
    <row r="10" spans="1:75" hidden="1">
      <c r="A10" s="968">
        <v>2606</v>
      </c>
      <c r="B10" s="968" t="s">
        <v>14</v>
      </c>
      <c r="C10" s="969" t="s">
        <v>829</v>
      </c>
      <c r="D10" s="984" t="s">
        <v>196</v>
      </c>
      <c r="E10" s="955"/>
      <c r="F10" s="955"/>
      <c r="G10" s="955" t="str">
        <f>IFERROR(VLOOKUP(D10,[3]전용!E:J,6,0),"")</f>
        <v/>
      </c>
      <c r="H10" s="854">
        <v>61000</v>
      </c>
      <c r="I10" s="955">
        <v>5</v>
      </c>
      <c r="J10" s="955" t="s">
        <v>286</v>
      </c>
      <c r="K10" s="955">
        <v>24</v>
      </c>
      <c r="L10" s="970">
        <v>1299</v>
      </c>
      <c r="M10" s="971">
        <f t="shared" si="0"/>
        <v>77940</v>
      </c>
      <c r="N10" s="855">
        <v>0.17841391748149107</v>
      </c>
      <c r="O10" s="855"/>
      <c r="P10" s="970">
        <v>1299</v>
      </c>
      <c r="Q10" s="970">
        <f t="shared" si="1"/>
        <v>0</v>
      </c>
      <c r="R10" s="971">
        <f t="shared" si="2"/>
        <v>77940</v>
      </c>
      <c r="S10" s="856">
        <f t="shared" si="13"/>
        <v>8.1027597768303108E-2</v>
      </c>
      <c r="T10" s="971"/>
      <c r="U10" s="971"/>
      <c r="V10" s="972">
        <v>6</v>
      </c>
      <c r="W10" s="971">
        <f t="shared" si="3"/>
        <v>3897</v>
      </c>
      <c r="X10" s="971">
        <f t="shared" si="14"/>
        <v>74043</v>
      </c>
      <c r="Y10" s="858">
        <f t="shared" si="15"/>
        <v>-5.0000000000000044E-2</v>
      </c>
      <c r="Z10" s="857">
        <f t="shared" si="16"/>
        <v>1.2138196721311476</v>
      </c>
      <c r="AA10" s="856">
        <v>5.6027597768303086E-2</v>
      </c>
      <c r="AB10" s="856">
        <v>3.688881346396037E-2</v>
      </c>
      <c r="AC10" s="970">
        <f t="shared" si="4"/>
        <v>1349</v>
      </c>
      <c r="AD10" s="970">
        <v>50</v>
      </c>
      <c r="AE10" s="970">
        <f t="shared" si="22"/>
        <v>51.96</v>
      </c>
      <c r="AF10" s="971">
        <f t="shared" si="18"/>
        <v>80940</v>
      </c>
      <c r="AG10" s="857">
        <f t="shared" si="19"/>
        <v>3.8491147036181728E-2</v>
      </c>
      <c r="AH10" s="576">
        <v>0</v>
      </c>
      <c r="AI10" s="856">
        <f t="shared" si="21"/>
        <v>7.6437528484238362E-2</v>
      </c>
      <c r="AJ10" s="859">
        <v>0</v>
      </c>
      <c r="AK10" s="583">
        <v>3</v>
      </c>
      <c r="AL10" s="971">
        <f t="shared" si="20"/>
        <v>2023.5</v>
      </c>
      <c r="AM10" s="971">
        <f t="shared" si="6"/>
        <v>78916.5</v>
      </c>
      <c r="AN10" s="858">
        <f t="shared" si="7"/>
        <v>-2.5000000000000022E-2</v>
      </c>
      <c r="AO10" s="857">
        <f t="shared" si="8"/>
        <v>1.2937131147540983</v>
      </c>
      <c r="AP10" s="973">
        <f t="shared" si="9"/>
        <v>4873.5</v>
      </c>
      <c r="AQ10" s="855">
        <f t="shared" si="10"/>
        <v>6.5819861431870574E-2</v>
      </c>
      <c r="AR10" s="974">
        <f t="shared" ref="AR10:AR73" si="23">IFERROR(AA10+AQ10*0.5,"")</f>
        <v>8.8937528484238373E-2</v>
      </c>
      <c r="AS10" s="975"/>
      <c r="AT10" s="976"/>
      <c r="AU10" s="971"/>
      <c r="AV10" s="976"/>
      <c r="AW10" s="970"/>
      <c r="AX10" s="971"/>
      <c r="AY10" s="971"/>
      <c r="AZ10" s="977"/>
      <c r="BA10" s="972"/>
      <c r="BB10" s="971"/>
      <c r="BC10" s="973"/>
      <c r="BD10" s="973"/>
      <c r="BE10" s="855"/>
      <c r="BF10" s="975"/>
      <c r="BG10" s="975"/>
      <c r="BH10" s="971"/>
      <c r="BI10" s="970"/>
      <c r="BJ10" s="971"/>
      <c r="BK10" s="971"/>
      <c r="BL10" s="977"/>
      <c r="BM10" s="972"/>
      <c r="BN10" s="971"/>
      <c r="BO10" s="973"/>
      <c r="BP10" s="973"/>
      <c r="BQ10" s="855"/>
      <c r="BR10" s="975"/>
      <c r="BS10" s="975"/>
      <c r="BT10" s="978"/>
      <c r="BU10" s="978">
        <f t="shared" si="11"/>
        <v>6.5819861431870672E-2</v>
      </c>
      <c r="BV10" s="978">
        <v>8.71503871339218E-2</v>
      </c>
      <c r="BW10" s="978">
        <f t="shared" si="12"/>
        <v>5.6027597768303086E-2</v>
      </c>
    </row>
    <row r="11" spans="1:75" hidden="1">
      <c r="A11" s="979">
        <v>2606</v>
      </c>
      <c r="B11" s="979" t="s">
        <v>14</v>
      </c>
      <c r="C11" s="980" t="s">
        <v>829</v>
      </c>
      <c r="D11" s="985" t="s">
        <v>196</v>
      </c>
      <c r="E11" s="955"/>
      <c r="F11" s="955"/>
      <c r="G11" s="955" t="str">
        <f>IFERROR(VLOOKUP(D11,[3]전용!E:J,6,0),"")</f>
        <v/>
      </c>
      <c r="H11" s="854">
        <v>61000</v>
      </c>
      <c r="I11" s="955">
        <v>6</v>
      </c>
      <c r="J11" s="955" t="s">
        <v>286</v>
      </c>
      <c r="K11" s="955">
        <v>24</v>
      </c>
      <c r="L11" s="970">
        <v>1099</v>
      </c>
      <c r="M11" s="971">
        <f t="shared" si="0"/>
        <v>79128</v>
      </c>
      <c r="N11" s="855">
        <v>0.17926517407599776</v>
      </c>
      <c r="O11" s="855"/>
      <c r="P11" s="970">
        <v>1099</v>
      </c>
      <c r="Q11" s="970">
        <f t="shared" si="1"/>
        <v>0</v>
      </c>
      <c r="R11" s="971">
        <f t="shared" si="2"/>
        <v>79128</v>
      </c>
      <c r="S11" s="856">
        <f t="shared" si="13"/>
        <v>7.6860931101636401E-2</v>
      </c>
      <c r="T11" s="971"/>
      <c r="U11" s="971"/>
      <c r="V11" s="972">
        <v>6</v>
      </c>
      <c r="W11" s="971">
        <f t="shared" si="3"/>
        <v>3297</v>
      </c>
      <c r="X11" s="971">
        <f t="shared" si="14"/>
        <v>75831</v>
      </c>
      <c r="Y11" s="858">
        <f t="shared" si="15"/>
        <v>-4.166666666666663E-2</v>
      </c>
      <c r="Z11" s="857">
        <f t="shared" si="16"/>
        <v>1.2431311475409836</v>
      </c>
      <c r="AA11" s="856">
        <v>5.6027597768303086E-2</v>
      </c>
      <c r="AB11" s="856">
        <v>3.688881346396037E-2</v>
      </c>
      <c r="AC11" s="970">
        <f t="shared" si="4"/>
        <v>1149</v>
      </c>
      <c r="AD11" s="970">
        <v>50</v>
      </c>
      <c r="AE11" s="970">
        <f t="shared" si="22"/>
        <v>43.96</v>
      </c>
      <c r="AF11" s="971">
        <f t="shared" si="18"/>
        <v>82728</v>
      </c>
      <c r="AG11" s="857">
        <f t="shared" si="19"/>
        <v>4.5495905368516887E-2</v>
      </c>
      <c r="AH11" s="576">
        <v>0</v>
      </c>
      <c r="AI11" s="856">
        <f t="shared" si="21"/>
        <v>7.9722969713813444E-2</v>
      </c>
      <c r="AJ11" s="859">
        <v>0</v>
      </c>
      <c r="AK11" s="583">
        <v>3</v>
      </c>
      <c r="AL11" s="971">
        <f t="shared" si="20"/>
        <v>1723.5</v>
      </c>
      <c r="AM11" s="971">
        <f t="shared" si="6"/>
        <v>81004.5</v>
      </c>
      <c r="AN11" s="858">
        <f t="shared" si="7"/>
        <v>-2.083333333333337E-2</v>
      </c>
      <c r="AO11" s="857">
        <f t="shared" si="8"/>
        <v>1.3279426229508198</v>
      </c>
      <c r="AP11" s="973">
        <f t="shared" si="9"/>
        <v>5173.5</v>
      </c>
      <c r="AQ11" s="855">
        <f t="shared" si="10"/>
        <v>6.8224077224354085E-2</v>
      </c>
      <c r="AR11" s="974">
        <f t="shared" si="23"/>
        <v>9.0139636380480129E-2</v>
      </c>
      <c r="AS11" s="975"/>
      <c r="AT11" s="976"/>
      <c r="AU11" s="971"/>
      <c r="AV11" s="976"/>
      <c r="AW11" s="970"/>
      <c r="AX11" s="971"/>
      <c r="AY11" s="971"/>
      <c r="AZ11" s="977"/>
      <c r="BA11" s="972"/>
      <c r="BB11" s="971"/>
      <c r="BC11" s="973"/>
      <c r="BD11" s="973"/>
      <c r="BE11" s="855"/>
      <c r="BF11" s="975"/>
      <c r="BG11" s="975"/>
      <c r="BH11" s="971"/>
      <c r="BI11" s="970"/>
      <c r="BJ11" s="971"/>
      <c r="BK11" s="971"/>
      <c r="BL11" s="977"/>
      <c r="BM11" s="972"/>
      <c r="BN11" s="971"/>
      <c r="BO11" s="973"/>
      <c r="BP11" s="973"/>
      <c r="BQ11" s="855"/>
      <c r="BR11" s="975"/>
      <c r="BS11" s="975"/>
      <c r="BT11" s="978"/>
      <c r="BU11" s="978">
        <f t="shared" si="11"/>
        <v>6.8224077224354154E-2</v>
      </c>
      <c r="BV11" s="978">
        <v>5.7150387133921794E-2</v>
      </c>
      <c r="BW11" s="978">
        <f t="shared" si="12"/>
        <v>5.6027597768303086E-2</v>
      </c>
    </row>
    <row r="12" spans="1:75" hidden="1">
      <c r="A12" s="968">
        <v>2606</v>
      </c>
      <c r="B12" s="968" t="s">
        <v>14</v>
      </c>
      <c r="C12" s="969" t="s">
        <v>829</v>
      </c>
      <c r="D12" s="984" t="s">
        <v>531</v>
      </c>
      <c r="E12" s="955" t="s">
        <v>390</v>
      </c>
      <c r="F12" s="955"/>
      <c r="G12" s="955" t="str">
        <f>IFERROR(VLOOKUP(D12,[3]전용!E:J,6,0),"")</f>
        <v/>
      </c>
      <c r="H12" s="854">
        <v>72666.666666666701</v>
      </c>
      <c r="I12" s="955">
        <v>5</v>
      </c>
      <c r="J12" s="955" t="s">
        <v>286</v>
      </c>
      <c r="K12" s="955">
        <v>6</v>
      </c>
      <c r="L12" s="970">
        <v>1349</v>
      </c>
      <c r="M12" s="971">
        <f t="shared" si="0"/>
        <v>80940</v>
      </c>
      <c r="N12" s="855">
        <v>0.08</v>
      </c>
      <c r="O12" s="855"/>
      <c r="P12" s="970">
        <v>1349</v>
      </c>
      <c r="Q12" s="970">
        <f t="shared" si="1"/>
        <v>0</v>
      </c>
      <c r="R12" s="971">
        <f t="shared" si="2"/>
        <v>80940</v>
      </c>
      <c r="S12" s="856">
        <f t="shared" si="13"/>
        <v>1.144691808659893E-2</v>
      </c>
      <c r="T12" s="971"/>
      <c r="U12" s="971"/>
      <c r="V12" s="976">
        <v>0</v>
      </c>
      <c r="W12" s="971">
        <f>(P12-T12)*U12+V12*P12*0.5</f>
        <v>0</v>
      </c>
      <c r="X12" s="971">
        <f t="shared" si="14"/>
        <v>80940</v>
      </c>
      <c r="Y12" s="858">
        <f t="shared" si="15"/>
        <v>0</v>
      </c>
      <c r="Z12" s="857">
        <f t="shared" si="16"/>
        <v>1.1138532110091739</v>
      </c>
      <c r="AA12" s="856">
        <v>1.144691808659893E-2</v>
      </c>
      <c r="AB12" s="856">
        <v>3.2227928567856519E-5</v>
      </c>
      <c r="AC12" s="970">
        <f t="shared" si="4"/>
        <v>1449</v>
      </c>
      <c r="AD12" s="970">
        <v>100</v>
      </c>
      <c r="AE12" s="970">
        <f t="shared" si="22"/>
        <v>101.175</v>
      </c>
      <c r="AF12" s="971">
        <f t="shared" si="18"/>
        <v>86940</v>
      </c>
      <c r="AG12" s="857">
        <f t="shared" si="19"/>
        <v>7.4128984432913159E-2</v>
      </c>
      <c r="AH12" s="576">
        <v>0</v>
      </c>
      <c r="AI12" s="856">
        <f t="shared" si="21"/>
        <v>4.8511410303055509E-2</v>
      </c>
      <c r="AJ12" s="859">
        <v>0</v>
      </c>
      <c r="AK12" s="583">
        <v>0</v>
      </c>
      <c r="AL12" s="971">
        <f t="shared" si="20"/>
        <v>0</v>
      </c>
      <c r="AM12" s="971">
        <f t="shared" si="6"/>
        <v>86940</v>
      </c>
      <c r="AN12" s="858">
        <f t="shared" si="7"/>
        <v>0</v>
      </c>
      <c r="AO12" s="857">
        <f t="shared" si="8"/>
        <v>1.1964220183486234</v>
      </c>
      <c r="AP12" s="973">
        <f t="shared" si="9"/>
        <v>6000</v>
      </c>
      <c r="AQ12" s="855">
        <f t="shared" si="10"/>
        <v>7.4128984432913159E-2</v>
      </c>
      <c r="AR12" s="974">
        <f t="shared" si="23"/>
        <v>4.8511410303055509E-2</v>
      </c>
      <c r="AS12" s="975" t="s">
        <v>830</v>
      </c>
      <c r="AT12" s="976"/>
      <c r="AU12" s="971"/>
      <c r="AV12" s="976"/>
      <c r="AW12" s="970"/>
      <c r="AX12" s="971"/>
      <c r="AY12" s="971"/>
      <c r="AZ12" s="977"/>
      <c r="BA12" s="972"/>
      <c r="BB12" s="971"/>
      <c r="BC12" s="973"/>
      <c r="BD12" s="973"/>
      <c r="BE12" s="855"/>
      <c r="BF12" s="975"/>
      <c r="BG12" s="975"/>
      <c r="BH12" s="971"/>
      <c r="BI12" s="970"/>
      <c r="BJ12" s="971"/>
      <c r="BK12" s="971"/>
      <c r="BL12" s="977"/>
      <c r="BM12" s="972"/>
      <c r="BN12" s="971"/>
      <c r="BO12" s="973"/>
      <c r="BP12" s="973"/>
      <c r="BQ12" s="855"/>
      <c r="BR12" s="975"/>
      <c r="BS12" s="975"/>
      <c r="BT12" s="978"/>
      <c r="BU12" s="978">
        <f t="shared" si="11"/>
        <v>7.412898443291327E-2</v>
      </c>
      <c r="BV12" s="978">
        <v>0.02</v>
      </c>
      <c r="BW12" s="978">
        <f t="shared" si="12"/>
        <v>1.144691808659893E-2</v>
      </c>
    </row>
    <row r="13" spans="1:75" hidden="1">
      <c r="A13" s="979">
        <v>2606</v>
      </c>
      <c r="B13" s="979" t="s">
        <v>14</v>
      </c>
      <c r="C13" s="980" t="s">
        <v>829</v>
      </c>
      <c r="D13" s="985" t="s">
        <v>531</v>
      </c>
      <c r="E13" s="955" t="s">
        <v>390</v>
      </c>
      <c r="F13" s="955"/>
      <c r="G13" s="955" t="str">
        <f>IFERROR(VLOOKUP(D13,[3]전용!E:J,6,0),"")</f>
        <v/>
      </c>
      <c r="H13" s="854">
        <v>72666.666666666701</v>
      </c>
      <c r="I13" s="955">
        <v>6</v>
      </c>
      <c r="J13" s="955" t="s">
        <v>286</v>
      </c>
      <c r="K13" s="955">
        <v>6</v>
      </c>
      <c r="L13" s="970">
        <v>1149</v>
      </c>
      <c r="M13" s="971">
        <f t="shared" si="0"/>
        <v>82728</v>
      </c>
      <c r="N13" s="855">
        <v>0.09</v>
      </c>
      <c r="O13" s="855"/>
      <c r="P13" s="970">
        <v>1149</v>
      </c>
      <c r="Q13" s="970">
        <f t="shared" si="1"/>
        <v>0</v>
      </c>
      <c r="R13" s="971">
        <f t="shared" si="2"/>
        <v>82728</v>
      </c>
      <c r="S13" s="856">
        <f t="shared" si="13"/>
        <v>1.144691808659893E-2</v>
      </c>
      <c r="T13" s="971"/>
      <c r="U13" s="971"/>
      <c r="V13" s="976">
        <v>0</v>
      </c>
      <c r="W13" s="971">
        <f>(P13-T13)*U13+V13*P13*0.5</f>
        <v>0</v>
      </c>
      <c r="X13" s="971">
        <f t="shared" si="14"/>
        <v>82728</v>
      </c>
      <c r="Y13" s="858">
        <f t="shared" si="15"/>
        <v>0</v>
      </c>
      <c r="Z13" s="857">
        <f t="shared" si="16"/>
        <v>1.1384587155963297</v>
      </c>
      <c r="AA13" s="856">
        <v>1.144691808659893E-2</v>
      </c>
      <c r="AB13" s="856">
        <v>3.2227928567856519E-5</v>
      </c>
      <c r="AC13" s="970">
        <f t="shared" si="4"/>
        <v>1249</v>
      </c>
      <c r="AD13" s="970">
        <v>100</v>
      </c>
      <c r="AE13" s="970">
        <f t="shared" si="22"/>
        <v>86.174999999999997</v>
      </c>
      <c r="AF13" s="971">
        <f t="shared" si="18"/>
        <v>89928</v>
      </c>
      <c r="AG13" s="857">
        <f t="shared" si="19"/>
        <v>8.7032201914708507E-2</v>
      </c>
      <c r="AH13" s="576">
        <v>0</v>
      </c>
      <c r="AI13" s="856">
        <f t="shared" si="21"/>
        <v>5.4963019043953183E-2</v>
      </c>
      <c r="AJ13" s="859">
        <v>0</v>
      </c>
      <c r="AK13" s="583">
        <v>0</v>
      </c>
      <c r="AL13" s="971">
        <f t="shared" si="20"/>
        <v>0</v>
      </c>
      <c r="AM13" s="971">
        <f t="shared" si="6"/>
        <v>89928</v>
      </c>
      <c r="AN13" s="858">
        <f t="shared" si="7"/>
        <v>0</v>
      </c>
      <c r="AO13" s="857">
        <f t="shared" si="8"/>
        <v>1.2375412844036691</v>
      </c>
      <c r="AP13" s="973">
        <f t="shared" si="9"/>
        <v>7200</v>
      </c>
      <c r="AQ13" s="855">
        <f t="shared" si="10"/>
        <v>8.7032201914708507E-2</v>
      </c>
      <c r="AR13" s="974">
        <f t="shared" si="23"/>
        <v>5.4963019043953183E-2</v>
      </c>
      <c r="AS13" s="975" t="s">
        <v>830</v>
      </c>
      <c r="AT13" s="976"/>
      <c r="AU13" s="971"/>
      <c r="AV13" s="976"/>
      <c r="AW13" s="970"/>
      <c r="AX13" s="971"/>
      <c r="AY13" s="971"/>
      <c r="AZ13" s="977"/>
      <c r="BA13" s="972"/>
      <c r="BB13" s="971"/>
      <c r="BC13" s="973"/>
      <c r="BD13" s="973"/>
      <c r="BE13" s="855"/>
      <c r="BF13" s="975"/>
      <c r="BG13" s="975"/>
      <c r="BH13" s="971"/>
      <c r="BI13" s="970"/>
      <c r="BJ13" s="971"/>
      <c r="BK13" s="971"/>
      <c r="BL13" s="977"/>
      <c r="BM13" s="972"/>
      <c r="BN13" s="971"/>
      <c r="BO13" s="973"/>
      <c r="BP13" s="973"/>
      <c r="BQ13" s="855"/>
      <c r="BR13" s="975"/>
      <c r="BS13" s="975"/>
      <c r="BT13" s="978"/>
      <c r="BU13" s="978">
        <f t="shared" si="11"/>
        <v>8.7032201914708437E-2</v>
      </c>
      <c r="BV13" s="978">
        <v>0.02</v>
      </c>
      <c r="BW13" s="978">
        <f t="shared" si="12"/>
        <v>1.144691808659893E-2</v>
      </c>
    </row>
    <row r="14" spans="1:75" hidden="1">
      <c r="A14" s="968">
        <v>2606</v>
      </c>
      <c r="B14" s="968" t="s">
        <v>14</v>
      </c>
      <c r="C14" s="969" t="s">
        <v>829</v>
      </c>
      <c r="D14" s="984" t="s">
        <v>15</v>
      </c>
      <c r="E14" s="955"/>
      <c r="F14" s="955"/>
      <c r="G14" s="955" t="str">
        <f>IFERROR(VLOOKUP(D14,[3]전용!E:J,6,0),"")</f>
        <v/>
      </c>
      <c r="H14" s="854">
        <v>66555.555555555547</v>
      </c>
      <c r="I14" s="955">
        <v>5</v>
      </c>
      <c r="J14" s="955" t="s">
        <v>286</v>
      </c>
      <c r="K14" s="955">
        <v>24</v>
      </c>
      <c r="L14" s="970">
        <v>1199</v>
      </c>
      <c r="M14" s="971">
        <f t="shared" si="0"/>
        <v>71940</v>
      </c>
      <c r="N14" s="855">
        <v>0.2482413780912465</v>
      </c>
      <c r="O14" s="855"/>
      <c r="P14" s="970">
        <v>1199</v>
      </c>
      <c r="Q14" s="970">
        <f t="shared" si="1"/>
        <v>0</v>
      </c>
      <c r="R14" s="971">
        <f t="shared" si="2"/>
        <v>71940</v>
      </c>
      <c r="S14" s="856">
        <f t="shared" si="13"/>
        <v>6.254721470409319E-2</v>
      </c>
      <c r="T14" s="971"/>
      <c r="U14" s="971"/>
      <c r="V14" s="972">
        <v>6</v>
      </c>
      <c r="W14" s="971">
        <f t="shared" si="3"/>
        <v>3597</v>
      </c>
      <c r="X14" s="971">
        <f t="shared" si="14"/>
        <v>68343</v>
      </c>
      <c r="Y14" s="858">
        <f t="shared" si="15"/>
        <v>-5.0000000000000044E-2</v>
      </c>
      <c r="Z14" s="857">
        <f t="shared" si="16"/>
        <v>1.0268564273789651</v>
      </c>
      <c r="AA14" s="856">
        <v>3.7547214704093168E-2</v>
      </c>
      <c r="AB14" s="856">
        <v>0.11607894443522625</v>
      </c>
      <c r="AC14" s="970">
        <f t="shared" si="4"/>
        <v>1249</v>
      </c>
      <c r="AD14" s="970">
        <v>50</v>
      </c>
      <c r="AE14" s="970">
        <f t="shared" si="22"/>
        <v>89.924999999999997</v>
      </c>
      <c r="AF14" s="971">
        <f t="shared" si="18"/>
        <v>74940</v>
      </c>
      <c r="AG14" s="857">
        <f t="shared" si="19"/>
        <v>4.1701417848206912E-2</v>
      </c>
      <c r="AH14" s="576">
        <v>0</v>
      </c>
      <c r="AI14" s="856">
        <f t="shared" si="21"/>
        <v>5.9604521231462482E-2</v>
      </c>
      <c r="AJ14" s="859">
        <v>0</v>
      </c>
      <c r="AK14" s="583">
        <v>3</v>
      </c>
      <c r="AL14" s="971">
        <f t="shared" si="20"/>
        <v>1873.5</v>
      </c>
      <c r="AM14" s="971">
        <f t="shared" si="6"/>
        <v>73066.5</v>
      </c>
      <c r="AN14" s="858">
        <f t="shared" si="7"/>
        <v>-2.5000000000000022E-2</v>
      </c>
      <c r="AO14" s="857">
        <f t="shared" si="8"/>
        <v>1.0978272120200334</v>
      </c>
      <c r="AP14" s="973">
        <f t="shared" si="9"/>
        <v>4723.5</v>
      </c>
      <c r="AQ14" s="855">
        <f t="shared" si="10"/>
        <v>6.9114613054738649E-2</v>
      </c>
      <c r="AR14" s="974">
        <f t="shared" si="23"/>
        <v>7.2104521231462493E-2</v>
      </c>
      <c r="AS14" s="975"/>
      <c r="AT14" s="976"/>
      <c r="AU14" s="971"/>
      <c r="AV14" s="976"/>
      <c r="AW14" s="970"/>
      <c r="AX14" s="971"/>
      <c r="AY14" s="971"/>
      <c r="AZ14" s="977"/>
      <c r="BA14" s="972"/>
      <c r="BB14" s="971"/>
      <c r="BC14" s="973"/>
      <c r="BD14" s="973"/>
      <c r="BE14" s="855"/>
      <c r="BF14" s="975"/>
      <c r="BG14" s="975"/>
      <c r="BH14" s="971"/>
      <c r="BI14" s="970"/>
      <c r="BJ14" s="971"/>
      <c r="BK14" s="971"/>
      <c r="BL14" s="977"/>
      <c r="BM14" s="972"/>
      <c r="BN14" s="971"/>
      <c r="BO14" s="973"/>
      <c r="BP14" s="973"/>
      <c r="BQ14" s="855"/>
      <c r="BR14" s="975"/>
      <c r="BS14" s="975"/>
      <c r="BT14" s="978"/>
      <c r="BU14" s="978">
        <f t="shared" si="11"/>
        <v>6.9114613054738594E-2</v>
      </c>
      <c r="BV14" s="978">
        <v>6.3E-2</v>
      </c>
      <c r="BW14" s="978">
        <f t="shared" si="12"/>
        <v>3.7547214704093168E-2</v>
      </c>
    </row>
    <row r="15" spans="1:75" hidden="1">
      <c r="A15" s="979">
        <v>2606</v>
      </c>
      <c r="B15" s="979" t="s">
        <v>14</v>
      </c>
      <c r="C15" s="980" t="s">
        <v>829</v>
      </c>
      <c r="D15" s="985" t="s">
        <v>15</v>
      </c>
      <c r="E15" s="955"/>
      <c r="F15" s="955"/>
      <c r="G15" s="955" t="str">
        <f>IFERROR(VLOOKUP(D15,[3]전용!E:J,6,0),"")</f>
        <v/>
      </c>
      <c r="H15" s="854">
        <v>66555.555555555547</v>
      </c>
      <c r="I15" s="955">
        <v>6</v>
      </c>
      <c r="J15" s="955" t="s">
        <v>286</v>
      </c>
      <c r="K15" s="955">
        <v>24</v>
      </c>
      <c r="L15" s="970">
        <v>999</v>
      </c>
      <c r="M15" s="971">
        <f t="shared" si="0"/>
        <v>71928</v>
      </c>
      <c r="N15" s="855">
        <v>0.25542740320660573</v>
      </c>
      <c r="O15" s="855"/>
      <c r="P15" s="970">
        <v>999</v>
      </c>
      <c r="Q15" s="970">
        <f t="shared" si="1"/>
        <v>0</v>
      </c>
      <c r="R15" s="971">
        <f t="shared" si="2"/>
        <v>71928</v>
      </c>
      <c r="S15" s="856">
        <f t="shared" si="13"/>
        <v>5.8380548037426483E-2</v>
      </c>
      <c r="T15" s="971"/>
      <c r="U15" s="971"/>
      <c r="V15" s="972">
        <v>6</v>
      </c>
      <c r="W15" s="971">
        <f t="shared" si="3"/>
        <v>2997</v>
      </c>
      <c r="X15" s="971">
        <f t="shared" si="14"/>
        <v>68931</v>
      </c>
      <c r="Y15" s="858">
        <f t="shared" si="15"/>
        <v>-4.166666666666663E-2</v>
      </c>
      <c r="Z15" s="857">
        <f t="shared" si="16"/>
        <v>1.0356911519198666</v>
      </c>
      <c r="AA15" s="856">
        <v>3.7547214704093168E-2</v>
      </c>
      <c r="AB15" s="856">
        <v>0.11607894443522625</v>
      </c>
      <c r="AC15" s="970">
        <f t="shared" si="4"/>
        <v>1049</v>
      </c>
      <c r="AD15" s="970">
        <v>50</v>
      </c>
      <c r="AE15" s="970">
        <f t="shared" si="22"/>
        <v>74.924999999999997</v>
      </c>
      <c r="AF15" s="971">
        <f t="shared" si="18"/>
        <v>75528</v>
      </c>
      <c r="AG15" s="857">
        <f t="shared" si="19"/>
        <v>5.0050050050050032E-2</v>
      </c>
      <c r="AH15" s="576">
        <v>0</v>
      </c>
      <c r="AI15" s="856">
        <f t="shared" si="21"/>
        <v>6.3569160562995497E-2</v>
      </c>
      <c r="AJ15" s="859">
        <v>0</v>
      </c>
      <c r="AK15" s="583">
        <v>3</v>
      </c>
      <c r="AL15" s="971">
        <f t="shared" si="20"/>
        <v>1573.5</v>
      </c>
      <c r="AM15" s="971">
        <f t="shared" si="6"/>
        <v>73954.5</v>
      </c>
      <c r="AN15" s="858">
        <f t="shared" si="7"/>
        <v>-2.083333333333337E-2</v>
      </c>
      <c r="AO15" s="857">
        <f t="shared" si="8"/>
        <v>1.1111694490818032</v>
      </c>
      <c r="AP15" s="973">
        <f t="shared" si="9"/>
        <v>5023.5</v>
      </c>
      <c r="AQ15" s="855">
        <f t="shared" si="10"/>
        <v>7.2877225051138028E-2</v>
      </c>
      <c r="AR15" s="974">
        <f t="shared" si="23"/>
        <v>7.3985827229662182E-2</v>
      </c>
      <c r="AS15" s="975"/>
      <c r="AT15" s="976"/>
      <c r="AU15" s="971"/>
      <c r="AV15" s="976"/>
      <c r="AW15" s="970"/>
      <c r="AX15" s="971"/>
      <c r="AY15" s="971"/>
      <c r="AZ15" s="977"/>
      <c r="BA15" s="972"/>
      <c r="BB15" s="971"/>
      <c r="BC15" s="973"/>
      <c r="BD15" s="973"/>
      <c r="BE15" s="855"/>
      <c r="BF15" s="975"/>
      <c r="BG15" s="975"/>
      <c r="BH15" s="971"/>
      <c r="BI15" s="970"/>
      <c r="BJ15" s="971"/>
      <c r="BK15" s="971"/>
      <c r="BL15" s="977"/>
      <c r="BM15" s="972"/>
      <c r="BN15" s="971"/>
      <c r="BO15" s="973"/>
      <c r="BP15" s="973"/>
      <c r="BQ15" s="855"/>
      <c r="BR15" s="975"/>
      <c r="BS15" s="975"/>
      <c r="BT15" s="978"/>
      <c r="BU15" s="978">
        <f t="shared" si="11"/>
        <v>7.2877225051138098E-2</v>
      </c>
      <c r="BV15" s="978">
        <v>6.3E-2</v>
      </c>
      <c r="BW15" s="978">
        <f t="shared" si="12"/>
        <v>3.7547214704093168E-2</v>
      </c>
    </row>
    <row r="16" spans="1:75" hidden="1">
      <c r="A16" s="968">
        <v>2606</v>
      </c>
      <c r="B16" s="968" t="s">
        <v>14</v>
      </c>
      <c r="C16" s="969" t="s">
        <v>829</v>
      </c>
      <c r="D16" s="984" t="s">
        <v>16</v>
      </c>
      <c r="E16" s="955"/>
      <c r="F16" s="955"/>
      <c r="G16" s="955" t="str">
        <f>IFERROR(VLOOKUP(D16,[3]전용!E:J,6,0),"")</f>
        <v/>
      </c>
      <c r="H16" s="854">
        <v>51000</v>
      </c>
      <c r="I16" s="955">
        <v>5</v>
      </c>
      <c r="J16" s="955" t="s">
        <v>286</v>
      </c>
      <c r="K16" s="955">
        <v>24</v>
      </c>
      <c r="L16" s="970">
        <v>999</v>
      </c>
      <c r="M16" s="971">
        <f t="shared" si="0"/>
        <v>59940</v>
      </c>
      <c r="N16" s="855">
        <v>0.18738600674304301</v>
      </c>
      <c r="O16" s="855"/>
      <c r="P16" s="970">
        <v>999</v>
      </c>
      <c r="Q16" s="970">
        <f t="shared" si="1"/>
        <v>0</v>
      </c>
      <c r="R16" s="971">
        <f t="shared" si="2"/>
        <v>59940</v>
      </c>
      <c r="S16" s="856">
        <f t="shared" si="13"/>
        <v>3.0548056854661193E-2</v>
      </c>
      <c r="T16" s="971"/>
      <c r="U16" s="971"/>
      <c r="V16" s="976">
        <v>3</v>
      </c>
      <c r="W16" s="971">
        <f t="shared" si="3"/>
        <v>1498.5</v>
      </c>
      <c r="X16" s="971">
        <f t="shared" si="14"/>
        <v>58441.5</v>
      </c>
      <c r="Y16" s="858">
        <f t="shared" si="15"/>
        <v>-2.5000000000000022E-2</v>
      </c>
      <c r="Z16" s="857">
        <f t="shared" si="16"/>
        <v>1.1459117647058823</v>
      </c>
      <c r="AA16" s="856">
        <v>1.8048056854661182E-2</v>
      </c>
      <c r="AB16" s="856">
        <v>8.6625987886650699E-2</v>
      </c>
      <c r="AC16" s="970">
        <f t="shared" si="4"/>
        <v>1049</v>
      </c>
      <c r="AD16" s="970">
        <v>50</v>
      </c>
      <c r="AE16" s="970">
        <f t="shared" si="22"/>
        <v>74.924999999999997</v>
      </c>
      <c r="AF16" s="971">
        <f t="shared" si="18"/>
        <v>62940</v>
      </c>
      <c r="AG16" s="857">
        <f t="shared" si="19"/>
        <v>5.0050050050050032E-2</v>
      </c>
      <c r="AH16" s="576">
        <v>0</v>
      </c>
      <c r="AI16" s="856">
        <f t="shared" si="21"/>
        <v>3.0573081879686187E-2</v>
      </c>
      <c r="AJ16" s="859">
        <v>0</v>
      </c>
      <c r="AK16" s="583">
        <v>3</v>
      </c>
      <c r="AL16" s="971">
        <f t="shared" si="20"/>
        <v>1573.5</v>
      </c>
      <c r="AM16" s="971">
        <f t="shared" si="6"/>
        <v>61366.5</v>
      </c>
      <c r="AN16" s="858">
        <f t="shared" si="7"/>
        <v>-2.5000000000000022E-2</v>
      </c>
      <c r="AO16" s="857">
        <f t="shared" si="8"/>
        <v>1.2032647058823529</v>
      </c>
      <c r="AP16" s="973">
        <f t="shared" si="9"/>
        <v>2925</v>
      </c>
      <c r="AQ16" s="855">
        <f t="shared" si="10"/>
        <v>5.0050050050050032E-2</v>
      </c>
      <c r="AR16" s="974">
        <f t="shared" si="23"/>
        <v>4.3073081879686198E-2</v>
      </c>
      <c r="AS16" s="975"/>
      <c r="AT16" s="976"/>
      <c r="AU16" s="971"/>
      <c r="AV16" s="976"/>
      <c r="AW16" s="970"/>
      <c r="AX16" s="971"/>
      <c r="AY16" s="971"/>
      <c r="AZ16" s="977"/>
      <c r="BA16" s="972"/>
      <c r="BB16" s="971"/>
      <c r="BC16" s="973"/>
      <c r="BD16" s="973"/>
      <c r="BE16" s="855"/>
      <c r="BF16" s="975"/>
      <c r="BG16" s="975"/>
      <c r="BH16" s="971"/>
      <c r="BI16" s="970"/>
      <c r="BJ16" s="971"/>
      <c r="BK16" s="971"/>
      <c r="BL16" s="977"/>
      <c r="BM16" s="972"/>
      <c r="BN16" s="971"/>
      <c r="BO16" s="973"/>
      <c r="BP16" s="973"/>
      <c r="BQ16" s="855"/>
      <c r="BR16" s="975"/>
      <c r="BS16" s="975"/>
      <c r="BT16" s="978"/>
      <c r="BU16" s="978"/>
      <c r="BV16" s="978">
        <v>1.3747710562115632E-2</v>
      </c>
      <c r="BW16" s="978">
        <f t="shared" si="12"/>
        <v>1.8048056854661182E-2</v>
      </c>
    </row>
    <row r="17" spans="1:75" hidden="1">
      <c r="A17" s="979">
        <v>2606</v>
      </c>
      <c r="B17" s="979" t="s">
        <v>14</v>
      </c>
      <c r="C17" s="980" t="s">
        <v>829</v>
      </c>
      <c r="D17" s="985" t="s">
        <v>16</v>
      </c>
      <c r="E17" s="955"/>
      <c r="F17" s="955"/>
      <c r="G17" s="955" t="str">
        <f>IFERROR(VLOOKUP(D17,[3]전용!E:J,6,0),"")</f>
        <v/>
      </c>
      <c r="H17" s="854">
        <v>51000</v>
      </c>
      <c r="I17" s="955">
        <v>6</v>
      </c>
      <c r="J17" s="955" t="s">
        <v>286</v>
      </c>
      <c r="K17" s="955">
        <v>24</v>
      </c>
      <c r="L17" s="970">
        <v>849</v>
      </c>
      <c r="M17" s="971">
        <f t="shared" si="0"/>
        <v>61128</v>
      </c>
      <c r="N17" s="855">
        <v>0.20178187910867823</v>
      </c>
      <c r="O17" s="855"/>
      <c r="P17" s="970">
        <v>849</v>
      </c>
      <c r="Q17" s="970">
        <f t="shared" si="1"/>
        <v>0</v>
      </c>
      <c r="R17" s="971">
        <f t="shared" si="2"/>
        <v>61128</v>
      </c>
      <c r="S17" s="856">
        <f t="shared" si="13"/>
        <v>2.8464723521327867E-2</v>
      </c>
      <c r="T17" s="971"/>
      <c r="U17" s="971"/>
      <c r="V17" s="976">
        <v>3</v>
      </c>
      <c r="W17" s="971">
        <f t="shared" si="3"/>
        <v>1273.5</v>
      </c>
      <c r="X17" s="971">
        <f t="shared" si="14"/>
        <v>59854.5</v>
      </c>
      <c r="Y17" s="858">
        <f t="shared" si="15"/>
        <v>-2.083333333333337E-2</v>
      </c>
      <c r="Z17" s="857">
        <f t="shared" si="16"/>
        <v>1.1736176470588235</v>
      </c>
      <c r="AA17" s="856">
        <v>1.8048056854661182E-2</v>
      </c>
      <c r="AB17" s="856">
        <v>8.6625987886650699E-2</v>
      </c>
      <c r="AC17" s="970">
        <f t="shared" si="4"/>
        <v>899</v>
      </c>
      <c r="AD17" s="970">
        <v>50</v>
      </c>
      <c r="AE17" s="970">
        <f t="shared" si="22"/>
        <v>63.674999999999997</v>
      </c>
      <c r="AF17" s="971">
        <f t="shared" si="18"/>
        <v>64728</v>
      </c>
      <c r="AG17" s="857">
        <f t="shared" si="19"/>
        <v>5.8892815076560634E-2</v>
      </c>
      <c r="AH17" s="576">
        <v>0</v>
      </c>
      <c r="AI17" s="856">
        <f t="shared" si="21"/>
        <v>3.7077797726274814E-2</v>
      </c>
      <c r="AJ17" s="859">
        <v>0</v>
      </c>
      <c r="AK17" s="583">
        <v>3</v>
      </c>
      <c r="AL17" s="971">
        <f t="shared" si="20"/>
        <v>1348.5</v>
      </c>
      <c r="AM17" s="971">
        <f t="shared" si="6"/>
        <v>63379.5</v>
      </c>
      <c r="AN17" s="858">
        <f t="shared" si="7"/>
        <v>-2.083333333333337E-2</v>
      </c>
      <c r="AO17" s="857">
        <f t="shared" si="8"/>
        <v>1.242735294117647</v>
      </c>
      <c r="AP17" s="973">
        <f t="shared" si="9"/>
        <v>3525</v>
      </c>
      <c r="AQ17" s="855">
        <f t="shared" si="10"/>
        <v>5.8892815076560634E-2</v>
      </c>
      <c r="AR17" s="974">
        <f t="shared" si="23"/>
        <v>4.7494464392941499E-2</v>
      </c>
      <c r="AS17" s="975"/>
      <c r="AT17" s="976"/>
      <c r="AU17" s="971"/>
      <c r="AV17" s="976"/>
      <c r="AW17" s="970"/>
      <c r="AX17" s="971"/>
      <c r="AY17" s="971"/>
      <c r="AZ17" s="977"/>
      <c r="BA17" s="972"/>
      <c r="BB17" s="971"/>
      <c r="BC17" s="973"/>
      <c r="BD17" s="973"/>
      <c r="BE17" s="855"/>
      <c r="BF17" s="975"/>
      <c r="BG17" s="975"/>
      <c r="BH17" s="971"/>
      <c r="BI17" s="970"/>
      <c r="BJ17" s="971"/>
      <c r="BK17" s="971"/>
      <c r="BL17" s="977"/>
      <c r="BM17" s="972"/>
      <c r="BN17" s="971"/>
      <c r="BO17" s="973"/>
      <c r="BP17" s="973"/>
      <c r="BQ17" s="855"/>
      <c r="BR17" s="975"/>
      <c r="BS17" s="975"/>
      <c r="BT17" s="978"/>
      <c r="BU17" s="978"/>
      <c r="BV17" s="978">
        <v>1.3747710562115632E-2</v>
      </c>
      <c r="BW17" s="978">
        <f t="shared" si="12"/>
        <v>1.8048056854661182E-2</v>
      </c>
    </row>
    <row r="18" spans="1:75" hidden="1">
      <c r="A18" s="968">
        <v>2606</v>
      </c>
      <c r="B18" s="968" t="s">
        <v>14</v>
      </c>
      <c r="C18" s="969" t="s">
        <v>829</v>
      </c>
      <c r="D18" s="984" t="s">
        <v>47</v>
      </c>
      <c r="E18" s="955"/>
      <c r="F18" s="955"/>
      <c r="G18" s="955" t="str">
        <f>IFERROR(VLOOKUP(D18,[3]전용!E:J,6,0),"")</f>
        <v/>
      </c>
      <c r="H18" s="854">
        <v>51000</v>
      </c>
      <c r="I18" s="955">
        <v>5</v>
      </c>
      <c r="J18" s="955" t="s">
        <v>286</v>
      </c>
      <c r="K18" s="955">
        <v>24</v>
      </c>
      <c r="L18" s="970">
        <v>899</v>
      </c>
      <c r="M18" s="971">
        <f t="shared" si="0"/>
        <v>53940</v>
      </c>
      <c r="N18" s="855">
        <v>0.14146420948797483</v>
      </c>
      <c r="O18" s="855"/>
      <c r="P18" s="970">
        <v>899</v>
      </c>
      <c r="Q18" s="970">
        <f t="shared" si="1"/>
        <v>0</v>
      </c>
      <c r="R18" s="971">
        <f t="shared" si="2"/>
        <v>53940</v>
      </c>
      <c r="S18" s="856">
        <f t="shared" si="13"/>
        <v>3.8275816532338899E-2</v>
      </c>
      <c r="T18" s="971"/>
      <c r="U18" s="971"/>
      <c r="V18" s="976">
        <v>6</v>
      </c>
      <c r="W18" s="971">
        <f t="shared" si="3"/>
        <v>2697</v>
      </c>
      <c r="X18" s="971">
        <f t="shared" si="14"/>
        <v>51243</v>
      </c>
      <c r="Y18" s="858">
        <f t="shared" si="15"/>
        <v>-5.0000000000000044E-2</v>
      </c>
      <c r="Z18" s="857">
        <f t="shared" si="16"/>
        <v>1.004764705882353</v>
      </c>
      <c r="AA18" s="856">
        <v>1.3275816532338874E-2</v>
      </c>
      <c r="AB18" s="856">
        <v>8.1203061760939874E-2</v>
      </c>
      <c r="AC18" s="970">
        <f t="shared" si="4"/>
        <v>949</v>
      </c>
      <c r="AD18" s="970">
        <v>50</v>
      </c>
      <c r="AE18" s="970">
        <f t="shared" si="22"/>
        <v>67.424999999999997</v>
      </c>
      <c r="AF18" s="971">
        <f t="shared" si="18"/>
        <v>56940</v>
      </c>
      <c r="AG18" s="857">
        <f t="shared" si="19"/>
        <v>5.5617352614015569E-2</v>
      </c>
      <c r="AH18" s="576">
        <v>0</v>
      </c>
      <c r="AI18" s="856">
        <f t="shared" si="21"/>
        <v>4.2474194847425803E-2</v>
      </c>
      <c r="AJ18" s="859">
        <v>0</v>
      </c>
      <c r="AK18" s="583">
        <v>3</v>
      </c>
      <c r="AL18" s="971">
        <f t="shared" si="20"/>
        <v>1423.5</v>
      </c>
      <c r="AM18" s="971">
        <f t="shared" si="6"/>
        <v>55516.5</v>
      </c>
      <c r="AN18" s="858">
        <f t="shared" si="7"/>
        <v>-2.5000000000000022E-2</v>
      </c>
      <c r="AO18" s="857">
        <f t="shared" si="8"/>
        <v>1.0885588235294117</v>
      </c>
      <c r="AP18" s="973">
        <f t="shared" si="9"/>
        <v>4273.5</v>
      </c>
      <c r="AQ18" s="855">
        <f t="shared" si="10"/>
        <v>8.3396756630173874E-2</v>
      </c>
      <c r="AR18" s="974">
        <f t="shared" si="23"/>
        <v>5.4974194847425814E-2</v>
      </c>
      <c r="AS18" s="975"/>
      <c r="AT18" s="976"/>
      <c r="AU18" s="971"/>
      <c r="AV18" s="976"/>
      <c r="AW18" s="970"/>
      <c r="AX18" s="971"/>
      <c r="AY18" s="971"/>
      <c r="AZ18" s="977"/>
      <c r="BA18" s="972"/>
      <c r="BB18" s="971"/>
      <c r="BC18" s="973"/>
      <c r="BD18" s="973"/>
      <c r="BE18" s="855"/>
      <c r="BF18" s="975"/>
      <c r="BG18" s="975"/>
      <c r="BH18" s="971"/>
      <c r="BI18" s="970"/>
      <c r="BJ18" s="971"/>
      <c r="BK18" s="971"/>
      <c r="BL18" s="977"/>
      <c r="BM18" s="972"/>
      <c r="BN18" s="971"/>
      <c r="BO18" s="973"/>
      <c r="BP18" s="973"/>
      <c r="BQ18" s="855"/>
      <c r="BR18" s="975"/>
      <c r="BS18" s="975"/>
      <c r="BT18" s="978"/>
      <c r="BU18" s="978"/>
      <c r="BV18" s="978">
        <v>6.3999120769522577E-3</v>
      </c>
      <c r="BW18" s="978">
        <f t="shared" si="12"/>
        <v>1.3275816532338874E-2</v>
      </c>
    </row>
    <row r="19" spans="1:75" hidden="1">
      <c r="A19" s="979">
        <v>2606</v>
      </c>
      <c r="B19" s="979" t="s">
        <v>14</v>
      </c>
      <c r="C19" s="980" t="s">
        <v>829</v>
      </c>
      <c r="D19" s="985" t="s">
        <v>47</v>
      </c>
      <c r="E19" s="955"/>
      <c r="F19" s="955"/>
      <c r="G19" s="955" t="str">
        <f>IFERROR(VLOOKUP(D19,[3]전용!E:J,6,0),"")</f>
        <v/>
      </c>
      <c r="H19" s="854">
        <v>51000</v>
      </c>
      <c r="I19" s="955">
        <v>6</v>
      </c>
      <c r="J19" s="955" t="s">
        <v>286</v>
      </c>
      <c r="K19" s="955">
        <v>24</v>
      </c>
      <c r="L19" s="970">
        <v>749</v>
      </c>
      <c r="M19" s="971">
        <f t="shared" si="0"/>
        <v>53928</v>
      </c>
      <c r="N19" s="855">
        <v>0.16213639112955164</v>
      </c>
      <c r="O19" s="855"/>
      <c r="P19" s="970">
        <v>749</v>
      </c>
      <c r="Q19" s="970">
        <f t="shared" si="1"/>
        <v>0</v>
      </c>
      <c r="R19" s="971">
        <f t="shared" si="2"/>
        <v>53928</v>
      </c>
      <c r="S19" s="856">
        <f t="shared" si="13"/>
        <v>3.4109149865672192E-2</v>
      </c>
      <c r="T19" s="971"/>
      <c r="U19" s="971"/>
      <c r="V19" s="976">
        <v>6</v>
      </c>
      <c r="W19" s="971">
        <f t="shared" si="3"/>
        <v>2247</v>
      </c>
      <c r="X19" s="971">
        <f t="shared" si="14"/>
        <v>51681</v>
      </c>
      <c r="Y19" s="858">
        <f t="shared" si="15"/>
        <v>-4.166666666666663E-2</v>
      </c>
      <c r="Z19" s="857">
        <f t="shared" si="16"/>
        <v>1.0133529411764706</v>
      </c>
      <c r="AA19" s="856">
        <v>1.3275816532338874E-2</v>
      </c>
      <c r="AB19" s="856">
        <v>8.1203061760939874E-2</v>
      </c>
      <c r="AC19" s="970">
        <f t="shared" si="4"/>
        <v>799</v>
      </c>
      <c r="AD19" s="970">
        <v>50</v>
      </c>
      <c r="AE19" s="970">
        <f t="shared" si="22"/>
        <v>56.174999999999997</v>
      </c>
      <c r="AF19" s="971">
        <f t="shared" si="18"/>
        <v>57528</v>
      </c>
      <c r="AG19" s="857">
        <f t="shared" si="19"/>
        <v>6.6755674232309659E-2</v>
      </c>
      <c r="AH19" s="576">
        <v>0</v>
      </c>
      <c r="AI19" s="856">
        <f t="shared" si="21"/>
        <v>4.7832157353917368E-2</v>
      </c>
      <c r="AJ19" s="859">
        <v>0</v>
      </c>
      <c r="AK19" s="583">
        <v>3</v>
      </c>
      <c r="AL19" s="971">
        <f t="shared" si="20"/>
        <v>1198.5</v>
      </c>
      <c r="AM19" s="971">
        <f t="shared" si="6"/>
        <v>56329.5</v>
      </c>
      <c r="AN19" s="858">
        <f t="shared" si="7"/>
        <v>-2.083333333333337E-2</v>
      </c>
      <c r="AO19" s="857">
        <f t="shared" si="8"/>
        <v>1.1045</v>
      </c>
      <c r="AP19" s="973">
        <f t="shared" si="9"/>
        <v>4648.5</v>
      </c>
      <c r="AQ19" s="855">
        <f t="shared" si="10"/>
        <v>8.9946014976490352E-2</v>
      </c>
      <c r="AR19" s="974">
        <f t="shared" si="23"/>
        <v>5.8248824020584053E-2</v>
      </c>
      <c r="AS19" s="975"/>
      <c r="AT19" s="976"/>
      <c r="AU19" s="971"/>
      <c r="AV19" s="976"/>
      <c r="AW19" s="970"/>
      <c r="AX19" s="971"/>
      <c r="AY19" s="971"/>
      <c r="AZ19" s="977"/>
      <c r="BA19" s="972"/>
      <c r="BB19" s="971"/>
      <c r="BC19" s="973"/>
      <c r="BD19" s="973"/>
      <c r="BE19" s="855"/>
      <c r="BF19" s="975"/>
      <c r="BG19" s="975"/>
      <c r="BH19" s="971"/>
      <c r="BI19" s="970"/>
      <c r="BJ19" s="971"/>
      <c r="BK19" s="971"/>
      <c r="BL19" s="977"/>
      <c r="BM19" s="972"/>
      <c r="BN19" s="971"/>
      <c r="BO19" s="973"/>
      <c r="BP19" s="973"/>
      <c r="BQ19" s="855"/>
      <c r="BR19" s="975"/>
      <c r="BS19" s="975"/>
      <c r="BT19" s="978"/>
      <c r="BU19" s="978"/>
      <c r="BV19" s="978">
        <v>6.3999120769522577E-3</v>
      </c>
      <c r="BW19" s="978">
        <f t="shared" si="12"/>
        <v>1.3275816532338874E-2</v>
      </c>
    </row>
    <row r="20" spans="1:75" hidden="1">
      <c r="A20" s="968">
        <v>2606</v>
      </c>
      <c r="B20" s="968" t="s">
        <v>14</v>
      </c>
      <c r="C20" s="969" t="s">
        <v>829</v>
      </c>
      <c r="D20" s="984" t="s">
        <v>80</v>
      </c>
      <c r="E20" s="955"/>
      <c r="F20" s="955"/>
      <c r="G20" s="955" t="str">
        <f>IFERROR(VLOOKUP(D20,[3]전용!E:J,6,0),"")</f>
        <v/>
      </c>
      <c r="H20" s="854">
        <v>27766.666666666664</v>
      </c>
      <c r="I20" s="955">
        <v>5</v>
      </c>
      <c r="J20" s="955" t="s">
        <v>286</v>
      </c>
      <c r="K20" s="955">
        <v>24</v>
      </c>
      <c r="L20" s="970">
        <v>649</v>
      </c>
      <c r="M20" s="971">
        <f t="shared" si="0"/>
        <v>38940</v>
      </c>
      <c r="N20" s="855">
        <v>0.22972636357747539</v>
      </c>
      <c r="O20" s="855"/>
      <c r="P20" s="970">
        <v>649</v>
      </c>
      <c r="Q20" s="970">
        <f t="shared" si="1"/>
        <v>0</v>
      </c>
      <c r="R20" s="971">
        <f t="shared" si="2"/>
        <v>38940</v>
      </c>
      <c r="S20" s="856">
        <f t="shared" si="13"/>
        <v>0.14611355672339982</v>
      </c>
      <c r="T20" s="971"/>
      <c r="U20" s="971"/>
      <c r="V20" s="976">
        <v>3</v>
      </c>
      <c r="W20" s="971">
        <f t="shared" si="3"/>
        <v>973.5</v>
      </c>
      <c r="X20" s="971">
        <f t="shared" si="14"/>
        <v>37966.5</v>
      </c>
      <c r="Y20" s="858">
        <f t="shared" si="15"/>
        <v>-2.5000000000000022E-2</v>
      </c>
      <c r="Z20" s="857">
        <f t="shared" si="16"/>
        <v>1.3673409363745499</v>
      </c>
      <c r="AA20" s="856">
        <v>0.13361355672339981</v>
      </c>
      <c r="AB20" s="856">
        <v>1.6592189069931942E-2</v>
      </c>
      <c r="AC20" s="970">
        <f t="shared" si="4"/>
        <v>649</v>
      </c>
      <c r="AD20" s="970"/>
      <c r="AE20" s="970">
        <f t="shared" si="22"/>
        <v>0</v>
      </c>
      <c r="AF20" s="971">
        <f t="shared" si="18"/>
        <v>38940</v>
      </c>
      <c r="AG20" s="857">
        <f t="shared" si="19"/>
        <v>0</v>
      </c>
      <c r="AH20" s="576">
        <v>0</v>
      </c>
      <c r="AI20" s="856">
        <f t="shared" si="21"/>
        <v>0.1211135567233998</v>
      </c>
      <c r="AJ20" s="859">
        <v>0</v>
      </c>
      <c r="AK20" s="583">
        <v>3</v>
      </c>
      <c r="AL20" s="971">
        <f t="shared" si="20"/>
        <v>973.5</v>
      </c>
      <c r="AM20" s="971">
        <f t="shared" si="6"/>
        <v>37966.5</v>
      </c>
      <c r="AN20" s="858">
        <f t="shared" si="7"/>
        <v>-2.5000000000000022E-2</v>
      </c>
      <c r="AO20" s="857">
        <f t="shared" si="8"/>
        <v>1.3673409363745499</v>
      </c>
      <c r="AP20" s="973">
        <f t="shared" si="9"/>
        <v>0</v>
      </c>
      <c r="AQ20" s="855">
        <f t="shared" si="10"/>
        <v>0</v>
      </c>
      <c r="AR20" s="974">
        <f t="shared" si="23"/>
        <v>0.13361355672339981</v>
      </c>
      <c r="AS20" s="975"/>
      <c r="AT20" s="976"/>
      <c r="AU20" s="971"/>
      <c r="AV20" s="976"/>
      <c r="AW20" s="970"/>
      <c r="AX20" s="971"/>
      <c r="AY20" s="971"/>
      <c r="AZ20" s="977"/>
      <c r="BA20" s="972"/>
      <c r="BB20" s="971"/>
      <c r="BC20" s="973"/>
      <c r="BD20" s="973"/>
      <c r="BE20" s="855"/>
      <c r="BF20" s="975"/>
      <c r="BG20" s="975"/>
      <c r="BH20" s="971"/>
      <c r="BI20" s="970"/>
      <c r="BJ20" s="971"/>
      <c r="BK20" s="971"/>
      <c r="BL20" s="977"/>
      <c r="BM20" s="972"/>
      <c r="BN20" s="971"/>
      <c r="BO20" s="973"/>
      <c r="BP20" s="973"/>
      <c r="BQ20" s="855"/>
      <c r="BR20" s="975"/>
      <c r="BS20" s="975"/>
      <c r="BT20" s="978"/>
      <c r="BU20" s="978"/>
      <c r="BV20" s="978">
        <v>0.13361355672339978</v>
      </c>
      <c r="BW20" s="978">
        <f t="shared" si="12"/>
        <v>0.13361355672339981</v>
      </c>
    </row>
    <row r="21" spans="1:75" hidden="1">
      <c r="A21" s="979">
        <v>2606</v>
      </c>
      <c r="B21" s="979" t="s">
        <v>14</v>
      </c>
      <c r="C21" s="980" t="s">
        <v>829</v>
      </c>
      <c r="D21" s="985" t="s">
        <v>80</v>
      </c>
      <c r="E21" s="955"/>
      <c r="F21" s="955"/>
      <c r="G21" s="955" t="str">
        <f>IFERROR(VLOOKUP(D21,[3]전용!E:J,6,0),"")</f>
        <v/>
      </c>
      <c r="H21" s="854">
        <v>27766.666666666664</v>
      </c>
      <c r="I21" s="955">
        <v>6</v>
      </c>
      <c r="J21" s="955" t="s">
        <v>286</v>
      </c>
      <c r="K21" s="955">
        <v>24</v>
      </c>
      <c r="L21" s="970">
        <v>549</v>
      </c>
      <c r="M21" s="971">
        <f t="shared" si="0"/>
        <v>39528</v>
      </c>
      <c r="N21" s="855">
        <v>0.21962535347646522</v>
      </c>
      <c r="O21" s="855"/>
      <c r="P21" s="970">
        <v>549</v>
      </c>
      <c r="Q21" s="970">
        <f t="shared" si="1"/>
        <v>0</v>
      </c>
      <c r="R21" s="971">
        <f t="shared" si="2"/>
        <v>39528</v>
      </c>
      <c r="S21" s="856">
        <f t="shared" si="13"/>
        <v>0.14403022339006649</v>
      </c>
      <c r="T21" s="971"/>
      <c r="U21" s="971"/>
      <c r="V21" s="976">
        <v>3</v>
      </c>
      <c r="W21" s="971">
        <f t="shared" si="3"/>
        <v>823.5</v>
      </c>
      <c r="X21" s="971">
        <f t="shared" si="14"/>
        <v>38704.5</v>
      </c>
      <c r="Y21" s="858">
        <f t="shared" si="15"/>
        <v>-2.083333333333337E-2</v>
      </c>
      <c r="Z21" s="857">
        <f t="shared" si="16"/>
        <v>1.393919567827131</v>
      </c>
      <c r="AA21" s="856">
        <v>0.13361355672339981</v>
      </c>
      <c r="AB21" s="856">
        <v>1.6592189069931942E-2</v>
      </c>
      <c r="AC21" s="970">
        <f t="shared" si="4"/>
        <v>549</v>
      </c>
      <c r="AD21" s="970"/>
      <c r="AE21" s="970">
        <f t="shared" si="22"/>
        <v>0</v>
      </c>
      <c r="AF21" s="971">
        <f t="shared" si="18"/>
        <v>39528</v>
      </c>
      <c r="AG21" s="857">
        <f t="shared" si="19"/>
        <v>0</v>
      </c>
      <c r="AH21" s="576">
        <v>0</v>
      </c>
      <c r="AI21" s="856">
        <f t="shared" si="21"/>
        <v>0.12319689005673312</v>
      </c>
      <c r="AJ21" s="859">
        <v>0</v>
      </c>
      <c r="AK21" s="583">
        <v>3</v>
      </c>
      <c r="AL21" s="971">
        <f t="shared" si="20"/>
        <v>823.5</v>
      </c>
      <c r="AM21" s="971">
        <f t="shared" si="6"/>
        <v>38704.5</v>
      </c>
      <c r="AN21" s="858">
        <f t="shared" si="7"/>
        <v>-2.083333333333337E-2</v>
      </c>
      <c r="AO21" s="857">
        <f t="shared" si="8"/>
        <v>1.393919567827131</v>
      </c>
      <c r="AP21" s="973">
        <f t="shared" si="9"/>
        <v>0</v>
      </c>
      <c r="AQ21" s="855">
        <f t="shared" si="10"/>
        <v>0</v>
      </c>
      <c r="AR21" s="974">
        <f t="shared" si="23"/>
        <v>0.13361355672339981</v>
      </c>
      <c r="AS21" s="975"/>
      <c r="AT21" s="976"/>
      <c r="AU21" s="971"/>
      <c r="AV21" s="976"/>
      <c r="AW21" s="970"/>
      <c r="AX21" s="971"/>
      <c r="AY21" s="971"/>
      <c r="AZ21" s="977"/>
      <c r="BA21" s="972"/>
      <c r="BB21" s="971"/>
      <c r="BC21" s="973"/>
      <c r="BD21" s="973"/>
      <c r="BE21" s="855"/>
      <c r="BF21" s="975"/>
      <c r="BG21" s="975"/>
      <c r="BH21" s="971"/>
      <c r="BI21" s="970"/>
      <c r="BJ21" s="971"/>
      <c r="BK21" s="971"/>
      <c r="BL21" s="977"/>
      <c r="BM21" s="972"/>
      <c r="BN21" s="971"/>
      <c r="BO21" s="973"/>
      <c r="BP21" s="973"/>
      <c r="BQ21" s="855"/>
      <c r="BR21" s="975"/>
      <c r="BS21" s="975"/>
      <c r="BT21" s="978"/>
      <c r="BU21" s="978"/>
      <c r="BV21" s="978">
        <v>0.13361355672339978</v>
      </c>
      <c r="BW21" s="978">
        <f t="shared" si="12"/>
        <v>0.13361355672339981</v>
      </c>
    </row>
    <row r="22" spans="1:75" hidden="1">
      <c r="A22" s="968">
        <v>2606</v>
      </c>
      <c r="B22" s="968" t="s">
        <v>14</v>
      </c>
      <c r="C22" s="969" t="s">
        <v>831</v>
      </c>
      <c r="D22" s="981" t="s">
        <v>210</v>
      </c>
      <c r="E22" s="955"/>
      <c r="F22" s="955"/>
      <c r="G22" s="955" t="str">
        <f>IFERROR(VLOOKUP(D22,[3]전용!E:J,6,0),"")</f>
        <v/>
      </c>
      <c r="H22" s="860">
        <v>39888.888888888891</v>
      </c>
      <c r="I22" s="955">
        <v>5</v>
      </c>
      <c r="J22" s="955" t="s">
        <v>286</v>
      </c>
      <c r="K22" s="955">
        <v>24</v>
      </c>
      <c r="L22" s="970">
        <v>849</v>
      </c>
      <c r="M22" s="971">
        <f t="shared" si="0"/>
        <v>50940</v>
      </c>
      <c r="N22" s="855">
        <v>0.15</v>
      </c>
      <c r="O22" s="855"/>
      <c r="P22" s="970">
        <v>849</v>
      </c>
      <c r="Q22" s="970">
        <f t="shared" si="1"/>
        <v>0</v>
      </c>
      <c r="R22" s="971">
        <f t="shared" si="2"/>
        <v>50940</v>
      </c>
      <c r="S22" s="856">
        <f t="shared" si="13"/>
        <v>0.10151141437946888</v>
      </c>
      <c r="T22" s="971"/>
      <c r="U22" s="971"/>
      <c r="V22" s="976">
        <v>3</v>
      </c>
      <c r="W22" s="971">
        <f t="shared" si="3"/>
        <v>1273.5</v>
      </c>
      <c r="X22" s="971">
        <f t="shared" si="14"/>
        <v>49666.5</v>
      </c>
      <c r="Y22" s="856">
        <f t="shared" si="15"/>
        <v>-2.5000000000000022E-2</v>
      </c>
      <c r="Z22" s="861">
        <f t="shared" si="16"/>
        <v>1.2451211699164344</v>
      </c>
      <c r="AA22" s="856">
        <v>8.901141437946887E-2</v>
      </c>
      <c r="AB22" s="856">
        <v>9.8248975892912566E-2</v>
      </c>
      <c r="AC22" s="970">
        <f t="shared" si="4"/>
        <v>849</v>
      </c>
      <c r="AD22" s="970"/>
      <c r="AE22" s="970">
        <f t="shared" si="22"/>
        <v>33.96</v>
      </c>
      <c r="AF22" s="971">
        <f t="shared" si="18"/>
        <v>50940</v>
      </c>
      <c r="AG22" s="861">
        <f t="shared" si="19"/>
        <v>0</v>
      </c>
      <c r="AH22" s="576">
        <v>0</v>
      </c>
      <c r="AI22" s="856">
        <f t="shared" si="21"/>
        <v>7.6511414379468859E-2</v>
      </c>
      <c r="AJ22" s="859">
        <v>0</v>
      </c>
      <c r="AK22" s="583">
        <v>3</v>
      </c>
      <c r="AL22" s="971">
        <f t="shared" si="20"/>
        <v>1273.5</v>
      </c>
      <c r="AM22" s="971">
        <f t="shared" si="6"/>
        <v>49666.5</v>
      </c>
      <c r="AN22" s="856">
        <f t="shared" si="7"/>
        <v>-2.5000000000000022E-2</v>
      </c>
      <c r="AO22" s="857">
        <f t="shared" si="8"/>
        <v>1.2451211699164344</v>
      </c>
      <c r="AP22" s="973">
        <f t="shared" si="9"/>
        <v>0</v>
      </c>
      <c r="AQ22" s="855">
        <f t="shared" si="10"/>
        <v>0</v>
      </c>
      <c r="AR22" s="974">
        <f t="shared" si="23"/>
        <v>8.901141437946887E-2</v>
      </c>
      <c r="AS22" s="975"/>
      <c r="AT22" s="976"/>
      <c r="AU22" s="971"/>
      <c r="AV22" s="976"/>
      <c r="AW22" s="970"/>
      <c r="AX22" s="971"/>
      <c r="AY22" s="971"/>
      <c r="AZ22" s="977"/>
      <c r="BA22" s="972"/>
      <c r="BB22" s="971"/>
      <c r="BC22" s="973"/>
      <c r="BD22" s="973"/>
      <c r="BE22" s="855"/>
      <c r="BF22" s="975"/>
      <c r="BG22" s="975"/>
      <c r="BH22" s="971"/>
      <c r="BI22" s="970"/>
      <c r="BJ22" s="971"/>
      <c r="BK22" s="971"/>
      <c r="BL22" s="977"/>
      <c r="BM22" s="972"/>
      <c r="BN22" s="971"/>
      <c r="BO22" s="973"/>
      <c r="BP22" s="973"/>
      <c r="BQ22" s="855"/>
      <c r="BR22" s="975"/>
      <c r="BS22" s="975"/>
      <c r="BT22" s="978"/>
      <c r="BU22" s="978"/>
      <c r="BV22" s="978">
        <v>9.155992393912106E-2</v>
      </c>
      <c r="BW22" s="978">
        <f t="shared" si="12"/>
        <v>8.901141437946887E-2</v>
      </c>
    </row>
    <row r="23" spans="1:75" hidden="1">
      <c r="A23" s="979">
        <v>2606</v>
      </c>
      <c r="B23" s="979" t="s">
        <v>14</v>
      </c>
      <c r="C23" s="982" t="s">
        <v>831</v>
      </c>
      <c r="D23" s="983" t="s">
        <v>908</v>
      </c>
      <c r="E23" s="955"/>
      <c r="F23" s="955"/>
      <c r="G23" s="955" t="str">
        <f>IFERROR(VLOOKUP(D23,[3]전용!E:J,6,0),"")</f>
        <v/>
      </c>
      <c r="H23" s="860">
        <v>39888.888888888891</v>
      </c>
      <c r="I23" s="955">
        <v>6</v>
      </c>
      <c r="J23" s="955" t="s">
        <v>286</v>
      </c>
      <c r="K23" s="955">
        <v>24</v>
      </c>
      <c r="L23" s="970">
        <v>749</v>
      </c>
      <c r="M23" s="971">
        <f t="shared" si="0"/>
        <v>53928</v>
      </c>
      <c r="N23" s="855">
        <v>0.15</v>
      </c>
      <c r="O23" s="855"/>
      <c r="P23" s="970">
        <v>749</v>
      </c>
      <c r="Q23" s="970">
        <f t="shared" si="1"/>
        <v>0</v>
      </c>
      <c r="R23" s="971">
        <f t="shared" si="2"/>
        <v>53928</v>
      </c>
      <c r="S23" s="856">
        <f t="shared" si="13"/>
        <v>9.9428081046135555E-2</v>
      </c>
      <c r="T23" s="971"/>
      <c r="U23" s="971"/>
      <c r="V23" s="976">
        <v>3</v>
      </c>
      <c r="W23" s="971">
        <f t="shared" si="3"/>
        <v>1123.5</v>
      </c>
      <c r="X23" s="971">
        <f t="shared" si="14"/>
        <v>52804.5</v>
      </c>
      <c r="Y23" s="856">
        <f t="shared" si="15"/>
        <v>-2.083333333333337E-2</v>
      </c>
      <c r="Z23" s="861">
        <f t="shared" si="16"/>
        <v>1.3237896935933147</v>
      </c>
      <c r="AA23" s="856">
        <v>8.901141437946887E-2</v>
      </c>
      <c r="AB23" s="856">
        <v>9.8248975892912566E-2</v>
      </c>
      <c r="AC23" s="970">
        <f t="shared" si="4"/>
        <v>749</v>
      </c>
      <c r="AD23" s="970"/>
      <c r="AE23" s="970">
        <f t="shared" si="22"/>
        <v>29.96</v>
      </c>
      <c r="AF23" s="971">
        <f t="shared" si="18"/>
        <v>53928</v>
      </c>
      <c r="AG23" s="861">
        <f t="shared" si="19"/>
        <v>0</v>
      </c>
      <c r="AH23" s="576">
        <v>0</v>
      </c>
      <c r="AI23" s="856">
        <f t="shared" si="21"/>
        <v>7.8594747712802185E-2</v>
      </c>
      <c r="AJ23" s="859">
        <v>0</v>
      </c>
      <c r="AK23" s="583">
        <v>3</v>
      </c>
      <c r="AL23" s="971">
        <f t="shared" si="20"/>
        <v>1123.5</v>
      </c>
      <c r="AM23" s="971">
        <f t="shared" si="6"/>
        <v>52804.5</v>
      </c>
      <c r="AN23" s="856">
        <f t="shared" si="7"/>
        <v>-2.083333333333337E-2</v>
      </c>
      <c r="AO23" s="857">
        <f t="shared" si="8"/>
        <v>1.3237896935933147</v>
      </c>
      <c r="AP23" s="973">
        <f t="shared" si="9"/>
        <v>0</v>
      </c>
      <c r="AQ23" s="855">
        <f t="shared" si="10"/>
        <v>0</v>
      </c>
      <c r="AR23" s="974">
        <f t="shared" si="23"/>
        <v>8.901141437946887E-2</v>
      </c>
      <c r="AS23" s="975"/>
      <c r="AT23" s="976"/>
      <c r="AU23" s="971"/>
      <c r="AV23" s="976"/>
      <c r="AW23" s="970"/>
      <c r="AX23" s="971"/>
      <c r="AY23" s="971"/>
      <c r="AZ23" s="977"/>
      <c r="BA23" s="972"/>
      <c r="BB23" s="971"/>
      <c r="BC23" s="973"/>
      <c r="BD23" s="973"/>
      <c r="BE23" s="855"/>
      <c r="BF23" s="975"/>
      <c r="BG23" s="975"/>
      <c r="BH23" s="971"/>
      <c r="BI23" s="970"/>
      <c r="BJ23" s="971"/>
      <c r="BK23" s="971"/>
      <c r="BL23" s="977"/>
      <c r="BM23" s="972"/>
      <c r="BN23" s="971"/>
      <c r="BO23" s="973"/>
      <c r="BP23" s="973"/>
      <c r="BQ23" s="855"/>
      <c r="BR23" s="975"/>
      <c r="BS23" s="975"/>
      <c r="BT23" s="978"/>
      <c r="BU23" s="978"/>
      <c r="BV23" s="978">
        <v>9.155992393912106E-2</v>
      </c>
      <c r="BW23" s="978">
        <f t="shared" si="12"/>
        <v>8.901141437946887E-2</v>
      </c>
    </row>
    <row r="24" spans="1:75" hidden="1">
      <c r="A24" s="968">
        <v>2606</v>
      </c>
      <c r="B24" s="968" t="s">
        <v>14</v>
      </c>
      <c r="C24" s="969" t="s">
        <v>829</v>
      </c>
      <c r="D24" s="984" t="s">
        <v>17</v>
      </c>
      <c r="E24" s="955"/>
      <c r="F24" s="955"/>
      <c r="G24" s="955" t="str">
        <f>IFERROR(VLOOKUP(D24,[3]전용!E:J,6,0),"")</f>
        <v/>
      </c>
      <c r="H24" s="854">
        <v>24433.333333333332</v>
      </c>
      <c r="I24" s="955">
        <v>5</v>
      </c>
      <c r="J24" s="955" t="s">
        <v>286</v>
      </c>
      <c r="K24" s="955">
        <v>24</v>
      </c>
      <c r="L24" s="970">
        <v>549</v>
      </c>
      <c r="M24" s="971">
        <f t="shared" si="0"/>
        <v>32940</v>
      </c>
      <c r="N24" s="855">
        <v>0.23679272109605601</v>
      </c>
      <c r="O24" s="855"/>
      <c r="P24" s="970">
        <v>549</v>
      </c>
      <c r="Q24" s="970">
        <f t="shared" si="1"/>
        <v>0</v>
      </c>
      <c r="R24" s="971">
        <f t="shared" si="2"/>
        <v>32940</v>
      </c>
      <c r="S24" s="856">
        <f t="shared" si="13"/>
        <v>1.5731780346312348E-2</v>
      </c>
      <c r="T24" s="971"/>
      <c r="U24" s="971"/>
      <c r="V24" s="972">
        <v>3</v>
      </c>
      <c r="W24" s="971">
        <f t="shared" si="3"/>
        <v>823.5</v>
      </c>
      <c r="X24" s="971">
        <f t="shared" si="14"/>
        <v>32116.5</v>
      </c>
      <c r="Y24" s="858">
        <f t="shared" si="15"/>
        <v>-2.5000000000000022E-2</v>
      </c>
      <c r="Z24" s="857">
        <f t="shared" si="16"/>
        <v>1.3144542974079128</v>
      </c>
      <c r="AA24" s="856">
        <v>3.2317803463123352E-3</v>
      </c>
      <c r="AB24" s="856">
        <v>0.1445131283735541</v>
      </c>
      <c r="AC24" s="970">
        <f t="shared" si="4"/>
        <v>599</v>
      </c>
      <c r="AD24" s="970">
        <v>50</v>
      </c>
      <c r="AE24" s="970">
        <f t="shared" si="22"/>
        <v>41.174999999999997</v>
      </c>
      <c r="AF24" s="971">
        <f t="shared" si="18"/>
        <v>35940</v>
      </c>
      <c r="AG24" s="857">
        <f t="shared" si="19"/>
        <v>9.1074681238615618E-2</v>
      </c>
      <c r="AH24" s="576">
        <v>0</v>
      </c>
      <c r="AI24" s="856">
        <f t="shared" si="21"/>
        <v>3.6269120965620134E-2</v>
      </c>
      <c r="AJ24" s="859">
        <v>0</v>
      </c>
      <c r="AK24" s="583">
        <v>3</v>
      </c>
      <c r="AL24" s="971">
        <f t="shared" si="20"/>
        <v>898.5</v>
      </c>
      <c r="AM24" s="971">
        <f t="shared" si="6"/>
        <v>35041.5</v>
      </c>
      <c r="AN24" s="858">
        <f t="shared" si="7"/>
        <v>-2.5000000000000022E-2</v>
      </c>
      <c r="AO24" s="857">
        <f t="shared" si="8"/>
        <v>1.4341678035470669</v>
      </c>
      <c r="AP24" s="973">
        <f t="shared" si="9"/>
        <v>2925</v>
      </c>
      <c r="AQ24" s="855">
        <f t="shared" si="10"/>
        <v>9.1074681238615618E-2</v>
      </c>
      <c r="AR24" s="974">
        <f t="shared" si="23"/>
        <v>4.8769120965620145E-2</v>
      </c>
      <c r="AS24" s="975"/>
      <c r="AT24" s="976"/>
      <c r="AU24" s="971"/>
      <c r="AV24" s="976"/>
      <c r="AW24" s="970"/>
      <c r="AX24" s="971"/>
      <c r="AY24" s="971"/>
      <c r="AZ24" s="977"/>
      <c r="BA24" s="972"/>
      <c r="BB24" s="971"/>
      <c r="BC24" s="973"/>
      <c r="BD24" s="973"/>
      <c r="BE24" s="855"/>
      <c r="BF24" s="975"/>
      <c r="BG24" s="975"/>
      <c r="BH24" s="971"/>
      <c r="BI24" s="970"/>
      <c r="BJ24" s="971"/>
      <c r="BK24" s="971"/>
      <c r="BL24" s="977"/>
      <c r="BM24" s="972"/>
      <c r="BN24" s="971"/>
      <c r="BO24" s="973"/>
      <c r="BP24" s="973"/>
      <c r="BQ24" s="855"/>
      <c r="BR24" s="975"/>
      <c r="BS24" s="975"/>
      <c r="BT24" s="978"/>
      <c r="BU24" s="978"/>
      <c r="BV24" s="978">
        <v>0.02</v>
      </c>
      <c r="BW24" s="978">
        <f t="shared" si="12"/>
        <v>3.2317803463123352E-3</v>
      </c>
    </row>
    <row r="25" spans="1:75" hidden="1">
      <c r="A25" s="979">
        <v>2606</v>
      </c>
      <c r="B25" s="979" t="s">
        <v>14</v>
      </c>
      <c r="C25" s="980" t="s">
        <v>829</v>
      </c>
      <c r="D25" s="985" t="s">
        <v>17</v>
      </c>
      <c r="E25" s="955"/>
      <c r="F25" s="955"/>
      <c r="G25" s="955" t="str">
        <f>IFERROR(VLOOKUP(D25,[3]전용!E:J,6,0),"")</f>
        <v/>
      </c>
      <c r="H25" s="854">
        <v>24433.333333333332</v>
      </c>
      <c r="I25" s="955">
        <v>6</v>
      </c>
      <c r="J25" s="955" t="s">
        <v>286</v>
      </c>
      <c r="K25" s="955">
        <v>24</v>
      </c>
      <c r="L25" s="970">
        <v>449</v>
      </c>
      <c r="M25" s="971">
        <f t="shared" si="0"/>
        <v>32328</v>
      </c>
      <c r="N25" s="855">
        <v>0.18308536197667591</v>
      </c>
      <c r="O25" s="855"/>
      <c r="P25" s="970">
        <v>449</v>
      </c>
      <c r="Q25" s="970">
        <f t="shared" si="1"/>
        <v>0</v>
      </c>
      <c r="R25" s="971">
        <f t="shared" si="2"/>
        <v>32328</v>
      </c>
      <c r="S25" s="856">
        <f t="shared" si="13"/>
        <v>1.364844701297902E-2</v>
      </c>
      <c r="T25" s="971"/>
      <c r="U25" s="971"/>
      <c r="V25" s="972">
        <v>3</v>
      </c>
      <c r="W25" s="971">
        <f t="shared" si="3"/>
        <v>673.5</v>
      </c>
      <c r="X25" s="971">
        <f t="shared" si="14"/>
        <v>31654.5</v>
      </c>
      <c r="Y25" s="858">
        <f t="shared" si="15"/>
        <v>-2.083333333333337E-2</v>
      </c>
      <c r="Z25" s="857">
        <f t="shared" si="16"/>
        <v>1.2955457025920873</v>
      </c>
      <c r="AA25" s="856">
        <v>3.2317803463123352E-3</v>
      </c>
      <c r="AB25" s="856">
        <v>0.1445131283735541</v>
      </c>
      <c r="AC25" s="970">
        <f t="shared" si="4"/>
        <v>499</v>
      </c>
      <c r="AD25" s="970">
        <v>50</v>
      </c>
      <c r="AE25" s="970">
        <f t="shared" si="22"/>
        <v>33.674999999999997</v>
      </c>
      <c r="AF25" s="971">
        <f t="shared" si="18"/>
        <v>35928</v>
      </c>
      <c r="AG25" s="857">
        <f t="shared" si="19"/>
        <v>0.11135857461024501</v>
      </c>
      <c r="AH25" s="576">
        <v>0</v>
      </c>
      <c r="AI25" s="856">
        <f t="shared" si="21"/>
        <v>4.8494400984768156E-2</v>
      </c>
      <c r="AJ25" s="859">
        <v>0</v>
      </c>
      <c r="AK25" s="583">
        <v>3</v>
      </c>
      <c r="AL25" s="971">
        <f t="shared" si="20"/>
        <v>748.5</v>
      </c>
      <c r="AM25" s="971">
        <f t="shared" si="6"/>
        <v>35179.5</v>
      </c>
      <c r="AN25" s="858">
        <f t="shared" si="7"/>
        <v>-2.083333333333337E-2</v>
      </c>
      <c r="AO25" s="857">
        <f t="shared" si="8"/>
        <v>1.4398158253751705</v>
      </c>
      <c r="AP25" s="973">
        <f t="shared" si="9"/>
        <v>3525</v>
      </c>
      <c r="AQ25" s="855">
        <f t="shared" si="10"/>
        <v>0.11135857461024501</v>
      </c>
      <c r="AR25" s="974">
        <f t="shared" si="23"/>
        <v>5.8911067651434841E-2</v>
      </c>
      <c r="AS25" s="975"/>
      <c r="AT25" s="976"/>
      <c r="AU25" s="971"/>
      <c r="AV25" s="976"/>
      <c r="AW25" s="970"/>
      <c r="AX25" s="971"/>
      <c r="AY25" s="971"/>
      <c r="AZ25" s="977"/>
      <c r="BA25" s="972"/>
      <c r="BB25" s="971"/>
      <c r="BC25" s="973"/>
      <c r="BD25" s="973"/>
      <c r="BE25" s="855"/>
      <c r="BF25" s="975"/>
      <c r="BG25" s="975"/>
      <c r="BH25" s="971"/>
      <c r="BI25" s="970"/>
      <c r="BJ25" s="971"/>
      <c r="BK25" s="971"/>
      <c r="BL25" s="977"/>
      <c r="BM25" s="972"/>
      <c r="BN25" s="971"/>
      <c r="BO25" s="973"/>
      <c r="BP25" s="973"/>
      <c r="BQ25" s="855"/>
      <c r="BR25" s="975"/>
      <c r="BS25" s="975"/>
      <c r="BT25" s="978"/>
      <c r="BU25" s="978"/>
      <c r="BV25" s="978">
        <v>0.02</v>
      </c>
      <c r="BW25" s="978">
        <f t="shared" si="12"/>
        <v>3.2317803463123352E-3</v>
      </c>
    </row>
    <row r="26" spans="1:75" hidden="1">
      <c r="A26" s="968">
        <v>2606</v>
      </c>
      <c r="B26" s="968" t="s">
        <v>291</v>
      </c>
      <c r="C26" s="969" t="s">
        <v>829</v>
      </c>
      <c r="D26" s="984" t="s">
        <v>74</v>
      </c>
      <c r="E26" s="955" t="s">
        <v>74</v>
      </c>
      <c r="F26" s="955"/>
      <c r="G26" s="955" t="str">
        <f>IFERROR(VLOOKUP(D26,[3]전용!E:J,6,0),"")</f>
        <v/>
      </c>
      <c r="H26" s="854">
        <v>38777.777777777774</v>
      </c>
      <c r="I26" s="955">
        <v>5</v>
      </c>
      <c r="J26" s="955" t="s">
        <v>286</v>
      </c>
      <c r="K26" s="955">
        <v>12</v>
      </c>
      <c r="L26" s="970">
        <v>899</v>
      </c>
      <c r="M26" s="971">
        <f t="shared" si="0"/>
        <v>53940</v>
      </c>
      <c r="N26" s="855">
        <v>0.21724137931034487</v>
      </c>
      <c r="O26" s="855"/>
      <c r="P26" s="970">
        <v>899</v>
      </c>
      <c r="Q26" s="970">
        <f t="shared" si="1"/>
        <v>0</v>
      </c>
      <c r="R26" s="971">
        <f t="shared" si="2"/>
        <v>53940</v>
      </c>
      <c r="S26" s="856">
        <f t="shared" si="13"/>
        <v>0.38496717655082152</v>
      </c>
      <c r="T26" s="971"/>
      <c r="U26" s="971"/>
      <c r="V26" s="972">
        <v>12</v>
      </c>
      <c r="W26" s="971">
        <f t="shared" si="3"/>
        <v>5394</v>
      </c>
      <c r="X26" s="971">
        <f t="shared" si="14"/>
        <v>48546</v>
      </c>
      <c r="Y26" s="858">
        <f t="shared" si="15"/>
        <v>-9.9999999999999978E-2</v>
      </c>
      <c r="Z26" s="857">
        <f t="shared" si="16"/>
        <v>1.2519025787965616</v>
      </c>
      <c r="AA26" s="856">
        <v>0.33496717655082153</v>
      </c>
      <c r="AB26" s="856">
        <v>7.2829246114248694E-2</v>
      </c>
      <c r="AC26" s="970">
        <f t="shared" si="4"/>
        <v>899</v>
      </c>
      <c r="AD26" s="970"/>
      <c r="AE26" s="970">
        <f t="shared" si="22"/>
        <v>0</v>
      </c>
      <c r="AF26" s="971">
        <f t="shared" si="18"/>
        <v>53940</v>
      </c>
      <c r="AG26" s="857">
        <f t="shared" si="19"/>
        <v>0</v>
      </c>
      <c r="AH26" s="576">
        <v>0</v>
      </c>
      <c r="AI26" s="856">
        <f t="shared" si="21"/>
        <v>0.28496717655082154</v>
      </c>
      <c r="AJ26" s="859">
        <v>0</v>
      </c>
      <c r="AK26" s="583">
        <v>12</v>
      </c>
      <c r="AL26" s="971">
        <f t="shared" si="20"/>
        <v>5394</v>
      </c>
      <c r="AM26" s="971">
        <f t="shared" si="6"/>
        <v>48546</v>
      </c>
      <c r="AN26" s="858">
        <f t="shared" si="7"/>
        <v>-9.9999999999999978E-2</v>
      </c>
      <c r="AO26" s="857">
        <f t="shared" si="8"/>
        <v>1.2519025787965616</v>
      </c>
      <c r="AP26" s="973">
        <f t="shared" si="9"/>
        <v>0</v>
      </c>
      <c r="AQ26" s="855">
        <f t="shared" si="10"/>
        <v>0</v>
      </c>
      <c r="AR26" s="974">
        <f t="shared" si="23"/>
        <v>0.33496717655082153</v>
      </c>
      <c r="AS26" s="975"/>
      <c r="AT26" s="976"/>
      <c r="AU26" s="971"/>
      <c r="AV26" s="976"/>
      <c r="AW26" s="970"/>
      <c r="AX26" s="971"/>
      <c r="AY26" s="971"/>
      <c r="AZ26" s="977"/>
      <c r="BA26" s="972"/>
      <c r="BB26" s="971"/>
      <c r="BC26" s="973"/>
      <c r="BD26" s="973"/>
      <c r="BE26" s="855"/>
      <c r="BF26" s="975"/>
      <c r="BG26" s="975"/>
      <c r="BH26" s="971"/>
      <c r="BI26" s="970"/>
      <c r="BJ26" s="971"/>
      <c r="BK26" s="971"/>
      <c r="BL26" s="977"/>
      <c r="BM26" s="972"/>
      <c r="BN26" s="971"/>
      <c r="BO26" s="973"/>
      <c r="BP26" s="973"/>
      <c r="BQ26" s="855"/>
      <c r="BR26" s="975"/>
      <c r="BS26" s="975"/>
      <c r="BT26" s="978"/>
      <c r="BU26" s="978"/>
      <c r="BV26" s="978">
        <v>0.23433963523597201</v>
      </c>
      <c r="BW26" s="978">
        <f t="shared" si="12"/>
        <v>0.29696717655082155</v>
      </c>
    </row>
    <row r="27" spans="1:75" hidden="1">
      <c r="A27" s="968">
        <v>2606</v>
      </c>
      <c r="B27" s="968" t="s">
        <v>291</v>
      </c>
      <c r="C27" s="969" t="s">
        <v>829</v>
      </c>
      <c r="D27" s="969" t="s">
        <v>74</v>
      </c>
      <c r="E27" s="955" t="s">
        <v>74</v>
      </c>
      <c r="F27" s="955"/>
      <c r="G27" s="955" t="str">
        <f>IFERROR(VLOOKUP(D27,[3]전용!E:J,6,0),"")</f>
        <v/>
      </c>
      <c r="H27" s="854">
        <v>38777.777777777774</v>
      </c>
      <c r="I27" s="955">
        <v>5</v>
      </c>
      <c r="J27" s="955" t="s">
        <v>288</v>
      </c>
      <c r="K27" s="955">
        <v>12</v>
      </c>
      <c r="L27" s="970">
        <v>849</v>
      </c>
      <c r="M27" s="971">
        <f t="shared" si="0"/>
        <v>50940</v>
      </c>
      <c r="N27" s="855">
        <v>0.21724137931034487</v>
      </c>
      <c r="O27" s="855"/>
      <c r="P27" s="970">
        <v>849</v>
      </c>
      <c r="Q27" s="970">
        <f t="shared" si="1"/>
        <v>0</v>
      </c>
      <c r="R27" s="971">
        <f t="shared" si="2"/>
        <v>50940</v>
      </c>
      <c r="S27" s="856">
        <f t="shared" si="13"/>
        <v>0.38496717655082152</v>
      </c>
      <c r="T27" s="971"/>
      <c r="U27" s="971"/>
      <c r="V27" s="972">
        <v>12</v>
      </c>
      <c r="W27" s="971">
        <f t="shared" si="3"/>
        <v>5094</v>
      </c>
      <c r="X27" s="971">
        <f t="shared" si="14"/>
        <v>45846</v>
      </c>
      <c r="Y27" s="858">
        <f t="shared" si="15"/>
        <v>-9.9999999999999978E-2</v>
      </c>
      <c r="Z27" s="857">
        <f t="shared" si="16"/>
        <v>1.182275071633238</v>
      </c>
      <c r="AA27" s="856">
        <v>0.33496717655082153</v>
      </c>
      <c r="AB27" s="856">
        <v>7.2829246114248694E-2</v>
      </c>
      <c r="AC27" s="970">
        <f t="shared" si="4"/>
        <v>849</v>
      </c>
      <c r="AD27" s="970"/>
      <c r="AE27" s="970">
        <f t="shared" si="22"/>
        <v>0</v>
      </c>
      <c r="AF27" s="971">
        <f t="shared" si="18"/>
        <v>50940</v>
      </c>
      <c r="AG27" s="857">
        <f t="shared" si="19"/>
        <v>0</v>
      </c>
      <c r="AH27" s="576">
        <v>0</v>
      </c>
      <c r="AI27" s="856">
        <f t="shared" si="21"/>
        <v>0.28496717655082154</v>
      </c>
      <c r="AJ27" s="859">
        <v>0</v>
      </c>
      <c r="AK27" s="583">
        <v>12</v>
      </c>
      <c r="AL27" s="971">
        <f t="shared" si="20"/>
        <v>5094</v>
      </c>
      <c r="AM27" s="971">
        <f t="shared" si="6"/>
        <v>45846</v>
      </c>
      <c r="AN27" s="858">
        <f t="shared" si="7"/>
        <v>-9.9999999999999978E-2</v>
      </c>
      <c r="AO27" s="857">
        <f t="shared" si="8"/>
        <v>1.182275071633238</v>
      </c>
      <c r="AP27" s="973">
        <f t="shared" si="9"/>
        <v>0</v>
      </c>
      <c r="AQ27" s="855">
        <f t="shared" si="10"/>
        <v>0</v>
      </c>
      <c r="AR27" s="974">
        <f t="shared" si="23"/>
        <v>0.33496717655082153</v>
      </c>
      <c r="AS27" s="975"/>
      <c r="AT27" s="976"/>
      <c r="AU27" s="971"/>
      <c r="AV27" s="976"/>
      <c r="AW27" s="970"/>
      <c r="AX27" s="971"/>
      <c r="AY27" s="971"/>
      <c r="AZ27" s="977"/>
      <c r="BA27" s="972"/>
      <c r="BB27" s="971"/>
      <c r="BC27" s="973"/>
      <c r="BD27" s="973"/>
      <c r="BE27" s="855"/>
      <c r="BF27" s="975"/>
      <c r="BG27" s="975"/>
      <c r="BH27" s="971"/>
      <c r="BI27" s="970"/>
      <c r="BJ27" s="971"/>
      <c r="BK27" s="971"/>
      <c r="BL27" s="977"/>
      <c r="BM27" s="972"/>
      <c r="BN27" s="971"/>
      <c r="BO27" s="973"/>
      <c r="BP27" s="973"/>
      <c r="BQ27" s="855"/>
      <c r="BR27" s="975"/>
      <c r="BS27" s="975"/>
      <c r="BT27" s="978"/>
      <c r="BU27" s="978"/>
      <c r="BV27" s="978">
        <v>0.23433963523597201</v>
      </c>
      <c r="BW27" s="978">
        <f t="shared" si="12"/>
        <v>0.29696717655082155</v>
      </c>
    </row>
    <row r="28" spans="1:75" hidden="1">
      <c r="A28" s="968">
        <v>2606</v>
      </c>
      <c r="B28" s="968" t="s">
        <v>291</v>
      </c>
      <c r="C28" s="969" t="s">
        <v>829</v>
      </c>
      <c r="D28" s="969" t="s">
        <v>74</v>
      </c>
      <c r="E28" s="955" t="s">
        <v>74</v>
      </c>
      <c r="F28" s="955"/>
      <c r="G28" s="955" t="str">
        <f>IFERROR(VLOOKUP(D28,[3]전용!E:J,6,0),"")</f>
        <v/>
      </c>
      <c r="H28" s="854">
        <v>38777.777777777774</v>
      </c>
      <c r="I28" s="955">
        <v>6</v>
      </c>
      <c r="J28" s="955" t="s">
        <v>286</v>
      </c>
      <c r="K28" s="955">
        <v>12</v>
      </c>
      <c r="L28" s="970">
        <v>799</v>
      </c>
      <c r="M28" s="971">
        <f t="shared" si="0"/>
        <v>57528</v>
      </c>
      <c r="N28" s="855">
        <v>0.25314990094651113</v>
      </c>
      <c r="O28" s="855"/>
      <c r="P28" s="970">
        <v>799</v>
      </c>
      <c r="Q28" s="970">
        <f t="shared" si="1"/>
        <v>0</v>
      </c>
      <c r="R28" s="971">
        <f t="shared" si="2"/>
        <v>57528</v>
      </c>
      <c r="S28" s="856">
        <f t="shared" si="13"/>
        <v>0.37663384321748822</v>
      </c>
      <c r="T28" s="971"/>
      <c r="U28" s="971"/>
      <c r="V28" s="972">
        <v>12</v>
      </c>
      <c r="W28" s="971">
        <f t="shared" si="3"/>
        <v>4794</v>
      </c>
      <c r="X28" s="971">
        <f t="shared" si="14"/>
        <v>52734</v>
      </c>
      <c r="Y28" s="858">
        <f t="shared" si="15"/>
        <v>-8.333333333333337E-2</v>
      </c>
      <c r="Z28" s="857">
        <f t="shared" si="16"/>
        <v>1.3599025787965617</v>
      </c>
      <c r="AA28" s="856">
        <v>0.33496717655082153</v>
      </c>
      <c r="AB28" s="856">
        <v>7.2829246114248694E-2</v>
      </c>
      <c r="AC28" s="970">
        <f t="shared" si="4"/>
        <v>799</v>
      </c>
      <c r="AD28" s="970"/>
      <c r="AE28" s="970">
        <f t="shared" si="22"/>
        <v>0</v>
      </c>
      <c r="AF28" s="971">
        <f t="shared" si="18"/>
        <v>57528</v>
      </c>
      <c r="AG28" s="857">
        <f t="shared" si="19"/>
        <v>0</v>
      </c>
      <c r="AH28" s="576">
        <v>0</v>
      </c>
      <c r="AI28" s="856">
        <f t="shared" si="21"/>
        <v>0.29330050988415485</v>
      </c>
      <c r="AJ28" s="859">
        <v>0</v>
      </c>
      <c r="AK28" s="583">
        <v>12</v>
      </c>
      <c r="AL28" s="971">
        <f t="shared" si="20"/>
        <v>4794</v>
      </c>
      <c r="AM28" s="971">
        <f t="shared" si="6"/>
        <v>52734</v>
      </c>
      <c r="AN28" s="858">
        <f t="shared" si="7"/>
        <v>-8.333333333333337E-2</v>
      </c>
      <c r="AO28" s="857">
        <f t="shared" si="8"/>
        <v>1.3599025787965617</v>
      </c>
      <c r="AP28" s="973">
        <f t="shared" si="9"/>
        <v>0</v>
      </c>
      <c r="AQ28" s="855">
        <f t="shared" si="10"/>
        <v>0</v>
      </c>
      <c r="AR28" s="974">
        <f t="shared" si="23"/>
        <v>0.33496717655082153</v>
      </c>
      <c r="AS28" s="975"/>
      <c r="AT28" s="976"/>
      <c r="AU28" s="971"/>
      <c r="AV28" s="976"/>
      <c r="AW28" s="970"/>
      <c r="AX28" s="971"/>
      <c r="AY28" s="971"/>
      <c r="AZ28" s="977"/>
      <c r="BA28" s="972"/>
      <c r="BB28" s="971"/>
      <c r="BC28" s="973"/>
      <c r="BD28" s="973"/>
      <c r="BE28" s="855"/>
      <c r="BF28" s="975"/>
      <c r="BG28" s="975"/>
      <c r="BH28" s="971"/>
      <c r="BI28" s="970"/>
      <c r="BJ28" s="971"/>
      <c r="BK28" s="971"/>
      <c r="BL28" s="977"/>
      <c r="BM28" s="972"/>
      <c r="BN28" s="971"/>
      <c r="BO28" s="973"/>
      <c r="BP28" s="973"/>
      <c r="BQ28" s="855"/>
      <c r="BR28" s="975"/>
      <c r="BS28" s="975"/>
      <c r="BT28" s="978"/>
      <c r="BU28" s="978"/>
      <c r="BV28" s="978">
        <v>0.23433963523597201</v>
      </c>
      <c r="BW28" s="978">
        <f t="shared" si="12"/>
        <v>0.29696717655082155</v>
      </c>
    </row>
    <row r="29" spans="1:75" hidden="1">
      <c r="A29" s="979">
        <v>2606</v>
      </c>
      <c r="B29" s="979" t="s">
        <v>291</v>
      </c>
      <c r="C29" s="980" t="s">
        <v>829</v>
      </c>
      <c r="D29" s="980" t="s">
        <v>74</v>
      </c>
      <c r="E29" s="955" t="s">
        <v>74</v>
      </c>
      <c r="F29" s="955"/>
      <c r="G29" s="955" t="str">
        <f>IFERROR(VLOOKUP(D29,[3]전용!E:J,6,0),"")</f>
        <v/>
      </c>
      <c r="H29" s="854">
        <v>38777.777777777774</v>
      </c>
      <c r="I29" s="955">
        <v>6</v>
      </c>
      <c r="J29" s="955" t="s">
        <v>288</v>
      </c>
      <c r="K29" s="955">
        <v>12</v>
      </c>
      <c r="L29" s="970">
        <v>749</v>
      </c>
      <c r="M29" s="971">
        <f t="shared" si="0"/>
        <v>53928</v>
      </c>
      <c r="N29" s="855">
        <v>0.26307178631051753</v>
      </c>
      <c r="O29" s="855"/>
      <c r="P29" s="970">
        <v>749</v>
      </c>
      <c r="Q29" s="970">
        <f t="shared" si="1"/>
        <v>0</v>
      </c>
      <c r="R29" s="971">
        <f t="shared" si="2"/>
        <v>53928</v>
      </c>
      <c r="S29" s="856">
        <f t="shared" si="13"/>
        <v>0.37663384321748822</v>
      </c>
      <c r="T29" s="971"/>
      <c r="U29" s="971"/>
      <c r="V29" s="972">
        <v>12</v>
      </c>
      <c r="W29" s="971">
        <f t="shared" si="3"/>
        <v>4494</v>
      </c>
      <c r="X29" s="971">
        <f t="shared" si="14"/>
        <v>49434</v>
      </c>
      <c r="Y29" s="858">
        <f t="shared" si="15"/>
        <v>-8.333333333333337E-2</v>
      </c>
      <c r="Z29" s="857">
        <f t="shared" si="16"/>
        <v>1.2748022922636104</v>
      </c>
      <c r="AA29" s="856">
        <v>0.33496717655082153</v>
      </c>
      <c r="AB29" s="856">
        <v>7.2829246114248694E-2</v>
      </c>
      <c r="AC29" s="970">
        <f t="shared" si="4"/>
        <v>749</v>
      </c>
      <c r="AD29" s="970"/>
      <c r="AE29" s="970">
        <f t="shared" si="22"/>
        <v>0</v>
      </c>
      <c r="AF29" s="971">
        <f t="shared" si="18"/>
        <v>53928</v>
      </c>
      <c r="AG29" s="857">
        <f t="shared" si="19"/>
        <v>0</v>
      </c>
      <c r="AH29" s="576">
        <v>0</v>
      </c>
      <c r="AI29" s="856">
        <f t="shared" si="21"/>
        <v>0.29330050988415485</v>
      </c>
      <c r="AJ29" s="859">
        <v>0</v>
      </c>
      <c r="AK29" s="583">
        <v>12</v>
      </c>
      <c r="AL29" s="971">
        <f t="shared" si="20"/>
        <v>4494</v>
      </c>
      <c r="AM29" s="971">
        <f t="shared" si="6"/>
        <v>49434</v>
      </c>
      <c r="AN29" s="858">
        <f t="shared" si="7"/>
        <v>-8.333333333333337E-2</v>
      </c>
      <c r="AO29" s="857">
        <f t="shared" si="8"/>
        <v>1.2748022922636104</v>
      </c>
      <c r="AP29" s="973">
        <f t="shared" si="9"/>
        <v>0</v>
      </c>
      <c r="AQ29" s="855">
        <f t="shared" si="10"/>
        <v>0</v>
      </c>
      <c r="AR29" s="974">
        <f t="shared" si="23"/>
        <v>0.33496717655082153</v>
      </c>
      <c r="AS29" s="975"/>
      <c r="AT29" s="976"/>
      <c r="AU29" s="971"/>
      <c r="AV29" s="976"/>
      <c r="AW29" s="970"/>
      <c r="AX29" s="971"/>
      <c r="AY29" s="971"/>
      <c r="AZ29" s="977"/>
      <c r="BA29" s="972"/>
      <c r="BB29" s="971"/>
      <c r="BC29" s="973"/>
      <c r="BD29" s="973"/>
      <c r="BE29" s="855"/>
      <c r="BF29" s="975"/>
      <c r="BG29" s="975"/>
      <c r="BH29" s="971"/>
      <c r="BI29" s="970"/>
      <c r="BJ29" s="971"/>
      <c r="BK29" s="971"/>
      <c r="BL29" s="977"/>
      <c r="BM29" s="972"/>
      <c r="BN29" s="971"/>
      <c r="BO29" s="973"/>
      <c r="BP29" s="973"/>
      <c r="BQ29" s="855"/>
      <c r="BR29" s="975"/>
      <c r="BS29" s="975"/>
      <c r="BT29" s="978"/>
      <c r="BU29" s="978"/>
      <c r="BV29" s="978">
        <v>0.23433963523597201</v>
      </c>
      <c r="BW29" s="978">
        <f t="shared" si="12"/>
        <v>0.29696717655082155</v>
      </c>
    </row>
    <row r="30" spans="1:75" hidden="1">
      <c r="A30" s="968">
        <v>2606</v>
      </c>
      <c r="B30" s="968" t="s">
        <v>291</v>
      </c>
      <c r="C30" s="969" t="s">
        <v>831</v>
      </c>
      <c r="D30" s="981" t="s">
        <v>250</v>
      </c>
      <c r="E30" s="955" t="s">
        <v>250</v>
      </c>
      <c r="F30" s="955"/>
      <c r="G30" s="955" t="str">
        <f>IFERROR(VLOOKUP(D30,[3]전용!E:J,6,0),"")</f>
        <v/>
      </c>
      <c r="H30" s="854">
        <v>28777.777777777777</v>
      </c>
      <c r="I30" s="955">
        <v>5</v>
      </c>
      <c r="J30" s="955" t="s">
        <v>286</v>
      </c>
      <c r="K30" s="955">
        <v>12</v>
      </c>
      <c r="L30" s="970">
        <v>749</v>
      </c>
      <c r="M30" s="971">
        <f t="shared" si="0"/>
        <v>44940</v>
      </c>
      <c r="N30" s="855">
        <v>0.15</v>
      </c>
      <c r="O30" s="855"/>
      <c r="P30" s="970">
        <v>749</v>
      </c>
      <c r="Q30" s="970">
        <f t="shared" si="1"/>
        <v>0</v>
      </c>
      <c r="R30" s="971">
        <f t="shared" si="2"/>
        <v>44940</v>
      </c>
      <c r="S30" s="856">
        <f t="shared" si="13"/>
        <v>0.4474892809124737</v>
      </c>
      <c r="T30" s="971"/>
      <c r="U30" s="971"/>
      <c r="V30" s="972">
        <v>12</v>
      </c>
      <c r="W30" s="971">
        <f t="shared" si="3"/>
        <v>4494</v>
      </c>
      <c r="X30" s="971">
        <f t="shared" si="14"/>
        <v>40446</v>
      </c>
      <c r="Y30" s="858">
        <f t="shared" si="15"/>
        <v>-9.9999999999999978E-2</v>
      </c>
      <c r="Z30" s="857">
        <f t="shared" si="16"/>
        <v>1.4054594594594594</v>
      </c>
      <c r="AA30" s="856">
        <v>0.39748928091247371</v>
      </c>
      <c r="AB30" s="856">
        <v>3.6542545843996931E-3</v>
      </c>
      <c r="AC30" s="970">
        <f t="shared" si="4"/>
        <v>749</v>
      </c>
      <c r="AD30" s="970"/>
      <c r="AE30" s="970">
        <f t="shared" si="22"/>
        <v>0</v>
      </c>
      <c r="AF30" s="971">
        <f t="shared" si="18"/>
        <v>44940</v>
      </c>
      <c r="AG30" s="857">
        <f t="shared" si="19"/>
        <v>0</v>
      </c>
      <c r="AH30" s="576">
        <v>0</v>
      </c>
      <c r="AI30" s="856">
        <f t="shared" si="21"/>
        <v>0.45304483646802929</v>
      </c>
      <c r="AJ30" s="859">
        <v>0</v>
      </c>
      <c r="AK30" s="583">
        <v>0</v>
      </c>
      <c r="AL30" s="971">
        <f t="shared" si="20"/>
        <v>0</v>
      </c>
      <c r="AM30" s="971">
        <f t="shared" si="6"/>
        <v>44940</v>
      </c>
      <c r="AN30" s="858">
        <f t="shared" si="7"/>
        <v>0</v>
      </c>
      <c r="AO30" s="857">
        <f t="shared" si="8"/>
        <v>1.5616216216216217</v>
      </c>
      <c r="AP30" s="973">
        <f t="shared" si="9"/>
        <v>4494</v>
      </c>
      <c r="AQ30" s="855">
        <f t="shared" si="10"/>
        <v>0.11111111111111116</v>
      </c>
      <c r="AR30" s="974">
        <f t="shared" si="23"/>
        <v>0.45304483646802929</v>
      </c>
      <c r="AS30" s="975"/>
      <c r="AT30" s="976"/>
      <c r="AU30" s="971"/>
      <c r="AV30" s="976"/>
      <c r="AW30" s="970"/>
      <c r="AX30" s="971"/>
      <c r="AY30" s="971"/>
      <c r="AZ30" s="977"/>
      <c r="BA30" s="972"/>
      <c r="BB30" s="971"/>
      <c r="BC30" s="973"/>
      <c r="BD30" s="973"/>
      <c r="BE30" s="855"/>
      <c r="BF30" s="975"/>
      <c r="BG30" s="975"/>
      <c r="BH30" s="971"/>
      <c r="BI30" s="970"/>
      <c r="BJ30" s="971"/>
      <c r="BK30" s="971"/>
      <c r="BL30" s="977"/>
      <c r="BM30" s="972"/>
      <c r="BN30" s="971"/>
      <c r="BO30" s="973"/>
      <c r="BP30" s="973"/>
      <c r="BQ30" s="855"/>
      <c r="BR30" s="975"/>
      <c r="BS30" s="975"/>
      <c r="BT30" s="978"/>
      <c r="BU30" s="978"/>
      <c r="BV30" s="978">
        <v>0.29748928091247401</v>
      </c>
      <c r="BW30" s="978">
        <f t="shared" si="12"/>
        <v>0.35948928091247373</v>
      </c>
    </row>
    <row r="31" spans="1:75" hidden="1">
      <c r="A31" s="968">
        <v>2606</v>
      </c>
      <c r="B31" s="968" t="s">
        <v>291</v>
      </c>
      <c r="C31" s="969" t="s">
        <v>831</v>
      </c>
      <c r="D31" s="981" t="s">
        <v>250</v>
      </c>
      <c r="E31" s="955" t="s">
        <v>250</v>
      </c>
      <c r="F31" s="955"/>
      <c r="G31" s="955" t="str">
        <f>IFERROR(VLOOKUP(D31,[3]전용!E:J,6,0),"")</f>
        <v/>
      </c>
      <c r="H31" s="854">
        <v>28777.777777777777</v>
      </c>
      <c r="I31" s="955">
        <v>5</v>
      </c>
      <c r="J31" s="955" t="s">
        <v>288</v>
      </c>
      <c r="K31" s="955">
        <v>12</v>
      </c>
      <c r="L31" s="970">
        <v>699</v>
      </c>
      <c r="M31" s="971">
        <f t="shared" si="0"/>
        <v>41940</v>
      </c>
      <c r="N31" s="855">
        <v>0.15</v>
      </c>
      <c r="O31" s="855"/>
      <c r="P31" s="970">
        <v>699</v>
      </c>
      <c r="Q31" s="970">
        <f t="shared" si="1"/>
        <v>0</v>
      </c>
      <c r="R31" s="971">
        <f t="shared" si="2"/>
        <v>41940</v>
      </c>
      <c r="S31" s="856">
        <f t="shared" si="13"/>
        <v>0.4474892809124737</v>
      </c>
      <c r="T31" s="971"/>
      <c r="U31" s="971"/>
      <c r="V31" s="972">
        <v>12</v>
      </c>
      <c r="W31" s="971">
        <f t="shared" si="3"/>
        <v>4194</v>
      </c>
      <c r="X31" s="971">
        <f t="shared" si="14"/>
        <v>37746</v>
      </c>
      <c r="Y31" s="858">
        <f t="shared" si="15"/>
        <v>-9.9999999999999978E-2</v>
      </c>
      <c r="Z31" s="857">
        <f t="shared" si="16"/>
        <v>1.3116370656370657</v>
      </c>
      <c r="AA31" s="856">
        <v>0.39748928091247371</v>
      </c>
      <c r="AB31" s="856">
        <v>3.6542545843996931E-3</v>
      </c>
      <c r="AC31" s="970">
        <f t="shared" si="4"/>
        <v>699</v>
      </c>
      <c r="AD31" s="970"/>
      <c r="AE31" s="970">
        <f t="shared" si="22"/>
        <v>0</v>
      </c>
      <c r="AF31" s="971">
        <f t="shared" si="18"/>
        <v>41940</v>
      </c>
      <c r="AG31" s="857">
        <f t="shared" si="19"/>
        <v>0</v>
      </c>
      <c r="AH31" s="576">
        <v>0</v>
      </c>
      <c r="AI31" s="856">
        <f t="shared" si="21"/>
        <v>0.45304483646802929</v>
      </c>
      <c r="AJ31" s="859">
        <v>0</v>
      </c>
      <c r="AK31" s="583">
        <v>0</v>
      </c>
      <c r="AL31" s="971">
        <f t="shared" si="20"/>
        <v>0</v>
      </c>
      <c r="AM31" s="971">
        <f t="shared" si="6"/>
        <v>41940</v>
      </c>
      <c r="AN31" s="858">
        <f t="shared" si="7"/>
        <v>0</v>
      </c>
      <c r="AO31" s="857">
        <f t="shared" si="8"/>
        <v>1.4573745173745174</v>
      </c>
      <c r="AP31" s="973">
        <f t="shared" si="9"/>
        <v>4194</v>
      </c>
      <c r="AQ31" s="855">
        <f t="shared" si="10"/>
        <v>0.11111111111111116</v>
      </c>
      <c r="AR31" s="974">
        <f t="shared" si="23"/>
        <v>0.45304483646802929</v>
      </c>
      <c r="AS31" s="975"/>
      <c r="AT31" s="976"/>
      <c r="AU31" s="971"/>
      <c r="AV31" s="976"/>
      <c r="AW31" s="970"/>
      <c r="AX31" s="971"/>
      <c r="AY31" s="971"/>
      <c r="AZ31" s="977"/>
      <c r="BA31" s="972"/>
      <c r="BB31" s="971"/>
      <c r="BC31" s="973"/>
      <c r="BD31" s="973"/>
      <c r="BE31" s="855"/>
      <c r="BF31" s="975"/>
      <c r="BG31" s="975"/>
      <c r="BH31" s="971"/>
      <c r="BI31" s="970"/>
      <c r="BJ31" s="971"/>
      <c r="BK31" s="971"/>
      <c r="BL31" s="977"/>
      <c r="BM31" s="972"/>
      <c r="BN31" s="971"/>
      <c r="BO31" s="973"/>
      <c r="BP31" s="973"/>
      <c r="BQ31" s="855"/>
      <c r="BR31" s="975"/>
      <c r="BS31" s="975"/>
      <c r="BT31" s="978"/>
      <c r="BU31" s="978"/>
      <c r="BV31" s="978">
        <v>0.29748928091247401</v>
      </c>
      <c r="BW31" s="978">
        <f t="shared" si="12"/>
        <v>0.35948928091247373</v>
      </c>
    </row>
    <row r="32" spans="1:75" hidden="1">
      <c r="A32" s="968">
        <v>2606</v>
      </c>
      <c r="B32" s="968" t="s">
        <v>291</v>
      </c>
      <c r="C32" s="969" t="s">
        <v>831</v>
      </c>
      <c r="D32" s="981" t="s">
        <v>250</v>
      </c>
      <c r="E32" s="955" t="s">
        <v>250</v>
      </c>
      <c r="F32" s="955"/>
      <c r="G32" s="955" t="str">
        <f>IFERROR(VLOOKUP(D32,[3]전용!E:J,6,0),"")</f>
        <v/>
      </c>
      <c r="H32" s="854">
        <v>28777.777777777777</v>
      </c>
      <c r="I32" s="955">
        <v>6</v>
      </c>
      <c r="J32" s="955" t="s">
        <v>286</v>
      </c>
      <c r="K32" s="955">
        <v>12</v>
      </c>
      <c r="L32" s="970">
        <v>649</v>
      </c>
      <c r="M32" s="971">
        <f t="shared" si="0"/>
        <v>46728</v>
      </c>
      <c r="N32" s="855">
        <v>0.15</v>
      </c>
      <c r="O32" s="855"/>
      <c r="P32" s="970">
        <v>649</v>
      </c>
      <c r="Q32" s="970">
        <f t="shared" si="1"/>
        <v>0</v>
      </c>
      <c r="R32" s="971">
        <f t="shared" si="2"/>
        <v>46728</v>
      </c>
      <c r="S32" s="856">
        <f t="shared" si="13"/>
        <v>0.43915594757914039</v>
      </c>
      <c r="T32" s="971"/>
      <c r="U32" s="971"/>
      <c r="V32" s="972">
        <v>12</v>
      </c>
      <c r="W32" s="971">
        <f t="shared" si="3"/>
        <v>3894</v>
      </c>
      <c r="X32" s="971">
        <f t="shared" si="14"/>
        <v>42834</v>
      </c>
      <c r="Y32" s="858">
        <f t="shared" si="15"/>
        <v>-8.333333333333337E-2</v>
      </c>
      <c r="Z32" s="857">
        <f t="shared" si="16"/>
        <v>1.4884401544401544</v>
      </c>
      <c r="AA32" s="856">
        <v>0.39748928091247371</v>
      </c>
      <c r="AB32" s="856">
        <v>3.6542545843996931E-3</v>
      </c>
      <c r="AC32" s="970">
        <f t="shared" si="4"/>
        <v>649</v>
      </c>
      <c r="AD32" s="970"/>
      <c r="AE32" s="970">
        <f t="shared" si="22"/>
        <v>0</v>
      </c>
      <c r="AF32" s="971">
        <f t="shared" si="18"/>
        <v>46728</v>
      </c>
      <c r="AG32" s="857">
        <f t="shared" si="19"/>
        <v>0</v>
      </c>
      <c r="AH32" s="576">
        <v>0</v>
      </c>
      <c r="AI32" s="856">
        <f t="shared" si="21"/>
        <v>0.44294382636701912</v>
      </c>
      <c r="AJ32" s="859">
        <v>0</v>
      </c>
      <c r="AK32" s="583">
        <v>0</v>
      </c>
      <c r="AL32" s="971">
        <f t="shared" si="20"/>
        <v>0</v>
      </c>
      <c r="AM32" s="971">
        <f t="shared" si="6"/>
        <v>46728</v>
      </c>
      <c r="AN32" s="858">
        <f t="shared" si="7"/>
        <v>0</v>
      </c>
      <c r="AO32" s="857">
        <f t="shared" si="8"/>
        <v>1.6237528957528957</v>
      </c>
      <c r="AP32" s="973">
        <f t="shared" si="9"/>
        <v>3894</v>
      </c>
      <c r="AQ32" s="855">
        <f t="shared" si="10"/>
        <v>9.0909090909090828E-2</v>
      </c>
      <c r="AR32" s="974">
        <f t="shared" si="23"/>
        <v>0.44294382636701912</v>
      </c>
      <c r="AS32" s="975"/>
      <c r="AT32" s="976"/>
      <c r="AU32" s="971"/>
      <c r="AV32" s="976"/>
      <c r="AW32" s="970"/>
      <c r="AX32" s="971"/>
      <c r="AY32" s="971"/>
      <c r="AZ32" s="977"/>
      <c r="BA32" s="972"/>
      <c r="BB32" s="971"/>
      <c r="BC32" s="973"/>
      <c r="BD32" s="973"/>
      <c r="BE32" s="855"/>
      <c r="BF32" s="975"/>
      <c r="BG32" s="975"/>
      <c r="BH32" s="971"/>
      <c r="BI32" s="970"/>
      <c r="BJ32" s="971"/>
      <c r="BK32" s="971"/>
      <c r="BL32" s="977"/>
      <c r="BM32" s="972"/>
      <c r="BN32" s="971"/>
      <c r="BO32" s="973"/>
      <c r="BP32" s="973"/>
      <c r="BQ32" s="855"/>
      <c r="BR32" s="975"/>
      <c r="BS32" s="975"/>
      <c r="BT32" s="978"/>
      <c r="BU32" s="978"/>
      <c r="BV32" s="978">
        <v>0.29748928091247401</v>
      </c>
      <c r="BW32" s="978">
        <f t="shared" si="12"/>
        <v>0.35948928091247373</v>
      </c>
    </row>
    <row r="33" spans="1:75" hidden="1">
      <c r="A33" s="979">
        <v>2606</v>
      </c>
      <c r="B33" s="979" t="s">
        <v>291</v>
      </c>
      <c r="C33" s="980" t="s">
        <v>831</v>
      </c>
      <c r="D33" s="983" t="s">
        <v>250</v>
      </c>
      <c r="E33" s="955" t="s">
        <v>250</v>
      </c>
      <c r="F33" s="955"/>
      <c r="G33" s="955" t="str">
        <f>IFERROR(VLOOKUP(D33,[3]전용!E:J,6,0),"")</f>
        <v/>
      </c>
      <c r="H33" s="854">
        <v>28777.777777777777</v>
      </c>
      <c r="I33" s="955">
        <v>6</v>
      </c>
      <c r="J33" s="955" t="s">
        <v>288</v>
      </c>
      <c r="K33" s="955">
        <v>12</v>
      </c>
      <c r="L33" s="970">
        <v>599</v>
      </c>
      <c r="M33" s="971">
        <f t="shared" si="0"/>
        <v>43128</v>
      </c>
      <c r="N33" s="855">
        <v>0.15</v>
      </c>
      <c r="O33" s="855"/>
      <c r="P33" s="970">
        <v>599</v>
      </c>
      <c r="Q33" s="970">
        <f t="shared" si="1"/>
        <v>0</v>
      </c>
      <c r="R33" s="971">
        <f t="shared" si="2"/>
        <v>43128</v>
      </c>
      <c r="S33" s="856">
        <f t="shared" si="13"/>
        <v>0.43915594757914039</v>
      </c>
      <c r="T33" s="971"/>
      <c r="U33" s="971"/>
      <c r="V33" s="972">
        <v>12</v>
      </c>
      <c r="W33" s="971">
        <f t="shared" si="3"/>
        <v>3594</v>
      </c>
      <c r="X33" s="971">
        <f t="shared" si="14"/>
        <v>39534</v>
      </c>
      <c r="Y33" s="858">
        <f t="shared" si="15"/>
        <v>-8.333333333333337E-2</v>
      </c>
      <c r="Z33" s="857">
        <f t="shared" si="16"/>
        <v>1.3737683397683398</v>
      </c>
      <c r="AA33" s="856">
        <v>0.39748928091247371</v>
      </c>
      <c r="AB33" s="856">
        <v>3.6542545843996931E-3</v>
      </c>
      <c r="AC33" s="970">
        <f t="shared" si="4"/>
        <v>599</v>
      </c>
      <c r="AD33" s="970"/>
      <c r="AE33" s="970">
        <f t="shared" si="22"/>
        <v>0</v>
      </c>
      <c r="AF33" s="971">
        <f t="shared" si="18"/>
        <v>43128</v>
      </c>
      <c r="AG33" s="857">
        <f t="shared" si="19"/>
        <v>0</v>
      </c>
      <c r="AH33" s="576">
        <v>0</v>
      </c>
      <c r="AI33" s="856">
        <f t="shared" si="21"/>
        <v>0.44294382636701912</v>
      </c>
      <c r="AJ33" s="859">
        <v>0</v>
      </c>
      <c r="AK33" s="583">
        <v>0</v>
      </c>
      <c r="AL33" s="971">
        <f t="shared" si="20"/>
        <v>0</v>
      </c>
      <c r="AM33" s="971">
        <f t="shared" si="6"/>
        <v>43128</v>
      </c>
      <c r="AN33" s="858">
        <f t="shared" si="7"/>
        <v>0</v>
      </c>
      <c r="AO33" s="857">
        <f t="shared" si="8"/>
        <v>1.4986563706563707</v>
      </c>
      <c r="AP33" s="973">
        <f t="shared" si="9"/>
        <v>3594</v>
      </c>
      <c r="AQ33" s="855">
        <f t="shared" si="10"/>
        <v>9.0909090909090828E-2</v>
      </c>
      <c r="AR33" s="974">
        <f t="shared" si="23"/>
        <v>0.44294382636701912</v>
      </c>
      <c r="AS33" s="975"/>
      <c r="AT33" s="976"/>
      <c r="AU33" s="971"/>
      <c r="AV33" s="976"/>
      <c r="AW33" s="970"/>
      <c r="AX33" s="971"/>
      <c r="AY33" s="971"/>
      <c r="AZ33" s="977"/>
      <c r="BA33" s="972"/>
      <c r="BB33" s="971"/>
      <c r="BC33" s="973"/>
      <c r="BD33" s="973"/>
      <c r="BE33" s="855"/>
      <c r="BF33" s="975"/>
      <c r="BG33" s="975"/>
      <c r="BH33" s="971"/>
      <c r="BI33" s="970"/>
      <c r="BJ33" s="971"/>
      <c r="BK33" s="971"/>
      <c r="BL33" s="977"/>
      <c r="BM33" s="972"/>
      <c r="BN33" s="971"/>
      <c r="BO33" s="973"/>
      <c r="BP33" s="973"/>
      <c r="BQ33" s="855"/>
      <c r="BR33" s="975"/>
      <c r="BS33" s="975"/>
      <c r="BT33" s="978"/>
      <c r="BU33" s="978"/>
      <c r="BV33" s="978">
        <v>0.29748928091247401</v>
      </c>
      <c r="BW33" s="978">
        <f t="shared" si="12"/>
        <v>0.35948928091247373</v>
      </c>
    </row>
    <row r="34" spans="1:75" hidden="1">
      <c r="A34" s="955">
        <v>2606</v>
      </c>
      <c r="B34" s="955" t="s">
        <v>290</v>
      </c>
      <c r="C34" s="986" t="s">
        <v>829</v>
      </c>
      <c r="D34" s="976" t="s">
        <v>909</v>
      </c>
      <c r="E34" s="955" t="str">
        <f>D34</f>
        <v>MS4295DIS.BBKPETH</v>
      </c>
      <c r="F34" s="955"/>
      <c r="G34" s="955" t="str">
        <f>IFERROR(VLOOKUP(D34,[3]전용!E:J,6,0),"")</f>
        <v/>
      </c>
      <c r="H34" s="854">
        <v>4211.1111111111113</v>
      </c>
      <c r="I34" s="955">
        <v>6</v>
      </c>
      <c r="J34" s="955" t="s">
        <v>215</v>
      </c>
      <c r="K34" s="955" t="s">
        <v>834</v>
      </c>
      <c r="L34" s="970">
        <v>89</v>
      </c>
      <c r="M34" s="971">
        <f t="shared" si="0"/>
        <v>6408</v>
      </c>
      <c r="N34" s="855">
        <v>0.14245193035910853</v>
      </c>
      <c r="O34" s="855"/>
      <c r="P34" s="970">
        <v>89</v>
      </c>
      <c r="Q34" s="970">
        <f t="shared" si="1"/>
        <v>0</v>
      </c>
      <c r="R34" s="971">
        <f t="shared" si="2"/>
        <v>6408</v>
      </c>
      <c r="S34" s="856">
        <f t="shared" si="13"/>
        <v>-5.3671110818111989E-2</v>
      </c>
      <c r="T34" s="971"/>
      <c r="U34" s="971"/>
      <c r="V34" s="972">
        <v>0</v>
      </c>
      <c r="W34" s="971">
        <f t="shared" si="3"/>
        <v>0</v>
      </c>
      <c r="X34" s="971">
        <f t="shared" si="14"/>
        <v>6408</v>
      </c>
      <c r="Y34" s="858">
        <f t="shared" si="15"/>
        <v>0</v>
      </c>
      <c r="Z34" s="857">
        <f t="shared" si="16"/>
        <v>1.5216886543535619</v>
      </c>
      <c r="AA34" s="856">
        <v>-5.3671110818111989E-2</v>
      </c>
      <c r="AB34" s="856">
        <v>7.3893460826224389E-2</v>
      </c>
      <c r="AC34" s="970">
        <f t="shared" si="4"/>
        <v>99</v>
      </c>
      <c r="AD34" s="970">
        <v>10</v>
      </c>
      <c r="AE34" s="970">
        <f t="shared" si="22"/>
        <v>8.9</v>
      </c>
      <c r="AF34" s="971">
        <f t="shared" si="18"/>
        <v>7128</v>
      </c>
      <c r="AG34" s="857">
        <f t="shared" si="19"/>
        <v>0.11235955056179781</v>
      </c>
      <c r="AH34" s="576">
        <v>0</v>
      </c>
      <c r="AI34" s="856">
        <f t="shared" si="21"/>
        <v>3.0598552103236365E-2</v>
      </c>
      <c r="AJ34" s="859">
        <v>0</v>
      </c>
      <c r="AK34" s="583">
        <v>0</v>
      </c>
      <c r="AL34" s="971">
        <f t="shared" si="20"/>
        <v>0</v>
      </c>
      <c r="AM34" s="971">
        <f t="shared" si="6"/>
        <v>7128</v>
      </c>
      <c r="AN34" s="858">
        <f t="shared" si="7"/>
        <v>0</v>
      </c>
      <c r="AO34" s="857">
        <f t="shared" si="8"/>
        <v>1.6926649076517151</v>
      </c>
      <c r="AP34" s="973">
        <f t="shared" si="9"/>
        <v>720</v>
      </c>
      <c r="AQ34" s="855">
        <f t="shared" si="10"/>
        <v>0.11235955056179781</v>
      </c>
      <c r="AR34" s="974">
        <f>IFERROR(AA34+AQ34*0.75,"")</f>
        <v>3.0598552103236365E-2</v>
      </c>
      <c r="AS34" s="975"/>
      <c r="AT34" s="976"/>
      <c r="AU34" s="971"/>
      <c r="AV34" s="976"/>
      <c r="AW34" s="970"/>
      <c r="AX34" s="971"/>
      <c r="AY34" s="971"/>
      <c r="AZ34" s="977"/>
      <c r="BA34" s="972"/>
      <c r="BB34" s="971"/>
      <c r="BC34" s="973"/>
      <c r="BD34" s="973"/>
      <c r="BE34" s="855"/>
      <c r="BF34" s="975"/>
      <c r="BG34" s="975"/>
      <c r="BH34" s="971"/>
      <c r="BI34" s="970"/>
      <c r="BJ34" s="971"/>
      <c r="BK34" s="971"/>
      <c r="BL34" s="977"/>
      <c r="BM34" s="972"/>
      <c r="BN34" s="971"/>
      <c r="BO34" s="973"/>
      <c r="BP34" s="973"/>
      <c r="BQ34" s="855"/>
      <c r="BR34" s="975"/>
      <c r="BS34" s="975"/>
      <c r="BT34" s="978"/>
      <c r="BU34" s="978"/>
      <c r="BV34" s="978">
        <v>0.04</v>
      </c>
      <c r="BW34" s="978">
        <f t="shared" si="12"/>
        <v>-5.3671110818111989E-2</v>
      </c>
    </row>
    <row r="35" spans="1:75" hidden="1">
      <c r="A35" s="968">
        <v>2606</v>
      </c>
      <c r="B35" s="968" t="s">
        <v>307</v>
      </c>
      <c r="C35" s="969" t="s">
        <v>829</v>
      </c>
      <c r="D35" s="969" t="s">
        <v>79</v>
      </c>
      <c r="E35" s="955"/>
      <c r="F35" s="955"/>
      <c r="G35" s="955" t="str">
        <f>IFERROR(VLOOKUP(D35,[3]전용!E:J,6,0),"")</f>
        <v/>
      </c>
      <c r="H35" s="854">
        <v>17000</v>
      </c>
      <c r="I35" s="955">
        <v>5</v>
      </c>
      <c r="J35" s="955" t="s">
        <v>286</v>
      </c>
      <c r="K35" s="955">
        <v>6</v>
      </c>
      <c r="L35" s="970">
        <v>549</v>
      </c>
      <c r="M35" s="971">
        <f t="shared" si="0"/>
        <v>32940</v>
      </c>
      <c r="N35" s="855">
        <v>0.34450002077395081</v>
      </c>
      <c r="O35" s="855"/>
      <c r="P35" s="970">
        <v>549</v>
      </c>
      <c r="Q35" s="970">
        <f t="shared" si="1"/>
        <v>0</v>
      </c>
      <c r="R35" s="576">
        <f>(P35*((I35*12)-V35))</f>
        <v>32940</v>
      </c>
      <c r="S35" s="856">
        <f t="shared" si="13"/>
        <v>0.38943751271063626</v>
      </c>
      <c r="T35" s="580">
        <v>99</v>
      </c>
      <c r="U35" s="583">
        <v>6</v>
      </c>
      <c r="V35" s="583">
        <v>0</v>
      </c>
      <c r="W35" s="971">
        <f t="shared" si="3"/>
        <v>2700</v>
      </c>
      <c r="X35" s="971">
        <f t="shared" si="14"/>
        <v>30240</v>
      </c>
      <c r="Y35" s="858">
        <f t="shared" si="15"/>
        <v>-8.1967213114754078E-2</v>
      </c>
      <c r="Z35" s="857">
        <f t="shared" si="16"/>
        <v>1.7788235294117647</v>
      </c>
      <c r="AA35" s="856">
        <v>0.34845390615325922</v>
      </c>
      <c r="AB35" s="856">
        <v>2.6414950396984084E-2</v>
      </c>
      <c r="AC35" s="970">
        <f t="shared" si="4"/>
        <v>549</v>
      </c>
      <c r="AD35" s="970"/>
      <c r="AE35" s="970">
        <f t="shared" si="22"/>
        <v>0</v>
      </c>
      <c r="AF35" s="971">
        <f t="shared" si="18"/>
        <v>32940</v>
      </c>
      <c r="AG35" s="857">
        <f t="shared" si="19"/>
        <v>0</v>
      </c>
      <c r="AH35" s="576">
        <v>99</v>
      </c>
      <c r="AI35" s="856">
        <f t="shared" si="21"/>
        <v>0.30747029959588218</v>
      </c>
      <c r="AJ35" s="859">
        <v>6</v>
      </c>
      <c r="AK35" s="583">
        <v>0</v>
      </c>
      <c r="AL35" s="971">
        <f t="shared" si="20"/>
        <v>2700</v>
      </c>
      <c r="AM35" s="971">
        <f t="shared" si="6"/>
        <v>30240</v>
      </c>
      <c r="AN35" s="858">
        <f t="shared" si="7"/>
        <v>-8.1967213114754078E-2</v>
      </c>
      <c r="AO35" s="857">
        <f t="shared" si="8"/>
        <v>1.7788235294117647</v>
      </c>
      <c r="AP35" s="973">
        <f t="shared" si="9"/>
        <v>0</v>
      </c>
      <c r="AQ35" s="855">
        <f t="shared" si="10"/>
        <v>0</v>
      </c>
      <c r="AR35" s="974">
        <f t="shared" si="23"/>
        <v>0.34845390615325922</v>
      </c>
      <c r="AS35" s="975"/>
      <c r="AT35" s="976"/>
      <c r="AU35" s="971"/>
      <c r="AV35" s="976"/>
      <c r="AW35" s="970"/>
      <c r="AX35" s="971"/>
      <c r="AY35" s="971"/>
      <c r="AZ35" s="977"/>
      <c r="BA35" s="972"/>
      <c r="BB35" s="971"/>
      <c r="BC35" s="973"/>
      <c r="BD35" s="973"/>
      <c r="BE35" s="855"/>
      <c r="BF35" s="975"/>
      <c r="BG35" s="975"/>
      <c r="BH35" s="971"/>
      <c r="BI35" s="970"/>
      <c r="BJ35" s="971"/>
      <c r="BK35" s="971"/>
      <c r="BL35" s="977"/>
      <c r="BM35" s="972"/>
      <c r="BN35" s="971"/>
      <c r="BO35" s="973"/>
      <c r="BP35" s="973"/>
      <c r="BQ35" s="855"/>
      <c r="BR35" s="975"/>
      <c r="BS35" s="975"/>
      <c r="BT35" s="978"/>
      <c r="BU35" s="978"/>
      <c r="BV35" s="978">
        <v>0.34399235480985801</v>
      </c>
      <c r="BW35" s="978">
        <f t="shared" si="12"/>
        <v>0.31045390615325924</v>
      </c>
    </row>
    <row r="36" spans="1:75" hidden="1">
      <c r="A36" s="968">
        <v>2606</v>
      </c>
      <c r="B36" s="968" t="s">
        <v>307</v>
      </c>
      <c r="C36" s="969" t="s">
        <v>829</v>
      </c>
      <c r="D36" s="969" t="s">
        <v>79</v>
      </c>
      <c r="E36" s="955"/>
      <c r="F36" s="955"/>
      <c r="G36" s="955" t="str">
        <f>IFERROR(VLOOKUP(D36,[3]전용!E:J,6,0),"")</f>
        <v/>
      </c>
      <c r="H36" s="854">
        <v>17000</v>
      </c>
      <c r="I36" s="955">
        <v>5</v>
      </c>
      <c r="J36" s="955" t="s">
        <v>288</v>
      </c>
      <c r="K36" s="955">
        <v>6</v>
      </c>
      <c r="L36" s="970">
        <v>499</v>
      </c>
      <c r="M36" s="971">
        <f t="shared" si="0"/>
        <v>29940</v>
      </c>
      <c r="N36" s="855">
        <v>0.34450002077395081</v>
      </c>
      <c r="O36" s="855"/>
      <c r="P36" s="970">
        <v>499</v>
      </c>
      <c r="Q36" s="970">
        <f t="shared" si="1"/>
        <v>0</v>
      </c>
      <c r="R36" s="971">
        <f>P36*LEFT(I36,1)*12</f>
        <v>29940</v>
      </c>
      <c r="S36" s="856">
        <f t="shared" si="13"/>
        <v>0.38853406647390049</v>
      </c>
      <c r="T36" s="976">
        <v>99</v>
      </c>
      <c r="U36" s="972">
        <v>6</v>
      </c>
      <c r="V36" s="583">
        <v>0</v>
      </c>
      <c r="W36" s="971">
        <f t="shared" si="3"/>
        <v>2400</v>
      </c>
      <c r="X36" s="971">
        <f t="shared" si="14"/>
        <v>27540</v>
      </c>
      <c r="Y36" s="858">
        <f t="shared" si="15"/>
        <v>-8.0160320641282534E-2</v>
      </c>
      <c r="Z36" s="857">
        <f t="shared" si="16"/>
        <v>1.62</v>
      </c>
      <c r="AA36" s="856">
        <v>0.34845390615325922</v>
      </c>
      <c r="AB36" s="856">
        <v>2.6414950396984084E-2</v>
      </c>
      <c r="AC36" s="970">
        <f t="shared" si="4"/>
        <v>499</v>
      </c>
      <c r="AD36" s="970"/>
      <c r="AE36" s="970">
        <f t="shared" si="22"/>
        <v>0</v>
      </c>
      <c r="AF36" s="971">
        <f t="shared" si="18"/>
        <v>29940</v>
      </c>
      <c r="AG36" s="857">
        <f t="shared" si="19"/>
        <v>0</v>
      </c>
      <c r="AH36" s="576">
        <v>99</v>
      </c>
      <c r="AI36" s="856">
        <f t="shared" si="21"/>
        <v>0.30837374583261795</v>
      </c>
      <c r="AJ36" s="859">
        <v>6</v>
      </c>
      <c r="AK36" s="583">
        <v>0</v>
      </c>
      <c r="AL36" s="971">
        <f t="shared" si="20"/>
        <v>2400</v>
      </c>
      <c r="AM36" s="971">
        <f t="shared" si="6"/>
        <v>27540</v>
      </c>
      <c r="AN36" s="858">
        <f t="shared" si="7"/>
        <v>-8.0160320641282534E-2</v>
      </c>
      <c r="AO36" s="857">
        <f t="shared" si="8"/>
        <v>1.62</v>
      </c>
      <c r="AP36" s="973">
        <f t="shared" si="9"/>
        <v>0</v>
      </c>
      <c r="AQ36" s="855">
        <f t="shared" si="10"/>
        <v>0</v>
      </c>
      <c r="AR36" s="974">
        <f t="shared" si="23"/>
        <v>0.34845390615325922</v>
      </c>
      <c r="AS36" s="975"/>
      <c r="AT36" s="976"/>
      <c r="AU36" s="971"/>
      <c r="AV36" s="976"/>
      <c r="AW36" s="970"/>
      <c r="AX36" s="971"/>
      <c r="AY36" s="971"/>
      <c r="AZ36" s="977"/>
      <c r="BA36" s="972"/>
      <c r="BB36" s="971"/>
      <c r="BC36" s="973"/>
      <c r="BD36" s="973"/>
      <c r="BE36" s="855"/>
      <c r="BF36" s="975"/>
      <c r="BG36" s="975"/>
      <c r="BH36" s="971"/>
      <c r="BI36" s="970"/>
      <c r="BJ36" s="971"/>
      <c r="BK36" s="971"/>
      <c r="BL36" s="977"/>
      <c r="BM36" s="972"/>
      <c r="BN36" s="971"/>
      <c r="BO36" s="973"/>
      <c r="BP36" s="973"/>
      <c r="BQ36" s="855"/>
      <c r="BR36" s="975"/>
      <c r="BS36" s="975"/>
      <c r="BT36" s="978"/>
      <c r="BU36" s="978"/>
      <c r="BV36" s="978">
        <v>0.34399235480985801</v>
      </c>
      <c r="BW36" s="978">
        <f t="shared" si="12"/>
        <v>0.31045390615325924</v>
      </c>
    </row>
    <row r="37" spans="1:75" hidden="1">
      <c r="A37" s="968">
        <v>2606</v>
      </c>
      <c r="B37" s="968" t="s">
        <v>307</v>
      </c>
      <c r="C37" s="969" t="s">
        <v>829</v>
      </c>
      <c r="D37" s="969" t="s">
        <v>79</v>
      </c>
      <c r="E37" s="955"/>
      <c r="F37" s="955"/>
      <c r="G37" s="955" t="str">
        <f>IFERROR(VLOOKUP(D37,[3]전용!E:J,6,0),"")</f>
        <v/>
      </c>
      <c r="H37" s="854">
        <v>17000</v>
      </c>
      <c r="I37" s="955">
        <v>7</v>
      </c>
      <c r="J37" s="955" t="s">
        <v>286</v>
      </c>
      <c r="K37" s="955">
        <v>6</v>
      </c>
      <c r="L37" s="970">
        <v>449</v>
      </c>
      <c r="M37" s="971">
        <f t="shared" si="0"/>
        <v>37716</v>
      </c>
      <c r="N37" s="855">
        <v>0.32740600367993367</v>
      </c>
      <c r="O37" s="855"/>
      <c r="P37" s="970">
        <v>449</v>
      </c>
      <c r="Q37" s="970">
        <f t="shared" si="1"/>
        <v>0</v>
      </c>
      <c r="R37" s="971">
        <f>P37*LEFT(I37,1)*12</f>
        <v>37716</v>
      </c>
      <c r="S37" s="856">
        <f t="shared" si="13"/>
        <v>0.37629354980582047</v>
      </c>
      <c r="T37" s="976">
        <v>99</v>
      </c>
      <c r="U37" s="972">
        <v>6</v>
      </c>
      <c r="V37" s="583">
        <v>0</v>
      </c>
      <c r="W37" s="971">
        <f t="shared" si="3"/>
        <v>2100</v>
      </c>
      <c r="X37" s="971">
        <f t="shared" si="14"/>
        <v>35616</v>
      </c>
      <c r="Y37" s="858">
        <f t="shared" si="15"/>
        <v>-5.5679287305122505E-2</v>
      </c>
      <c r="Z37" s="857">
        <f t="shared" si="16"/>
        <v>2.0950588235294116</v>
      </c>
      <c r="AA37" s="856">
        <v>0.34845390615325922</v>
      </c>
      <c r="AB37" s="856">
        <v>2.6414950396984084E-2</v>
      </c>
      <c r="AC37" s="970">
        <f t="shared" si="4"/>
        <v>449</v>
      </c>
      <c r="AD37" s="970"/>
      <c r="AE37" s="970">
        <f t="shared" si="22"/>
        <v>0</v>
      </c>
      <c r="AF37" s="971">
        <f t="shared" si="18"/>
        <v>37716</v>
      </c>
      <c r="AG37" s="857">
        <f t="shared" si="19"/>
        <v>0</v>
      </c>
      <c r="AH37" s="576">
        <v>99</v>
      </c>
      <c r="AI37" s="856">
        <f t="shared" si="21"/>
        <v>0.32061426250069797</v>
      </c>
      <c r="AJ37" s="859">
        <v>6</v>
      </c>
      <c r="AK37" s="583">
        <v>0</v>
      </c>
      <c r="AL37" s="971">
        <f t="shared" si="20"/>
        <v>2100</v>
      </c>
      <c r="AM37" s="971">
        <f t="shared" si="6"/>
        <v>35616</v>
      </c>
      <c r="AN37" s="858">
        <f t="shared" si="7"/>
        <v>-5.5679287305122505E-2</v>
      </c>
      <c r="AO37" s="857">
        <f t="shared" si="8"/>
        <v>2.0950588235294116</v>
      </c>
      <c r="AP37" s="973">
        <f t="shared" si="9"/>
        <v>0</v>
      </c>
      <c r="AQ37" s="855">
        <f t="shared" si="10"/>
        <v>0</v>
      </c>
      <c r="AR37" s="974">
        <f t="shared" si="23"/>
        <v>0.34845390615325922</v>
      </c>
      <c r="AS37" s="975"/>
      <c r="AT37" s="976"/>
      <c r="AU37" s="971"/>
      <c r="AV37" s="976"/>
      <c r="AW37" s="970"/>
      <c r="AX37" s="971"/>
      <c r="AY37" s="971"/>
      <c r="AZ37" s="977"/>
      <c r="BA37" s="972"/>
      <c r="BB37" s="971"/>
      <c r="BC37" s="973"/>
      <c r="BD37" s="973"/>
      <c r="BE37" s="855"/>
      <c r="BF37" s="975"/>
      <c r="BG37" s="975"/>
      <c r="BH37" s="971"/>
      <c r="BI37" s="970"/>
      <c r="BJ37" s="971"/>
      <c r="BK37" s="971"/>
      <c r="BL37" s="977"/>
      <c r="BM37" s="972"/>
      <c r="BN37" s="971"/>
      <c r="BO37" s="973"/>
      <c r="BP37" s="973"/>
      <c r="BQ37" s="855"/>
      <c r="BR37" s="975"/>
      <c r="BS37" s="975"/>
      <c r="BT37" s="978"/>
      <c r="BU37" s="978"/>
      <c r="BV37" s="978">
        <v>0.34399235480985801</v>
      </c>
      <c r="BW37" s="978">
        <f t="shared" si="12"/>
        <v>0.31045390615325924</v>
      </c>
    </row>
    <row r="38" spans="1:75" hidden="1">
      <c r="A38" s="979">
        <v>2606</v>
      </c>
      <c r="B38" s="979" t="s">
        <v>307</v>
      </c>
      <c r="C38" s="980" t="s">
        <v>829</v>
      </c>
      <c r="D38" s="980" t="s">
        <v>79</v>
      </c>
      <c r="E38" s="955"/>
      <c r="F38" s="955"/>
      <c r="G38" s="955" t="str">
        <f>IFERROR(VLOOKUP(D38,[3]전용!E:J,6,0),"")</f>
        <v/>
      </c>
      <c r="H38" s="854">
        <v>17000</v>
      </c>
      <c r="I38" s="955">
        <v>7</v>
      </c>
      <c r="J38" s="955" t="s">
        <v>288</v>
      </c>
      <c r="K38" s="955">
        <v>6</v>
      </c>
      <c r="L38" s="970">
        <v>399</v>
      </c>
      <c r="M38" s="971">
        <f t="shared" si="0"/>
        <v>33516</v>
      </c>
      <c r="N38" s="855">
        <v>0.32740600367993367</v>
      </c>
      <c r="O38" s="855"/>
      <c r="P38" s="970">
        <v>399</v>
      </c>
      <c r="Q38" s="970">
        <f t="shared" si="1"/>
        <v>0</v>
      </c>
      <c r="R38" s="971">
        <f>P38*LEFT(I38,1)*12</f>
        <v>33516</v>
      </c>
      <c r="S38" s="856">
        <f t="shared" si="13"/>
        <v>0.37530675255497781</v>
      </c>
      <c r="T38" s="976">
        <v>99</v>
      </c>
      <c r="U38" s="972">
        <v>6</v>
      </c>
      <c r="V38" s="583">
        <v>0</v>
      </c>
      <c r="W38" s="971">
        <f t="shared" si="3"/>
        <v>1800</v>
      </c>
      <c r="X38" s="971">
        <f t="shared" si="14"/>
        <v>31716</v>
      </c>
      <c r="Y38" s="858">
        <f t="shared" si="15"/>
        <v>-5.3705692803437177E-2</v>
      </c>
      <c r="Z38" s="857">
        <f t="shared" si="16"/>
        <v>1.8656470588235294</v>
      </c>
      <c r="AA38" s="856">
        <v>0.34845390615325922</v>
      </c>
      <c r="AB38" s="856">
        <v>2.6414950396984084E-2</v>
      </c>
      <c r="AC38" s="970">
        <f t="shared" si="4"/>
        <v>399</v>
      </c>
      <c r="AD38" s="970"/>
      <c r="AE38" s="970">
        <f t="shared" si="22"/>
        <v>0</v>
      </c>
      <c r="AF38" s="971">
        <f t="shared" si="18"/>
        <v>33516</v>
      </c>
      <c r="AG38" s="857">
        <f t="shared" si="19"/>
        <v>0</v>
      </c>
      <c r="AH38" s="576">
        <v>99</v>
      </c>
      <c r="AI38" s="856">
        <f t="shared" si="21"/>
        <v>0.32160105975154063</v>
      </c>
      <c r="AJ38" s="859">
        <v>6</v>
      </c>
      <c r="AK38" s="583">
        <v>0</v>
      </c>
      <c r="AL38" s="971">
        <f t="shared" si="20"/>
        <v>1800</v>
      </c>
      <c r="AM38" s="971">
        <f t="shared" si="6"/>
        <v>31716</v>
      </c>
      <c r="AN38" s="858">
        <f t="shared" si="7"/>
        <v>-5.3705692803437177E-2</v>
      </c>
      <c r="AO38" s="857">
        <f t="shared" si="8"/>
        <v>1.8656470588235294</v>
      </c>
      <c r="AP38" s="973">
        <f t="shared" si="9"/>
        <v>0</v>
      </c>
      <c r="AQ38" s="855">
        <f t="shared" si="10"/>
        <v>0</v>
      </c>
      <c r="AR38" s="974">
        <f t="shared" si="23"/>
        <v>0.34845390615325922</v>
      </c>
      <c r="AS38" s="975"/>
      <c r="AT38" s="976"/>
      <c r="AU38" s="971"/>
      <c r="AV38" s="976"/>
      <c r="AW38" s="970"/>
      <c r="AX38" s="971"/>
      <c r="AY38" s="971"/>
      <c r="AZ38" s="977"/>
      <c r="BA38" s="972"/>
      <c r="BB38" s="971"/>
      <c r="BC38" s="973"/>
      <c r="BD38" s="973"/>
      <c r="BE38" s="855"/>
      <c r="BF38" s="975"/>
      <c r="BG38" s="975"/>
      <c r="BH38" s="971"/>
      <c r="BI38" s="970"/>
      <c r="BJ38" s="971"/>
      <c r="BK38" s="971"/>
      <c r="BL38" s="977"/>
      <c r="BM38" s="972"/>
      <c r="BN38" s="971"/>
      <c r="BO38" s="973"/>
      <c r="BP38" s="973"/>
      <c r="BQ38" s="855"/>
      <c r="BR38" s="975"/>
      <c r="BS38" s="975"/>
      <c r="BT38" s="978"/>
      <c r="BU38" s="978"/>
      <c r="BV38" s="978">
        <v>0.34399235480985801</v>
      </c>
      <c r="BW38" s="978">
        <f t="shared" si="12"/>
        <v>0.31045390615325924</v>
      </c>
    </row>
    <row r="39" spans="1:75" hidden="1">
      <c r="A39" s="968">
        <v>2606</v>
      </c>
      <c r="B39" s="968" t="s">
        <v>307</v>
      </c>
      <c r="C39" s="969" t="s">
        <v>829</v>
      </c>
      <c r="D39" s="969" t="s">
        <v>2</v>
      </c>
      <c r="E39" s="955"/>
      <c r="F39" s="955"/>
      <c r="G39" s="955" t="str">
        <f>IFERROR(VLOOKUP(D39,[3]전용!E:J,6,0),"")</f>
        <v/>
      </c>
      <c r="H39" s="854">
        <v>25000</v>
      </c>
      <c r="I39" s="955">
        <v>5</v>
      </c>
      <c r="J39" s="955" t="s">
        <v>286</v>
      </c>
      <c r="K39" s="955">
        <v>6</v>
      </c>
      <c r="L39" s="970">
        <v>799</v>
      </c>
      <c r="M39" s="971">
        <f t="shared" si="0"/>
        <v>47940</v>
      </c>
      <c r="N39" s="855">
        <v>0.27555555555555555</v>
      </c>
      <c r="O39" s="855"/>
      <c r="P39" s="970">
        <v>799</v>
      </c>
      <c r="Q39" s="970">
        <f t="shared" si="1"/>
        <v>0</v>
      </c>
      <c r="R39" s="576">
        <f>(P39*((I39*12)-V39))</f>
        <v>47940</v>
      </c>
      <c r="S39" s="856">
        <f t="shared" si="13"/>
        <v>0.22811429116472717</v>
      </c>
      <c r="T39" s="580">
        <v>149</v>
      </c>
      <c r="U39" s="583">
        <v>6</v>
      </c>
      <c r="V39" s="583">
        <v>0</v>
      </c>
      <c r="W39" s="971">
        <f t="shared" si="3"/>
        <v>3900</v>
      </c>
      <c r="X39" s="971">
        <f t="shared" si="14"/>
        <v>44040</v>
      </c>
      <c r="Y39" s="858">
        <f t="shared" si="15"/>
        <v>-8.1351689612014999E-2</v>
      </c>
      <c r="Z39" s="857">
        <f t="shared" si="16"/>
        <v>1.7616000000000001</v>
      </c>
      <c r="AA39" s="856">
        <v>0.18743844635871967</v>
      </c>
      <c r="AB39" s="856">
        <v>2.4350339619015109E-2</v>
      </c>
      <c r="AC39" s="970">
        <f t="shared" si="4"/>
        <v>799</v>
      </c>
      <c r="AD39" s="970"/>
      <c r="AE39" s="970">
        <f t="shared" si="22"/>
        <v>0</v>
      </c>
      <c r="AF39" s="971">
        <f t="shared" si="18"/>
        <v>47940</v>
      </c>
      <c r="AG39" s="857">
        <f t="shared" si="19"/>
        <v>0</v>
      </c>
      <c r="AH39" s="576">
        <v>149</v>
      </c>
      <c r="AI39" s="856">
        <f t="shared" si="21"/>
        <v>0.14676260155271217</v>
      </c>
      <c r="AJ39" s="859">
        <v>6</v>
      </c>
      <c r="AK39" s="583">
        <v>0</v>
      </c>
      <c r="AL39" s="971">
        <f t="shared" si="20"/>
        <v>3900</v>
      </c>
      <c r="AM39" s="971">
        <f t="shared" si="6"/>
        <v>44040</v>
      </c>
      <c r="AN39" s="858">
        <f t="shared" si="7"/>
        <v>-8.1351689612014999E-2</v>
      </c>
      <c r="AO39" s="857">
        <f t="shared" si="8"/>
        <v>1.7616000000000001</v>
      </c>
      <c r="AP39" s="973">
        <f t="shared" si="9"/>
        <v>0</v>
      </c>
      <c r="AQ39" s="855">
        <f t="shared" si="10"/>
        <v>0</v>
      </c>
      <c r="AR39" s="974">
        <f t="shared" si="23"/>
        <v>0.18743844635871967</v>
      </c>
      <c r="AS39" s="975"/>
      <c r="AT39" s="976"/>
      <c r="AU39" s="971"/>
      <c r="AV39" s="976"/>
      <c r="AW39" s="970"/>
      <c r="AX39" s="971"/>
      <c r="AY39" s="971"/>
      <c r="AZ39" s="977"/>
      <c r="BA39" s="972"/>
      <c r="BB39" s="971"/>
      <c r="BC39" s="973"/>
      <c r="BD39" s="973"/>
      <c r="BE39" s="855"/>
      <c r="BF39" s="975"/>
      <c r="BG39" s="975"/>
      <c r="BH39" s="971"/>
      <c r="BI39" s="970"/>
      <c r="BJ39" s="971"/>
      <c r="BK39" s="971"/>
      <c r="BL39" s="977"/>
      <c r="BM39" s="972"/>
      <c r="BN39" s="971"/>
      <c r="BO39" s="973"/>
      <c r="BP39" s="973"/>
      <c r="BQ39" s="855"/>
      <c r="BR39" s="975"/>
      <c r="BS39" s="975"/>
      <c r="BT39" s="978"/>
      <c r="BU39" s="978"/>
      <c r="BV39" s="978">
        <v>0.18701085404561701</v>
      </c>
      <c r="BW39" s="978">
        <f t="shared" si="12"/>
        <v>0.18743844635871967</v>
      </c>
    </row>
    <row r="40" spans="1:75" hidden="1">
      <c r="A40" s="968">
        <v>2606</v>
      </c>
      <c r="B40" s="968" t="s">
        <v>307</v>
      </c>
      <c r="C40" s="969" t="s">
        <v>829</v>
      </c>
      <c r="D40" s="969" t="s">
        <v>2</v>
      </c>
      <c r="E40" s="955"/>
      <c r="F40" s="955"/>
      <c r="G40" s="955" t="str">
        <f>IFERROR(VLOOKUP(D40,[3]전용!E:J,6,0),"")</f>
        <v/>
      </c>
      <c r="H40" s="854">
        <v>25000</v>
      </c>
      <c r="I40" s="955">
        <v>5</v>
      </c>
      <c r="J40" s="955" t="s">
        <v>288</v>
      </c>
      <c r="K40" s="955">
        <v>6</v>
      </c>
      <c r="L40" s="970">
        <v>699</v>
      </c>
      <c r="M40" s="971">
        <f t="shared" si="0"/>
        <v>41940</v>
      </c>
      <c r="N40" s="855">
        <v>0.27555555555555555</v>
      </c>
      <c r="O40" s="855"/>
      <c r="P40" s="970">
        <v>699</v>
      </c>
      <c r="Q40" s="970">
        <f t="shared" si="1"/>
        <v>0</v>
      </c>
      <c r="R40" s="971">
        <f>P40*LEFT(I40,1)*12</f>
        <v>41940</v>
      </c>
      <c r="S40" s="856">
        <f t="shared" si="13"/>
        <v>0.22678036338304011</v>
      </c>
      <c r="T40" s="976">
        <v>149</v>
      </c>
      <c r="U40" s="972">
        <v>6</v>
      </c>
      <c r="V40" s="583">
        <v>0</v>
      </c>
      <c r="W40" s="971">
        <f t="shared" si="3"/>
        <v>3300</v>
      </c>
      <c r="X40" s="971">
        <f t="shared" si="14"/>
        <v>38640</v>
      </c>
      <c r="Y40" s="858">
        <f t="shared" si="15"/>
        <v>-7.8683834048640877E-2</v>
      </c>
      <c r="Z40" s="857">
        <f t="shared" si="16"/>
        <v>1.5456000000000001</v>
      </c>
      <c r="AA40" s="856">
        <v>0.18743844635871967</v>
      </c>
      <c r="AB40" s="856">
        <v>2.4350339619015109E-2</v>
      </c>
      <c r="AC40" s="970">
        <f t="shared" si="4"/>
        <v>699</v>
      </c>
      <c r="AD40" s="970"/>
      <c r="AE40" s="970">
        <f t="shared" si="22"/>
        <v>0</v>
      </c>
      <c r="AF40" s="971">
        <f t="shared" si="18"/>
        <v>41940</v>
      </c>
      <c r="AG40" s="857">
        <f t="shared" si="19"/>
        <v>0</v>
      </c>
      <c r="AH40" s="576">
        <v>149</v>
      </c>
      <c r="AI40" s="856">
        <f t="shared" si="21"/>
        <v>0.14809652933439924</v>
      </c>
      <c r="AJ40" s="859">
        <v>6</v>
      </c>
      <c r="AK40" s="583">
        <v>0</v>
      </c>
      <c r="AL40" s="971">
        <f t="shared" si="20"/>
        <v>3300</v>
      </c>
      <c r="AM40" s="971">
        <f t="shared" si="6"/>
        <v>38640</v>
      </c>
      <c r="AN40" s="858">
        <f t="shared" si="7"/>
        <v>-7.8683834048640877E-2</v>
      </c>
      <c r="AO40" s="857">
        <f t="shared" si="8"/>
        <v>1.5456000000000001</v>
      </c>
      <c r="AP40" s="973">
        <f t="shared" si="9"/>
        <v>0</v>
      </c>
      <c r="AQ40" s="855">
        <f t="shared" si="10"/>
        <v>0</v>
      </c>
      <c r="AR40" s="974">
        <f t="shared" si="23"/>
        <v>0.18743844635871967</v>
      </c>
      <c r="AS40" s="975"/>
      <c r="AT40" s="976"/>
      <c r="AU40" s="971"/>
      <c r="AV40" s="976"/>
      <c r="AW40" s="970"/>
      <c r="AX40" s="971"/>
      <c r="AY40" s="971"/>
      <c r="AZ40" s="977"/>
      <c r="BA40" s="972"/>
      <c r="BB40" s="971"/>
      <c r="BC40" s="973"/>
      <c r="BD40" s="973"/>
      <c r="BE40" s="855"/>
      <c r="BF40" s="975"/>
      <c r="BG40" s="975"/>
      <c r="BH40" s="971"/>
      <c r="BI40" s="970"/>
      <c r="BJ40" s="971"/>
      <c r="BK40" s="971"/>
      <c r="BL40" s="977"/>
      <c r="BM40" s="972"/>
      <c r="BN40" s="971"/>
      <c r="BO40" s="973"/>
      <c r="BP40" s="973"/>
      <c r="BQ40" s="855"/>
      <c r="BR40" s="975"/>
      <c r="BS40" s="975"/>
      <c r="BT40" s="978"/>
      <c r="BU40" s="978"/>
      <c r="BV40" s="978">
        <v>0.18701085404561701</v>
      </c>
      <c r="BW40" s="978">
        <f t="shared" si="12"/>
        <v>0.18743844635871967</v>
      </c>
    </row>
    <row r="41" spans="1:75" hidden="1">
      <c r="A41" s="968">
        <v>2606</v>
      </c>
      <c r="B41" s="968" t="s">
        <v>307</v>
      </c>
      <c r="C41" s="969" t="s">
        <v>829</v>
      </c>
      <c r="D41" s="969" t="s">
        <v>2</v>
      </c>
      <c r="E41" s="955"/>
      <c r="F41" s="955"/>
      <c r="G41" s="955" t="str">
        <f>IFERROR(VLOOKUP(D41,[3]전용!E:J,6,0),"")</f>
        <v/>
      </c>
      <c r="H41" s="854">
        <v>25000</v>
      </c>
      <c r="I41" s="955">
        <v>7</v>
      </c>
      <c r="J41" s="955" t="s">
        <v>286</v>
      </c>
      <c r="K41" s="955">
        <v>6</v>
      </c>
      <c r="L41" s="970">
        <v>599</v>
      </c>
      <c r="M41" s="971">
        <f t="shared" si="0"/>
        <v>50316</v>
      </c>
      <c r="N41" s="855">
        <v>0.25846153846153841</v>
      </c>
      <c r="O41" s="855"/>
      <c r="P41" s="970">
        <v>599</v>
      </c>
      <c r="Q41" s="970">
        <f t="shared" si="1"/>
        <v>0</v>
      </c>
      <c r="R41" s="971">
        <f>P41*LEFT(I41,1)*12</f>
        <v>50316</v>
      </c>
      <c r="S41" s="856">
        <f t="shared" si="13"/>
        <v>0.21426887803055369</v>
      </c>
      <c r="T41" s="976">
        <v>149</v>
      </c>
      <c r="U41" s="972">
        <v>6</v>
      </c>
      <c r="V41" s="583">
        <v>0</v>
      </c>
      <c r="W41" s="971">
        <f t="shared" si="3"/>
        <v>2700</v>
      </c>
      <c r="X41" s="971">
        <f t="shared" si="14"/>
        <v>47616</v>
      </c>
      <c r="Y41" s="858">
        <f t="shared" si="15"/>
        <v>-5.3660863343668042E-2</v>
      </c>
      <c r="Z41" s="857">
        <f t="shared" si="16"/>
        <v>1.9046400000000001</v>
      </c>
      <c r="AA41" s="856">
        <v>0.18743844635871967</v>
      </c>
      <c r="AB41" s="856">
        <v>2.4350339619015109E-2</v>
      </c>
      <c r="AC41" s="970">
        <f t="shared" si="4"/>
        <v>599</v>
      </c>
      <c r="AD41" s="970"/>
      <c r="AE41" s="970">
        <f t="shared" si="22"/>
        <v>0</v>
      </c>
      <c r="AF41" s="971">
        <f t="shared" si="18"/>
        <v>50316</v>
      </c>
      <c r="AG41" s="857">
        <f t="shared" si="19"/>
        <v>0</v>
      </c>
      <c r="AH41" s="576">
        <v>149</v>
      </c>
      <c r="AI41" s="856">
        <f t="shared" si="21"/>
        <v>0.16060801468688565</v>
      </c>
      <c r="AJ41" s="859">
        <v>6</v>
      </c>
      <c r="AK41" s="583">
        <v>0</v>
      </c>
      <c r="AL41" s="971">
        <f t="shared" si="20"/>
        <v>2700</v>
      </c>
      <c r="AM41" s="971">
        <f t="shared" si="6"/>
        <v>47616</v>
      </c>
      <c r="AN41" s="858">
        <f t="shared" si="7"/>
        <v>-5.3660863343668042E-2</v>
      </c>
      <c r="AO41" s="857">
        <f t="shared" si="8"/>
        <v>1.9046400000000001</v>
      </c>
      <c r="AP41" s="973">
        <f t="shared" si="9"/>
        <v>0</v>
      </c>
      <c r="AQ41" s="855">
        <f t="shared" si="10"/>
        <v>0</v>
      </c>
      <c r="AR41" s="974">
        <f t="shared" si="23"/>
        <v>0.18743844635871967</v>
      </c>
      <c r="AS41" s="975"/>
      <c r="AT41" s="976"/>
      <c r="AU41" s="971"/>
      <c r="AV41" s="976"/>
      <c r="AW41" s="970"/>
      <c r="AX41" s="971"/>
      <c r="AY41" s="971"/>
      <c r="AZ41" s="977"/>
      <c r="BA41" s="972"/>
      <c r="BB41" s="971"/>
      <c r="BC41" s="973"/>
      <c r="BD41" s="973"/>
      <c r="BE41" s="855"/>
      <c r="BF41" s="975"/>
      <c r="BG41" s="975"/>
      <c r="BH41" s="971"/>
      <c r="BI41" s="970"/>
      <c r="BJ41" s="971"/>
      <c r="BK41" s="971"/>
      <c r="BL41" s="977"/>
      <c r="BM41" s="972"/>
      <c r="BN41" s="971"/>
      <c r="BO41" s="973"/>
      <c r="BP41" s="973"/>
      <c r="BQ41" s="855"/>
      <c r="BR41" s="975"/>
      <c r="BS41" s="975"/>
      <c r="BT41" s="978"/>
      <c r="BU41" s="978"/>
      <c r="BV41" s="978">
        <v>0.18701085404561701</v>
      </c>
      <c r="BW41" s="978">
        <f t="shared" si="12"/>
        <v>0.18743844635871967</v>
      </c>
    </row>
    <row r="42" spans="1:75" hidden="1">
      <c r="A42" s="979">
        <v>2606</v>
      </c>
      <c r="B42" s="979" t="s">
        <v>307</v>
      </c>
      <c r="C42" s="980" t="s">
        <v>829</v>
      </c>
      <c r="D42" s="980" t="s">
        <v>2</v>
      </c>
      <c r="E42" s="955"/>
      <c r="F42" s="955"/>
      <c r="G42" s="955" t="str">
        <f>IFERROR(VLOOKUP(D42,[3]전용!E:J,6,0),"")</f>
        <v/>
      </c>
      <c r="H42" s="854">
        <v>25000</v>
      </c>
      <c r="I42" s="955">
        <v>7</v>
      </c>
      <c r="J42" s="955" t="s">
        <v>288</v>
      </c>
      <c r="K42" s="955">
        <v>6</v>
      </c>
      <c r="L42" s="970">
        <v>499</v>
      </c>
      <c r="M42" s="971">
        <f t="shared" si="0"/>
        <v>41916</v>
      </c>
      <c r="N42" s="855">
        <v>0.25846153846153841</v>
      </c>
      <c r="O42" s="855"/>
      <c r="P42" s="970">
        <v>499</v>
      </c>
      <c r="Q42" s="970">
        <f t="shared" si="1"/>
        <v>0</v>
      </c>
      <c r="R42" s="971">
        <f>P42*LEFT(I42,1)*12</f>
        <v>41916</v>
      </c>
      <c r="S42" s="856">
        <f t="shared" si="13"/>
        <v>0.2124885465591205</v>
      </c>
      <c r="T42" s="976">
        <v>149</v>
      </c>
      <c r="U42" s="972">
        <v>6</v>
      </c>
      <c r="V42" s="583">
        <v>0</v>
      </c>
      <c r="W42" s="971">
        <f t="shared" si="3"/>
        <v>2100</v>
      </c>
      <c r="X42" s="971">
        <f t="shared" si="14"/>
        <v>39816</v>
      </c>
      <c r="Y42" s="858">
        <f t="shared" si="15"/>
        <v>-5.0100200400801653E-2</v>
      </c>
      <c r="Z42" s="857">
        <f t="shared" si="16"/>
        <v>1.5926400000000001</v>
      </c>
      <c r="AA42" s="856">
        <v>0.18743844635871967</v>
      </c>
      <c r="AB42" s="856">
        <v>2.4350339619015109E-2</v>
      </c>
      <c r="AC42" s="970">
        <f t="shared" si="4"/>
        <v>499</v>
      </c>
      <c r="AD42" s="970"/>
      <c r="AE42" s="970">
        <f t="shared" si="22"/>
        <v>0</v>
      </c>
      <c r="AF42" s="971">
        <f t="shared" si="18"/>
        <v>41916</v>
      </c>
      <c r="AG42" s="857">
        <f t="shared" si="19"/>
        <v>0</v>
      </c>
      <c r="AH42" s="576">
        <v>149</v>
      </c>
      <c r="AI42" s="856">
        <f t="shared" si="21"/>
        <v>0.16238834615831885</v>
      </c>
      <c r="AJ42" s="859">
        <v>6</v>
      </c>
      <c r="AK42" s="583">
        <v>0</v>
      </c>
      <c r="AL42" s="971">
        <f t="shared" si="20"/>
        <v>2100</v>
      </c>
      <c r="AM42" s="971">
        <f t="shared" si="6"/>
        <v>39816</v>
      </c>
      <c r="AN42" s="858">
        <f t="shared" si="7"/>
        <v>-5.0100200400801653E-2</v>
      </c>
      <c r="AO42" s="857">
        <f t="shared" si="8"/>
        <v>1.5926400000000001</v>
      </c>
      <c r="AP42" s="973">
        <f t="shared" si="9"/>
        <v>0</v>
      </c>
      <c r="AQ42" s="855">
        <f t="shared" si="10"/>
        <v>0</v>
      </c>
      <c r="AR42" s="974">
        <f t="shared" si="23"/>
        <v>0.18743844635871967</v>
      </c>
      <c r="AS42" s="975"/>
      <c r="AT42" s="976"/>
      <c r="AU42" s="971"/>
      <c r="AV42" s="976"/>
      <c r="AW42" s="970"/>
      <c r="AX42" s="971"/>
      <c r="AY42" s="971"/>
      <c r="AZ42" s="977"/>
      <c r="BA42" s="972"/>
      <c r="BB42" s="971"/>
      <c r="BC42" s="973"/>
      <c r="BD42" s="973"/>
      <c r="BE42" s="855"/>
      <c r="BF42" s="975"/>
      <c r="BG42" s="975"/>
      <c r="BH42" s="971"/>
      <c r="BI42" s="970"/>
      <c r="BJ42" s="971"/>
      <c r="BK42" s="971"/>
      <c r="BL42" s="977"/>
      <c r="BM42" s="972"/>
      <c r="BN42" s="971"/>
      <c r="BO42" s="973"/>
      <c r="BP42" s="973"/>
      <c r="BQ42" s="855"/>
      <c r="BR42" s="975"/>
      <c r="BS42" s="975"/>
      <c r="BT42" s="978"/>
      <c r="BU42" s="978"/>
      <c r="BV42" s="978">
        <v>0.18701085404561701</v>
      </c>
      <c r="BW42" s="978">
        <f t="shared" si="12"/>
        <v>0.18743844635871967</v>
      </c>
    </row>
    <row r="43" spans="1:75" hidden="1">
      <c r="A43" s="968">
        <v>2606</v>
      </c>
      <c r="B43" s="968" t="s">
        <v>307</v>
      </c>
      <c r="C43" s="969" t="s">
        <v>829</v>
      </c>
      <c r="D43" s="969" t="s">
        <v>4</v>
      </c>
      <c r="E43" s="955"/>
      <c r="F43" s="955"/>
      <c r="G43" s="955" t="str">
        <f>IFERROR(VLOOKUP(D43,[3]전용!E:J,6,0),"")</f>
        <v/>
      </c>
      <c r="H43" s="854">
        <v>25000</v>
      </c>
      <c r="I43" s="955">
        <v>5</v>
      </c>
      <c r="J43" s="955" t="s">
        <v>286</v>
      </c>
      <c r="K43" s="955">
        <v>6</v>
      </c>
      <c r="L43" s="970">
        <v>799</v>
      </c>
      <c r="M43" s="971">
        <f t="shared" si="0"/>
        <v>47940</v>
      </c>
      <c r="N43" s="855">
        <v>0.27555555555555555</v>
      </c>
      <c r="O43" s="855"/>
      <c r="P43" s="970">
        <v>799</v>
      </c>
      <c r="Q43" s="970">
        <f t="shared" si="1"/>
        <v>0</v>
      </c>
      <c r="R43" s="576">
        <f>(P43*((I43*12)-V43))</f>
        <v>47940</v>
      </c>
      <c r="S43" s="856">
        <f t="shared" si="13"/>
        <v>0.23720395518000514</v>
      </c>
      <c r="T43" s="580">
        <v>149</v>
      </c>
      <c r="U43" s="583">
        <v>6</v>
      </c>
      <c r="V43" s="583">
        <v>0</v>
      </c>
      <c r="W43" s="971">
        <f t="shared" si="3"/>
        <v>3900</v>
      </c>
      <c r="X43" s="971">
        <f t="shared" si="14"/>
        <v>44040</v>
      </c>
      <c r="Y43" s="858">
        <f t="shared" si="15"/>
        <v>-8.1351689612014999E-2</v>
      </c>
      <c r="Z43" s="857">
        <f t="shared" si="16"/>
        <v>1.7616000000000001</v>
      </c>
      <c r="AA43" s="856">
        <v>0.19652811037399764</v>
      </c>
      <c r="AB43" s="856">
        <v>3.6628146812653299E-2</v>
      </c>
      <c r="AC43" s="970">
        <f t="shared" si="4"/>
        <v>799</v>
      </c>
      <c r="AD43" s="970"/>
      <c r="AE43" s="970">
        <f t="shared" si="22"/>
        <v>0</v>
      </c>
      <c r="AF43" s="971">
        <f t="shared" si="18"/>
        <v>47940</v>
      </c>
      <c r="AG43" s="857">
        <f t="shared" si="19"/>
        <v>0</v>
      </c>
      <c r="AH43" s="576">
        <v>149</v>
      </c>
      <c r="AI43" s="856">
        <f t="shared" si="21"/>
        <v>0.15585226556799014</v>
      </c>
      <c r="AJ43" s="859">
        <v>6</v>
      </c>
      <c r="AK43" s="583">
        <v>0</v>
      </c>
      <c r="AL43" s="971">
        <f t="shared" si="20"/>
        <v>3900</v>
      </c>
      <c r="AM43" s="971">
        <f t="shared" si="6"/>
        <v>44040</v>
      </c>
      <c r="AN43" s="858">
        <f t="shared" si="7"/>
        <v>-8.1351689612014999E-2</v>
      </c>
      <c r="AO43" s="857">
        <f t="shared" si="8"/>
        <v>1.7616000000000001</v>
      </c>
      <c r="AP43" s="973">
        <f t="shared" si="9"/>
        <v>0</v>
      </c>
      <c r="AQ43" s="855">
        <f t="shared" si="10"/>
        <v>0</v>
      </c>
      <c r="AR43" s="974">
        <f t="shared" si="23"/>
        <v>0.19652811037399764</v>
      </c>
      <c r="AS43" s="975"/>
      <c r="AT43" s="976"/>
      <c r="AU43" s="971"/>
      <c r="AV43" s="976"/>
      <c r="AW43" s="970"/>
      <c r="AX43" s="971"/>
      <c r="AY43" s="971"/>
      <c r="AZ43" s="977"/>
      <c r="BA43" s="972"/>
      <c r="BB43" s="971"/>
      <c r="BC43" s="973"/>
      <c r="BD43" s="973"/>
      <c r="BE43" s="855"/>
      <c r="BF43" s="975"/>
      <c r="BG43" s="975"/>
      <c r="BH43" s="971"/>
      <c r="BI43" s="970"/>
      <c r="BJ43" s="971"/>
      <c r="BK43" s="971"/>
      <c r="BL43" s="977"/>
      <c r="BM43" s="972"/>
      <c r="BN43" s="971"/>
      <c r="BO43" s="973"/>
      <c r="BP43" s="973"/>
      <c r="BQ43" s="855"/>
      <c r="BR43" s="975"/>
      <c r="BS43" s="975"/>
      <c r="BT43" s="978"/>
      <c r="BU43" s="978"/>
      <c r="BV43" s="978">
        <v>0.19203678912316632</v>
      </c>
      <c r="BW43" s="978">
        <f t="shared" si="12"/>
        <v>0.15852811037399764</v>
      </c>
    </row>
    <row r="44" spans="1:75" hidden="1">
      <c r="A44" s="968">
        <v>2606</v>
      </c>
      <c r="B44" s="968" t="s">
        <v>307</v>
      </c>
      <c r="C44" s="969" t="s">
        <v>829</v>
      </c>
      <c r="D44" s="969" t="s">
        <v>4</v>
      </c>
      <c r="E44" s="955"/>
      <c r="F44" s="955"/>
      <c r="G44" s="955" t="str">
        <f>IFERROR(VLOOKUP(D44,[3]전용!E:J,6,0),"")</f>
        <v/>
      </c>
      <c r="H44" s="854">
        <v>25000</v>
      </c>
      <c r="I44" s="955">
        <v>5</v>
      </c>
      <c r="J44" s="955" t="s">
        <v>288</v>
      </c>
      <c r="K44" s="955">
        <v>6</v>
      </c>
      <c r="L44" s="970">
        <v>699</v>
      </c>
      <c r="M44" s="971">
        <f t="shared" si="0"/>
        <v>41940</v>
      </c>
      <c r="N44" s="855">
        <v>0.27555555555555555</v>
      </c>
      <c r="O44" s="855"/>
      <c r="P44" s="970">
        <v>699</v>
      </c>
      <c r="Q44" s="970">
        <f t="shared" si="1"/>
        <v>0</v>
      </c>
      <c r="R44" s="971">
        <f>P44*LEFT(I44,1)*12</f>
        <v>41940</v>
      </c>
      <c r="S44" s="856">
        <f t="shared" si="13"/>
        <v>0.23587002739831808</v>
      </c>
      <c r="T44" s="976">
        <v>149</v>
      </c>
      <c r="U44" s="972">
        <v>6</v>
      </c>
      <c r="V44" s="583">
        <v>0</v>
      </c>
      <c r="W44" s="971">
        <f t="shared" si="3"/>
        <v>3300</v>
      </c>
      <c r="X44" s="971">
        <f t="shared" si="14"/>
        <v>38640</v>
      </c>
      <c r="Y44" s="858">
        <f t="shared" si="15"/>
        <v>-7.8683834048640877E-2</v>
      </c>
      <c r="Z44" s="857">
        <f t="shared" si="16"/>
        <v>1.5456000000000001</v>
      </c>
      <c r="AA44" s="856">
        <v>0.19652811037399764</v>
      </c>
      <c r="AB44" s="856">
        <v>3.6628146812653299E-2</v>
      </c>
      <c r="AC44" s="970">
        <f t="shared" si="4"/>
        <v>699</v>
      </c>
      <c r="AD44" s="970"/>
      <c r="AE44" s="970">
        <f t="shared" si="22"/>
        <v>0</v>
      </c>
      <c r="AF44" s="971">
        <f t="shared" si="18"/>
        <v>41940</v>
      </c>
      <c r="AG44" s="857">
        <f t="shared" si="19"/>
        <v>0</v>
      </c>
      <c r="AH44" s="576">
        <v>149</v>
      </c>
      <c r="AI44" s="856">
        <f t="shared" si="21"/>
        <v>0.15718619334967721</v>
      </c>
      <c r="AJ44" s="859">
        <v>6</v>
      </c>
      <c r="AK44" s="583">
        <v>0</v>
      </c>
      <c r="AL44" s="971">
        <f t="shared" si="20"/>
        <v>3300</v>
      </c>
      <c r="AM44" s="971">
        <f t="shared" si="6"/>
        <v>38640</v>
      </c>
      <c r="AN44" s="858">
        <f t="shared" si="7"/>
        <v>-7.8683834048640877E-2</v>
      </c>
      <c r="AO44" s="857">
        <f t="shared" si="8"/>
        <v>1.5456000000000001</v>
      </c>
      <c r="AP44" s="973">
        <f t="shared" si="9"/>
        <v>0</v>
      </c>
      <c r="AQ44" s="855">
        <f t="shared" si="10"/>
        <v>0</v>
      </c>
      <c r="AR44" s="974">
        <f t="shared" si="23"/>
        <v>0.19652811037399764</v>
      </c>
      <c r="AS44" s="975"/>
      <c r="AT44" s="976"/>
      <c r="AU44" s="971"/>
      <c r="AV44" s="976"/>
      <c r="AW44" s="970"/>
      <c r="AX44" s="971"/>
      <c r="AY44" s="971"/>
      <c r="AZ44" s="977"/>
      <c r="BA44" s="972"/>
      <c r="BB44" s="971"/>
      <c r="BC44" s="973"/>
      <c r="BD44" s="973"/>
      <c r="BE44" s="855"/>
      <c r="BF44" s="975"/>
      <c r="BG44" s="975"/>
      <c r="BH44" s="971"/>
      <c r="BI44" s="970"/>
      <c r="BJ44" s="971"/>
      <c r="BK44" s="971"/>
      <c r="BL44" s="977"/>
      <c r="BM44" s="972"/>
      <c r="BN44" s="971"/>
      <c r="BO44" s="973"/>
      <c r="BP44" s="973"/>
      <c r="BQ44" s="855"/>
      <c r="BR44" s="975"/>
      <c r="BS44" s="975"/>
      <c r="BT44" s="978"/>
      <c r="BU44" s="978"/>
      <c r="BV44" s="978">
        <v>0.19203678912316632</v>
      </c>
      <c r="BW44" s="978">
        <f t="shared" si="12"/>
        <v>0.15852811037399764</v>
      </c>
    </row>
    <row r="45" spans="1:75" hidden="1">
      <c r="A45" s="968">
        <v>2606</v>
      </c>
      <c r="B45" s="968" t="s">
        <v>307</v>
      </c>
      <c r="C45" s="969" t="s">
        <v>829</v>
      </c>
      <c r="D45" s="969" t="s">
        <v>4</v>
      </c>
      <c r="E45" s="955"/>
      <c r="F45" s="955"/>
      <c r="G45" s="955" t="str">
        <f>IFERROR(VLOOKUP(D45,[3]전용!E:J,6,0),"")</f>
        <v/>
      </c>
      <c r="H45" s="854">
        <v>25000</v>
      </c>
      <c r="I45" s="955">
        <v>7</v>
      </c>
      <c r="J45" s="955" t="s">
        <v>286</v>
      </c>
      <c r="K45" s="955">
        <v>6</v>
      </c>
      <c r="L45" s="970">
        <v>599</v>
      </c>
      <c r="M45" s="971">
        <f t="shared" si="0"/>
        <v>50316</v>
      </c>
      <c r="N45" s="855">
        <v>0.25846153846153841</v>
      </c>
      <c r="O45" s="855"/>
      <c r="P45" s="970">
        <v>599</v>
      </c>
      <c r="Q45" s="970">
        <f t="shared" si="1"/>
        <v>0</v>
      </c>
      <c r="R45" s="971">
        <f>P45*LEFT(I45,1)*12</f>
        <v>50316</v>
      </c>
      <c r="S45" s="856">
        <f t="shared" si="13"/>
        <v>0.22335854204583167</v>
      </c>
      <c r="T45" s="976">
        <v>149</v>
      </c>
      <c r="U45" s="972">
        <v>6</v>
      </c>
      <c r="V45" s="583">
        <v>0</v>
      </c>
      <c r="W45" s="971">
        <f t="shared" si="3"/>
        <v>2700</v>
      </c>
      <c r="X45" s="971">
        <f t="shared" si="14"/>
        <v>47616</v>
      </c>
      <c r="Y45" s="858">
        <f t="shared" si="15"/>
        <v>-5.3660863343668042E-2</v>
      </c>
      <c r="Z45" s="857">
        <f t="shared" si="16"/>
        <v>1.9046400000000001</v>
      </c>
      <c r="AA45" s="856">
        <v>0.19652811037399764</v>
      </c>
      <c r="AB45" s="856">
        <v>3.6628146812653299E-2</v>
      </c>
      <c r="AC45" s="970">
        <f t="shared" si="4"/>
        <v>599</v>
      </c>
      <c r="AD45" s="970"/>
      <c r="AE45" s="970">
        <f t="shared" si="22"/>
        <v>0</v>
      </c>
      <c r="AF45" s="971">
        <f t="shared" si="18"/>
        <v>50316</v>
      </c>
      <c r="AG45" s="857">
        <f t="shared" si="19"/>
        <v>0</v>
      </c>
      <c r="AH45" s="576">
        <v>149</v>
      </c>
      <c r="AI45" s="856">
        <f t="shared" si="21"/>
        <v>0.16969767870216362</v>
      </c>
      <c r="AJ45" s="859">
        <v>6</v>
      </c>
      <c r="AK45" s="583">
        <v>0</v>
      </c>
      <c r="AL45" s="971">
        <f t="shared" si="20"/>
        <v>2700</v>
      </c>
      <c r="AM45" s="971">
        <f t="shared" si="6"/>
        <v>47616</v>
      </c>
      <c r="AN45" s="858">
        <f t="shared" si="7"/>
        <v>-5.3660863343668042E-2</v>
      </c>
      <c r="AO45" s="857">
        <f t="shared" si="8"/>
        <v>1.9046400000000001</v>
      </c>
      <c r="AP45" s="973">
        <f t="shared" si="9"/>
        <v>0</v>
      </c>
      <c r="AQ45" s="855">
        <f t="shared" si="10"/>
        <v>0</v>
      </c>
      <c r="AR45" s="974">
        <f t="shared" si="23"/>
        <v>0.19652811037399764</v>
      </c>
      <c r="AS45" s="975"/>
      <c r="AT45" s="976"/>
      <c r="AU45" s="971"/>
      <c r="AV45" s="976"/>
      <c r="AW45" s="970"/>
      <c r="AX45" s="971"/>
      <c r="AY45" s="971"/>
      <c r="AZ45" s="977"/>
      <c r="BA45" s="972"/>
      <c r="BB45" s="971"/>
      <c r="BC45" s="973"/>
      <c r="BD45" s="973"/>
      <c r="BE45" s="855"/>
      <c r="BF45" s="975"/>
      <c r="BG45" s="975"/>
      <c r="BH45" s="971"/>
      <c r="BI45" s="970"/>
      <c r="BJ45" s="971"/>
      <c r="BK45" s="971"/>
      <c r="BL45" s="977"/>
      <c r="BM45" s="972"/>
      <c r="BN45" s="971"/>
      <c r="BO45" s="973"/>
      <c r="BP45" s="973"/>
      <c r="BQ45" s="855"/>
      <c r="BR45" s="975"/>
      <c r="BS45" s="975"/>
      <c r="BT45" s="978"/>
      <c r="BU45" s="978"/>
      <c r="BV45" s="978">
        <v>0.19203678912316632</v>
      </c>
      <c r="BW45" s="978">
        <f t="shared" si="12"/>
        <v>0.15852811037399764</v>
      </c>
    </row>
    <row r="46" spans="1:75" hidden="1">
      <c r="A46" s="979">
        <v>2606</v>
      </c>
      <c r="B46" s="979" t="s">
        <v>307</v>
      </c>
      <c r="C46" s="980" t="s">
        <v>829</v>
      </c>
      <c r="D46" s="980" t="s">
        <v>4</v>
      </c>
      <c r="E46" s="955"/>
      <c r="F46" s="955"/>
      <c r="G46" s="955" t="str">
        <f>IFERROR(VLOOKUP(D46,[3]전용!E:J,6,0),"")</f>
        <v/>
      </c>
      <c r="H46" s="854">
        <v>25000</v>
      </c>
      <c r="I46" s="955">
        <v>7</v>
      </c>
      <c r="J46" s="955" t="s">
        <v>288</v>
      </c>
      <c r="K46" s="955">
        <v>6</v>
      </c>
      <c r="L46" s="970">
        <v>499</v>
      </c>
      <c r="M46" s="971">
        <f t="shared" si="0"/>
        <v>41916</v>
      </c>
      <c r="N46" s="855">
        <v>0.25846153846153841</v>
      </c>
      <c r="O46" s="855"/>
      <c r="P46" s="970">
        <v>499</v>
      </c>
      <c r="Q46" s="970">
        <f t="shared" si="1"/>
        <v>0</v>
      </c>
      <c r="R46" s="971">
        <f>P46*LEFT(I46,1)*12</f>
        <v>41916</v>
      </c>
      <c r="S46" s="856">
        <f t="shared" si="13"/>
        <v>0.22157821057439847</v>
      </c>
      <c r="T46" s="976">
        <v>149</v>
      </c>
      <c r="U46" s="972">
        <v>6</v>
      </c>
      <c r="V46" s="583">
        <v>0</v>
      </c>
      <c r="W46" s="971">
        <f t="shared" si="3"/>
        <v>2100</v>
      </c>
      <c r="X46" s="971">
        <f t="shared" si="14"/>
        <v>39816</v>
      </c>
      <c r="Y46" s="858">
        <f t="shared" si="15"/>
        <v>-5.0100200400801653E-2</v>
      </c>
      <c r="Z46" s="857">
        <f t="shared" si="16"/>
        <v>1.5926400000000001</v>
      </c>
      <c r="AA46" s="856">
        <v>0.19652811037399764</v>
      </c>
      <c r="AB46" s="856">
        <v>3.6628146812653299E-2</v>
      </c>
      <c r="AC46" s="970">
        <f t="shared" si="4"/>
        <v>499</v>
      </c>
      <c r="AD46" s="970"/>
      <c r="AE46" s="970">
        <f t="shared" si="22"/>
        <v>0</v>
      </c>
      <c r="AF46" s="971">
        <f t="shared" si="18"/>
        <v>41916</v>
      </c>
      <c r="AG46" s="857">
        <f t="shared" si="19"/>
        <v>0</v>
      </c>
      <c r="AH46" s="576">
        <v>149</v>
      </c>
      <c r="AI46" s="856">
        <f t="shared" si="21"/>
        <v>0.17147801017359682</v>
      </c>
      <c r="AJ46" s="859">
        <v>6</v>
      </c>
      <c r="AK46" s="583">
        <v>0</v>
      </c>
      <c r="AL46" s="971">
        <f t="shared" si="20"/>
        <v>2100</v>
      </c>
      <c r="AM46" s="971">
        <f t="shared" si="6"/>
        <v>39816</v>
      </c>
      <c r="AN46" s="858">
        <f t="shared" si="7"/>
        <v>-5.0100200400801653E-2</v>
      </c>
      <c r="AO46" s="857">
        <f t="shared" si="8"/>
        <v>1.5926400000000001</v>
      </c>
      <c r="AP46" s="973">
        <f t="shared" si="9"/>
        <v>0</v>
      </c>
      <c r="AQ46" s="855">
        <f t="shared" si="10"/>
        <v>0</v>
      </c>
      <c r="AR46" s="974">
        <f t="shared" si="23"/>
        <v>0.19652811037399764</v>
      </c>
      <c r="AS46" s="975"/>
      <c r="AT46" s="976"/>
      <c r="AU46" s="971"/>
      <c r="AV46" s="976"/>
      <c r="AW46" s="970"/>
      <c r="AX46" s="971"/>
      <c r="AY46" s="971"/>
      <c r="AZ46" s="977"/>
      <c r="BA46" s="972"/>
      <c r="BB46" s="971"/>
      <c r="BC46" s="973"/>
      <c r="BD46" s="973"/>
      <c r="BE46" s="855"/>
      <c r="BF46" s="975"/>
      <c r="BG46" s="975"/>
      <c r="BH46" s="971"/>
      <c r="BI46" s="970"/>
      <c r="BJ46" s="971"/>
      <c r="BK46" s="971"/>
      <c r="BL46" s="977"/>
      <c r="BM46" s="972"/>
      <c r="BN46" s="971"/>
      <c r="BO46" s="973"/>
      <c r="BP46" s="973"/>
      <c r="BQ46" s="855"/>
      <c r="BR46" s="975"/>
      <c r="BS46" s="975"/>
      <c r="BT46" s="978"/>
      <c r="BU46" s="978"/>
      <c r="BV46" s="978">
        <v>0.19203678912316632</v>
      </c>
      <c r="BW46" s="978">
        <f t="shared" si="12"/>
        <v>0.15852811037399764</v>
      </c>
    </row>
    <row r="47" spans="1:75" hidden="1">
      <c r="A47" s="968">
        <v>2606</v>
      </c>
      <c r="B47" s="968" t="s">
        <v>307</v>
      </c>
      <c r="C47" s="969" t="s">
        <v>829</v>
      </c>
      <c r="D47" s="969" t="s">
        <v>6</v>
      </c>
      <c r="E47" s="955"/>
      <c r="F47" s="955"/>
      <c r="G47" s="955" t="str">
        <f>IFERROR(VLOOKUP(D47,[3]전용!E:J,6,0),"")</f>
        <v/>
      </c>
      <c r="H47" s="854">
        <v>25000</v>
      </c>
      <c r="I47" s="955">
        <v>5</v>
      </c>
      <c r="J47" s="955" t="s">
        <v>286</v>
      </c>
      <c r="K47" s="955">
        <v>6</v>
      </c>
      <c r="L47" s="970">
        <v>799</v>
      </c>
      <c r="M47" s="971">
        <f t="shared" si="0"/>
        <v>47940</v>
      </c>
      <c r="N47" s="855">
        <v>0.27555555555555555</v>
      </c>
      <c r="O47" s="855"/>
      <c r="P47" s="970">
        <v>799</v>
      </c>
      <c r="Q47" s="970">
        <f t="shared" si="1"/>
        <v>0</v>
      </c>
      <c r="R47" s="576">
        <f>(P47*((I47*12)-V47))</f>
        <v>47940</v>
      </c>
      <c r="S47" s="856">
        <f t="shared" si="13"/>
        <v>0.23278535677639511</v>
      </c>
      <c r="T47" s="580">
        <v>149</v>
      </c>
      <c r="U47" s="583">
        <v>6</v>
      </c>
      <c r="V47" s="583">
        <v>0</v>
      </c>
      <c r="W47" s="971">
        <f t="shared" si="3"/>
        <v>3900</v>
      </c>
      <c r="X47" s="971">
        <f t="shared" si="14"/>
        <v>44040</v>
      </c>
      <c r="Y47" s="858">
        <f t="shared" si="15"/>
        <v>-8.1351689612014999E-2</v>
      </c>
      <c r="Z47" s="857">
        <f t="shared" si="16"/>
        <v>1.7616000000000001</v>
      </c>
      <c r="AA47" s="856">
        <v>0.19210951197038761</v>
      </c>
      <c r="AB47" s="856">
        <v>2.8620681209159903E-2</v>
      </c>
      <c r="AC47" s="970">
        <f t="shared" si="4"/>
        <v>799</v>
      </c>
      <c r="AD47" s="970"/>
      <c r="AE47" s="970">
        <f t="shared" si="22"/>
        <v>0</v>
      </c>
      <c r="AF47" s="971">
        <f t="shared" si="18"/>
        <v>47940</v>
      </c>
      <c r="AG47" s="857">
        <f t="shared" si="19"/>
        <v>0</v>
      </c>
      <c r="AH47" s="576">
        <v>149</v>
      </c>
      <c r="AI47" s="856">
        <f t="shared" si="21"/>
        <v>0.15143366716438011</v>
      </c>
      <c r="AJ47" s="859">
        <v>6</v>
      </c>
      <c r="AK47" s="583">
        <v>0</v>
      </c>
      <c r="AL47" s="971">
        <f t="shared" si="20"/>
        <v>3900</v>
      </c>
      <c r="AM47" s="971">
        <f t="shared" si="6"/>
        <v>44040</v>
      </c>
      <c r="AN47" s="858">
        <f t="shared" si="7"/>
        <v>-8.1351689612014999E-2</v>
      </c>
      <c r="AO47" s="857">
        <f t="shared" si="8"/>
        <v>1.7616000000000001</v>
      </c>
      <c r="AP47" s="973">
        <f t="shared" si="9"/>
        <v>0</v>
      </c>
      <c r="AQ47" s="855">
        <f t="shared" si="10"/>
        <v>0</v>
      </c>
      <c r="AR47" s="974">
        <f t="shared" si="23"/>
        <v>0.19210951197038761</v>
      </c>
      <c r="AS47" s="975"/>
      <c r="AT47" s="976"/>
      <c r="AU47" s="971"/>
      <c r="AV47" s="976"/>
      <c r="AW47" s="970"/>
      <c r="AX47" s="971"/>
      <c r="AY47" s="971"/>
      <c r="AZ47" s="977"/>
      <c r="BA47" s="972"/>
      <c r="BB47" s="971"/>
      <c r="BC47" s="973"/>
      <c r="BD47" s="973"/>
      <c r="BE47" s="855"/>
      <c r="BF47" s="975"/>
      <c r="BG47" s="975"/>
      <c r="BH47" s="971"/>
      <c r="BI47" s="970"/>
      <c r="BJ47" s="971"/>
      <c r="BK47" s="971"/>
      <c r="BL47" s="977"/>
      <c r="BM47" s="972"/>
      <c r="BN47" s="971"/>
      <c r="BO47" s="973"/>
      <c r="BP47" s="973"/>
      <c r="BQ47" s="855"/>
      <c r="BR47" s="975"/>
      <c r="BS47" s="975"/>
      <c r="BT47" s="978"/>
      <c r="BU47" s="978"/>
      <c r="BV47" s="978">
        <v>0.19515117167181595</v>
      </c>
      <c r="BW47" s="978">
        <f t="shared" si="12"/>
        <v>0.15410951197038761</v>
      </c>
    </row>
    <row r="48" spans="1:75" hidden="1">
      <c r="A48" s="968">
        <v>2606</v>
      </c>
      <c r="B48" s="968" t="s">
        <v>307</v>
      </c>
      <c r="C48" s="969" t="s">
        <v>829</v>
      </c>
      <c r="D48" s="969" t="s">
        <v>6</v>
      </c>
      <c r="E48" s="955"/>
      <c r="F48" s="955"/>
      <c r="G48" s="955" t="str">
        <f>IFERROR(VLOOKUP(D48,[3]전용!E:J,6,0),"")</f>
        <v/>
      </c>
      <c r="H48" s="854">
        <v>25000</v>
      </c>
      <c r="I48" s="955">
        <v>5</v>
      </c>
      <c r="J48" s="955" t="s">
        <v>288</v>
      </c>
      <c r="K48" s="955">
        <v>6</v>
      </c>
      <c r="L48" s="970">
        <v>699</v>
      </c>
      <c r="M48" s="971">
        <f t="shared" si="0"/>
        <v>41940</v>
      </c>
      <c r="N48" s="855">
        <v>0.27555555555555555</v>
      </c>
      <c r="O48" s="855"/>
      <c r="P48" s="970">
        <v>699</v>
      </c>
      <c r="Q48" s="970">
        <f t="shared" si="1"/>
        <v>0</v>
      </c>
      <c r="R48" s="971">
        <f>P48*LEFT(I48,1)*12</f>
        <v>41940</v>
      </c>
      <c r="S48" s="856">
        <f t="shared" si="13"/>
        <v>0.23145142899470805</v>
      </c>
      <c r="T48" s="976">
        <v>149</v>
      </c>
      <c r="U48" s="972">
        <v>6</v>
      </c>
      <c r="V48" s="583">
        <v>0</v>
      </c>
      <c r="W48" s="971">
        <f t="shared" si="3"/>
        <v>3300</v>
      </c>
      <c r="X48" s="971">
        <f t="shared" si="14"/>
        <v>38640</v>
      </c>
      <c r="Y48" s="858">
        <f t="shared" si="15"/>
        <v>-7.8683834048640877E-2</v>
      </c>
      <c r="Z48" s="857">
        <f t="shared" si="16"/>
        <v>1.5456000000000001</v>
      </c>
      <c r="AA48" s="856">
        <v>0.19210951197038761</v>
      </c>
      <c r="AB48" s="856">
        <v>2.8620681209159903E-2</v>
      </c>
      <c r="AC48" s="970">
        <f t="shared" si="4"/>
        <v>699</v>
      </c>
      <c r="AD48" s="970"/>
      <c r="AE48" s="970">
        <f t="shared" si="22"/>
        <v>0</v>
      </c>
      <c r="AF48" s="971">
        <f t="shared" si="18"/>
        <v>41940</v>
      </c>
      <c r="AG48" s="857">
        <f t="shared" si="19"/>
        <v>0</v>
      </c>
      <c r="AH48" s="576">
        <v>149</v>
      </c>
      <c r="AI48" s="856">
        <f t="shared" si="21"/>
        <v>0.15276759494606718</v>
      </c>
      <c r="AJ48" s="859">
        <v>6</v>
      </c>
      <c r="AK48" s="583">
        <v>0</v>
      </c>
      <c r="AL48" s="971">
        <f t="shared" si="20"/>
        <v>3300</v>
      </c>
      <c r="AM48" s="971">
        <f t="shared" si="6"/>
        <v>38640</v>
      </c>
      <c r="AN48" s="858">
        <f t="shared" si="7"/>
        <v>-7.8683834048640877E-2</v>
      </c>
      <c r="AO48" s="857">
        <f t="shared" si="8"/>
        <v>1.5456000000000001</v>
      </c>
      <c r="AP48" s="973">
        <f t="shared" si="9"/>
        <v>0</v>
      </c>
      <c r="AQ48" s="855">
        <f t="shared" si="10"/>
        <v>0</v>
      </c>
      <c r="AR48" s="974">
        <f t="shared" si="23"/>
        <v>0.19210951197038761</v>
      </c>
      <c r="AS48" s="975"/>
      <c r="AT48" s="976"/>
      <c r="AU48" s="971"/>
      <c r="AV48" s="976"/>
      <c r="AW48" s="970"/>
      <c r="AX48" s="971"/>
      <c r="AY48" s="971"/>
      <c r="AZ48" s="977"/>
      <c r="BA48" s="972"/>
      <c r="BB48" s="971"/>
      <c r="BC48" s="973"/>
      <c r="BD48" s="973"/>
      <c r="BE48" s="855"/>
      <c r="BF48" s="975"/>
      <c r="BG48" s="975"/>
      <c r="BH48" s="971"/>
      <c r="BI48" s="970"/>
      <c r="BJ48" s="971"/>
      <c r="BK48" s="971"/>
      <c r="BL48" s="977"/>
      <c r="BM48" s="972"/>
      <c r="BN48" s="971"/>
      <c r="BO48" s="973"/>
      <c r="BP48" s="973"/>
      <c r="BQ48" s="855"/>
      <c r="BR48" s="975"/>
      <c r="BS48" s="975"/>
      <c r="BT48" s="978"/>
      <c r="BU48" s="978"/>
      <c r="BV48" s="978">
        <v>0.19515117167181595</v>
      </c>
      <c r="BW48" s="978">
        <f t="shared" si="12"/>
        <v>0.15410951197038761</v>
      </c>
    </row>
    <row r="49" spans="1:75" hidden="1">
      <c r="A49" s="968">
        <v>2606</v>
      </c>
      <c r="B49" s="968" t="s">
        <v>307</v>
      </c>
      <c r="C49" s="969" t="s">
        <v>829</v>
      </c>
      <c r="D49" s="969" t="s">
        <v>6</v>
      </c>
      <c r="E49" s="955"/>
      <c r="F49" s="955"/>
      <c r="G49" s="955" t="str">
        <f>IFERROR(VLOOKUP(D49,[3]전용!E:J,6,0),"")</f>
        <v/>
      </c>
      <c r="H49" s="854">
        <v>25000</v>
      </c>
      <c r="I49" s="955">
        <v>7</v>
      </c>
      <c r="J49" s="955" t="s">
        <v>286</v>
      </c>
      <c r="K49" s="955">
        <v>6</v>
      </c>
      <c r="L49" s="970">
        <v>599</v>
      </c>
      <c r="M49" s="971">
        <f t="shared" si="0"/>
        <v>50316</v>
      </c>
      <c r="N49" s="855">
        <v>0.25846153846153841</v>
      </c>
      <c r="O49" s="855"/>
      <c r="P49" s="970">
        <v>599</v>
      </c>
      <c r="Q49" s="970">
        <f t="shared" si="1"/>
        <v>0</v>
      </c>
      <c r="R49" s="971">
        <f>P49*LEFT(I49,1)*12</f>
        <v>50316</v>
      </c>
      <c r="S49" s="856">
        <f t="shared" si="13"/>
        <v>0.21893994364222163</v>
      </c>
      <c r="T49" s="976">
        <v>149</v>
      </c>
      <c r="U49" s="972">
        <v>6</v>
      </c>
      <c r="V49" s="583">
        <v>0</v>
      </c>
      <c r="W49" s="971">
        <f t="shared" si="3"/>
        <v>2700</v>
      </c>
      <c r="X49" s="971">
        <f t="shared" si="14"/>
        <v>47616</v>
      </c>
      <c r="Y49" s="858">
        <f t="shared" si="15"/>
        <v>-5.3660863343668042E-2</v>
      </c>
      <c r="Z49" s="857">
        <f t="shared" si="16"/>
        <v>1.9046400000000001</v>
      </c>
      <c r="AA49" s="856">
        <v>0.19210951197038761</v>
      </c>
      <c r="AB49" s="856">
        <v>2.8620681209159903E-2</v>
      </c>
      <c r="AC49" s="970">
        <f t="shared" si="4"/>
        <v>599</v>
      </c>
      <c r="AD49" s="970"/>
      <c r="AE49" s="970">
        <f t="shared" si="22"/>
        <v>0</v>
      </c>
      <c r="AF49" s="971">
        <f t="shared" si="18"/>
        <v>50316</v>
      </c>
      <c r="AG49" s="857">
        <f t="shared" si="19"/>
        <v>0</v>
      </c>
      <c r="AH49" s="576">
        <v>149</v>
      </c>
      <c r="AI49" s="856">
        <f t="shared" si="21"/>
        <v>0.16527908029855359</v>
      </c>
      <c r="AJ49" s="859">
        <v>6</v>
      </c>
      <c r="AK49" s="583">
        <v>0</v>
      </c>
      <c r="AL49" s="971">
        <f t="shared" si="20"/>
        <v>2700</v>
      </c>
      <c r="AM49" s="971">
        <f t="shared" si="6"/>
        <v>47616</v>
      </c>
      <c r="AN49" s="858">
        <f t="shared" si="7"/>
        <v>-5.3660863343668042E-2</v>
      </c>
      <c r="AO49" s="857">
        <f t="shared" si="8"/>
        <v>1.9046400000000001</v>
      </c>
      <c r="AP49" s="973">
        <f t="shared" si="9"/>
        <v>0</v>
      </c>
      <c r="AQ49" s="855">
        <f t="shared" si="10"/>
        <v>0</v>
      </c>
      <c r="AR49" s="974">
        <f t="shared" si="23"/>
        <v>0.19210951197038761</v>
      </c>
      <c r="AS49" s="975"/>
      <c r="AT49" s="976"/>
      <c r="AU49" s="971"/>
      <c r="AV49" s="976"/>
      <c r="AW49" s="970"/>
      <c r="AX49" s="971"/>
      <c r="AY49" s="971"/>
      <c r="AZ49" s="977"/>
      <c r="BA49" s="972"/>
      <c r="BB49" s="971"/>
      <c r="BC49" s="973"/>
      <c r="BD49" s="973"/>
      <c r="BE49" s="855"/>
      <c r="BF49" s="975"/>
      <c r="BG49" s="975"/>
      <c r="BH49" s="971"/>
      <c r="BI49" s="970"/>
      <c r="BJ49" s="971"/>
      <c r="BK49" s="971"/>
      <c r="BL49" s="977"/>
      <c r="BM49" s="972"/>
      <c r="BN49" s="971"/>
      <c r="BO49" s="973"/>
      <c r="BP49" s="973"/>
      <c r="BQ49" s="855"/>
      <c r="BR49" s="975"/>
      <c r="BS49" s="975"/>
      <c r="BT49" s="978"/>
      <c r="BU49" s="978"/>
      <c r="BV49" s="978">
        <v>0.19515117167181595</v>
      </c>
      <c r="BW49" s="978">
        <f t="shared" si="12"/>
        <v>0.15410951197038761</v>
      </c>
    </row>
    <row r="50" spans="1:75" hidden="1">
      <c r="A50" s="979">
        <v>2606</v>
      </c>
      <c r="B50" s="979" t="s">
        <v>307</v>
      </c>
      <c r="C50" s="980" t="s">
        <v>829</v>
      </c>
      <c r="D50" s="980" t="s">
        <v>6</v>
      </c>
      <c r="E50" s="955"/>
      <c r="F50" s="955"/>
      <c r="G50" s="955" t="str">
        <f>IFERROR(VLOOKUP(D50,[3]전용!E:J,6,0),"")</f>
        <v/>
      </c>
      <c r="H50" s="854">
        <v>25000</v>
      </c>
      <c r="I50" s="955">
        <v>7</v>
      </c>
      <c r="J50" s="955" t="s">
        <v>288</v>
      </c>
      <c r="K50" s="955">
        <v>6</v>
      </c>
      <c r="L50" s="970">
        <v>499</v>
      </c>
      <c r="M50" s="971">
        <f t="shared" si="0"/>
        <v>41916</v>
      </c>
      <c r="N50" s="855">
        <v>0.25846153846153841</v>
      </c>
      <c r="O50" s="855"/>
      <c r="P50" s="970">
        <v>499</v>
      </c>
      <c r="Q50" s="970">
        <f t="shared" si="1"/>
        <v>0</v>
      </c>
      <c r="R50" s="971">
        <f>P50*LEFT(I50,1)*12</f>
        <v>41916</v>
      </c>
      <c r="S50" s="856">
        <f t="shared" si="13"/>
        <v>0.21715961217078844</v>
      </c>
      <c r="T50" s="976">
        <v>149</v>
      </c>
      <c r="U50" s="972">
        <v>6</v>
      </c>
      <c r="V50" s="583">
        <v>0</v>
      </c>
      <c r="W50" s="971">
        <f t="shared" si="3"/>
        <v>2100</v>
      </c>
      <c r="X50" s="971">
        <f t="shared" si="14"/>
        <v>39816</v>
      </c>
      <c r="Y50" s="858">
        <f t="shared" si="15"/>
        <v>-5.0100200400801653E-2</v>
      </c>
      <c r="Z50" s="857">
        <f t="shared" si="16"/>
        <v>1.5926400000000001</v>
      </c>
      <c r="AA50" s="856">
        <v>0.19210951197038761</v>
      </c>
      <c r="AB50" s="856">
        <v>2.8620681209159903E-2</v>
      </c>
      <c r="AC50" s="970">
        <f t="shared" si="4"/>
        <v>499</v>
      </c>
      <c r="AD50" s="970"/>
      <c r="AE50" s="970">
        <f t="shared" si="22"/>
        <v>0</v>
      </c>
      <c r="AF50" s="971">
        <f t="shared" si="18"/>
        <v>41916</v>
      </c>
      <c r="AG50" s="857">
        <f t="shared" si="19"/>
        <v>0</v>
      </c>
      <c r="AH50" s="576">
        <v>149</v>
      </c>
      <c r="AI50" s="856">
        <f t="shared" si="21"/>
        <v>0.16705941176998679</v>
      </c>
      <c r="AJ50" s="859">
        <v>6</v>
      </c>
      <c r="AK50" s="583">
        <v>0</v>
      </c>
      <c r="AL50" s="971">
        <f t="shared" si="20"/>
        <v>2100</v>
      </c>
      <c r="AM50" s="971">
        <f t="shared" si="6"/>
        <v>39816</v>
      </c>
      <c r="AN50" s="858">
        <f t="shared" si="7"/>
        <v>-5.0100200400801653E-2</v>
      </c>
      <c r="AO50" s="857">
        <f t="shared" si="8"/>
        <v>1.5926400000000001</v>
      </c>
      <c r="AP50" s="973">
        <f t="shared" si="9"/>
        <v>0</v>
      </c>
      <c r="AQ50" s="855">
        <f t="shared" si="10"/>
        <v>0</v>
      </c>
      <c r="AR50" s="974">
        <f t="shared" si="23"/>
        <v>0.19210951197038761</v>
      </c>
      <c r="AS50" s="975"/>
      <c r="AT50" s="976"/>
      <c r="AU50" s="971"/>
      <c r="AV50" s="976"/>
      <c r="AW50" s="970"/>
      <c r="AX50" s="971"/>
      <c r="AY50" s="971"/>
      <c r="AZ50" s="977"/>
      <c r="BA50" s="972"/>
      <c r="BB50" s="971"/>
      <c r="BC50" s="973"/>
      <c r="BD50" s="973"/>
      <c r="BE50" s="855"/>
      <c r="BF50" s="975"/>
      <c r="BG50" s="975"/>
      <c r="BH50" s="971"/>
      <c r="BI50" s="970"/>
      <c r="BJ50" s="971"/>
      <c r="BK50" s="971"/>
      <c r="BL50" s="977"/>
      <c r="BM50" s="972"/>
      <c r="BN50" s="971"/>
      <c r="BO50" s="973"/>
      <c r="BP50" s="973"/>
      <c r="BQ50" s="855"/>
      <c r="BR50" s="975"/>
      <c r="BS50" s="975"/>
      <c r="BT50" s="978"/>
      <c r="BU50" s="978"/>
      <c r="BV50" s="978">
        <v>0.19515117167181595</v>
      </c>
      <c r="BW50" s="978">
        <f t="shared" si="12"/>
        <v>0.15410951197038761</v>
      </c>
    </row>
    <row r="51" spans="1:75" hidden="1">
      <c r="A51" s="968">
        <v>2606</v>
      </c>
      <c r="B51" s="968" t="s">
        <v>307</v>
      </c>
      <c r="C51" s="969" t="s">
        <v>829</v>
      </c>
      <c r="D51" s="969" t="s">
        <v>8</v>
      </c>
      <c r="E51" s="955"/>
      <c r="F51" s="955"/>
      <c r="G51" s="955" t="str">
        <f>IFERROR(VLOOKUP(D51,[3]전용!E:J,6,0),"")</f>
        <v/>
      </c>
      <c r="H51" s="854">
        <v>25000</v>
      </c>
      <c r="I51" s="955">
        <v>5</v>
      </c>
      <c r="J51" s="955" t="s">
        <v>286</v>
      </c>
      <c r="K51" s="955">
        <v>6</v>
      </c>
      <c r="L51" s="970">
        <v>799</v>
      </c>
      <c r="M51" s="971">
        <f t="shared" si="0"/>
        <v>47940</v>
      </c>
      <c r="N51" s="855">
        <v>0.23555555555555557</v>
      </c>
      <c r="O51" s="855"/>
      <c r="P51" s="970">
        <v>799</v>
      </c>
      <c r="Q51" s="970">
        <f t="shared" si="1"/>
        <v>0</v>
      </c>
      <c r="R51" s="576">
        <f>(P51*((I51*12)-V51))</f>
        <v>47940</v>
      </c>
      <c r="S51" s="856">
        <f t="shared" si="13"/>
        <v>0.22972216575519255</v>
      </c>
      <c r="T51" s="580">
        <v>149</v>
      </c>
      <c r="U51" s="583">
        <v>6</v>
      </c>
      <c r="V51" s="583">
        <v>0</v>
      </c>
      <c r="W51" s="971">
        <f t="shared" si="3"/>
        <v>3900</v>
      </c>
      <c r="X51" s="971">
        <f t="shared" si="14"/>
        <v>44040</v>
      </c>
      <c r="Y51" s="858">
        <f t="shared" si="15"/>
        <v>-8.1351689612014999E-2</v>
      </c>
      <c r="Z51" s="857">
        <f t="shared" si="16"/>
        <v>1.7616000000000001</v>
      </c>
      <c r="AA51" s="856">
        <v>0.18904632094918505</v>
      </c>
      <c r="AB51" s="856">
        <v>3.964770572964596E-2</v>
      </c>
      <c r="AC51" s="970">
        <f t="shared" si="4"/>
        <v>799</v>
      </c>
      <c r="AD51" s="970"/>
      <c r="AE51" s="970">
        <f t="shared" si="22"/>
        <v>0</v>
      </c>
      <c r="AF51" s="971">
        <f t="shared" si="18"/>
        <v>47940</v>
      </c>
      <c r="AG51" s="857">
        <f t="shared" si="19"/>
        <v>0</v>
      </c>
      <c r="AH51" s="576">
        <v>149</v>
      </c>
      <c r="AI51" s="856">
        <f t="shared" si="21"/>
        <v>0.14837047614317755</v>
      </c>
      <c r="AJ51" s="859">
        <v>6</v>
      </c>
      <c r="AK51" s="583">
        <v>0</v>
      </c>
      <c r="AL51" s="971">
        <f t="shared" si="20"/>
        <v>3900</v>
      </c>
      <c r="AM51" s="971">
        <f t="shared" si="6"/>
        <v>44040</v>
      </c>
      <c r="AN51" s="858">
        <f t="shared" si="7"/>
        <v>-8.1351689612014999E-2</v>
      </c>
      <c r="AO51" s="857">
        <f t="shared" si="8"/>
        <v>1.7616000000000001</v>
      </c>
      <c r="AP51" s="973">
        <f t="shared" si="9"/>
        <v>0</v>
      </c>
      <c r="AQ51" s="855">
        <f t="shared" si="10"/>
        <v>0</v>
      </c>
      <c r="AR51" s="974">
        <f t="shared" si="23"/>
        <v>0.18904632094918505</v>
      </c>
      <c r="AS51" s="975"/>
      <c r="AT51" s="976"/>
      <c r="AU51" s="971"/>
      <c r="AV51" s="976"/>
      <c r="AW51" s="970"/>
      <c r="AX51" s="971"/>
      <c r="AY51" s="971"/>
      <c r="AZ51" s="977"/>
      <c r="BA51" s="972"/>
      <c r="BB51" s="971"/>
      <c r="BC51" s="973"/>
      <c r="BD51" s="973"/>
      <c r="BE51" s="855"/>
      <c r="BF51" s="975"/>
      <c r="BG51" s="975"/>
      <c r="BH51" s="971"/>
      <c r="BI51" s="970"/>
      <c r="BJ51" s="971"/>
      <c r="BK51" s="971"/>
      <c r="BL51" s="977"/>
      <c r="BM51" s="972"/>
      <c r="BN51" s="971"/>
      <c r="BO51" s="973"/>
      <c r="BP51" s="973"/>
      <c r="BQ51" s="855"/>
      <c r="BR51" s="975"/>
      <c r="BS51" s="975"/>
      <c r="BT51" s="978"/>
      <c r="BU51" s="978"/>
      <c r="BV51" s="978">
        <v>0.18441507450050784</v>
      </c>
      <c r="BW51" s="978">
        <f t="shared" si="12"/>
        <v>0.18904632094918505</v>
      </c>
    </row>
    <row r="52" spans="1:75" hidden="1">
      <c r="A52" s="968">
        <v>2606</v>
      </c>
      <c r="B52" s="968" t="s">
        <v>307</v>
      </c>
      <c r="C52" s="969" t="s">
        <v>829</v>
      </c>
      <c r="D52" s="969" t="s">
        <v>8</v>
      </c>
      <c r="E52" s="955"/>
      <c r="F52" s="955"/>
      <c r="G52" s="955" t="str">
        <f>IFERROR(VLOOKUP(D52,[3]전용!E:J,6,0),"")</f>
        <v/>
      </c>
      <c r="H52" s="854">
        <v>25000</v>
      </c>
      <c r="I52" s="955">
        <v>5</v>
      </c>
      <c r="J52" s="955" t="s">
        <v>288</v>
      </c>
      <c r="K52" s="955">
        <v>6</v>
      </c>
      <c r="L52" s="970">
        <v>699</v>
      </c>
      <c r="M52" s="971">
        <f t="shared" si="0"/>
        <v>41940</v>
      </c>
      <c r="N52" s="855">
        <v>0.23555555555555557</v>
      </c>
      <c r="O52" s="855"/>
      <c r="P52" s="970">
        <v>699</v>
      </c>
      <c r="Q52" s="970">
        <f t="shared" si="1"/>
        <v>0</v>
      </c>
      <c r="R52" s="971">
        <f t="shared" ref="R52:R58" si="24">P52*LEFT(I52,1)*12</f>
        <v>41940</v>
      </c>
      <c r="S52" s="856">
        <f t="shared" si="13"/>
        <v>0.22838823797350549</v>
      </c>
      <c r="T52" s="976">
        <v>149</v>
      </c>
      <c r="U52" s="972">
        <v>6</v>
      </c>
      <c r="V52" s="583">
        <v>0</v>
      </c>
      <c r="W52" s="971">
        <f t="shared" si="3"/>
        <v>3300</v>
      </c>
      <c r="X52" s="971">
        <f t="shared" si="14"/>
        <v>38640</v>
      </c>
      <c r="Y52" s="858">
        <f t="shared" si="15"/>
        <v>-7.8683834048640877E-2</v>
      </c>
      <c r="Z52" s="857">
        <f t="shared" si="16"/>
        <v>1.5456000000000001</v>
      </c>
      <c r="AA52" s="856">
        <v>0.18904632094918505</v>
      </c>
      <c r="AB52" s="856">
        <v>3.964770572964596E-2</v>
      </c>
      <c r="AC52" s="970">
        <f t="shared" si="4"/>
        <v>699</v>
      </c>
      <c r="AD52" s="970"/>
      <c r="AE52" s="970">
        <f t="shared" si="22"/>
        <v>0</v>
      </c>
      <c r="AF52" s="971">
        <f t="shared" si="18"/>
        <v>41940</v>
      </c>
      <c r="AG52" s="857">
        <f t="shared" si="19"/>
        <v>0</v>
      </c>
      <c r="AH52" s="576">
        <v>149</v>
      </c>
      <c r="AI52" s="856">
        <f t="shared" si="21"/>
        <v>0.14970440392486462</v>
      </c>
      <c r="AJ52" s="859">
        <v>6</v>
      </c>
      <c r="AK52" s="583">
        <v>0</v>
      </c>
      <c r="AL52" s="971">
        <f t="shared" si="20"/>
        <v>3300</v>
      </c>
      <c r="AM52" s="971">
        <f t="shared" si="6"/>
        <v>38640</v>
      </c>
      <c r="AN52" s="858">
        <f t="shared" si="7"/>
        <v>-7.8683834048640877E-2</v>
      </c>
      <c r="AO52" s="857">
        <f t="shared" si="8"/>
        <v>1.5456000000000001</v>
      </c>
      <c r="AP52" s="973">
        <f t="shared" si="9"/>
        <v>0</v>
      </c>
      <c r="AQ52" s="855">
        <f t="shared" si="10"/>
        <v>0</v>
      </c>
      <c r="AR52" s="974">
        <f t="shared" si="23"/>
        <v>0.18904632094918505</v>
      </c>
      <c r="AS52" s="975"/>
      <c r="AT52" s="976"/>
      <c r="AU52" s="971"/>
      <c r="AV52" s="976"/>
      <c r="AW52" s="970"/>
      <c r="AX52" s="971"/>
      <c r="AY52" s="971"/>
      <c r="AZ52" s="977"/>
      <c r="BA52" s="972"/>
      <c r="BB52" s="971"/>
      <c r="BC52" s="973"/>
      <c r="BD52" s="973"/>
      <c r="BE52" s="855"/>
      <c r="BF52" s="975"/>
      <c r="BG52" s="975"/>
      <c r="BH52" s="971"/>
      <c r="BI52" s="970"/>
      <c r="BJ52" s="971"/>
      <c r="BK52" s="971"/>
      <c r="BL52" s="977"/>
      <c r="BM52" s="972"/>
      <c r="BN52" s="971"/>
      <c r="BO52" s="973"/>
      <c r="BP52" s="973"/>
      <c r="BQ52" s="855"/>
      <c r="BR52" s="975"/>
      <c r="BS52" s="975"/>
      <c r="BT52" s="978"/>
      <c r="BU52" s="978"/>
      <c r="BV52" s="978">
        <v>0.18441507450050784</v>
      </c>
      <c r="BW52" s="978">
        <f t="shared" si="12"/>
        <v>0.18904632094918505</v>
      </c>
    </row>
    <row r="53" spans="1:75" hidden="1">
      <c r="A53" s="968">
        <v>2606</v>
      </c>
      <c r="B53" s="968" t="s">
        <v>307</v>
      </c>
      <c r="C53" s="969" t="s">
        <v>829</v>
      </c>
      <c r="D53" s="969" t="s">
        <v>8</v>
      </c>
      <c r="E53" s="955"/>
      <c r="F53" s="955"/>
      <c r="G53" s="955" t="str">
        <f>IFERROR(VLOOKUP(D53,[3]전용!E:J,6,0),"")</f>
        <v/>
      </c>
      <c r="H53" s="854">
        <v>25000</v>
      </c>
      <c r="I53" s="955">
        <v>7</v>
      </c>
      <c r="J53" s="955" t="s">
        <v>286</v>
      </c>
      <c r="K53" s="955">
        <v>6</v>
      </c>
      <c r="L53" s="970">
        <v>599</v>
      </c>
      <c r="M53" s="971">
        <f t="shared" si="0"/>
        <v>50316</v>
      </c>
      <c r="N53" s="855">
        <v>0.21846153846153843</v>
      </c>
      <c r="O53" s="855"/>
      <c r="P53" s="970">
        <v>599</v>
      </c>
      <c r="Q53" s="970">
        <f t="shared" si="1"/>
        <v>0</v>
      </c>
      <c r="R53" s="971">
        <f t="shared" si="24"/>
        <v>50316</v>
      </c>
      <c r="S53" s="856">
        <f t="shared" si="13"/>
        <v>0.21587675262101907</v>
      </c>
      <c r="T53" s="976">
        <v>149</v>
      </c>
      <c r="U53" s="972">
        <v>6</v>
      </c>
      <c r="V53" s="583">
        <v>0</v>
      </c>
      <c r="W53" s="971">
        <f t="shared" si="3"/>
        <v>2700</v>
      </c>
      <c r="X53" s="971">
        <f t="shared" si="14"/>
        <v>47616</v>
      </c>
      <c r="Y53" s="858">
        <f t="shared" si="15"/>
        <v>-5.3660863343668042E-2</v>
      </c>
      <c r="Z53" s="857">
        <f t="shared" si="16"/>
        <v>1.9046400000000001</v>
      </c>
      <c r="AA53" s="856">
        <v>0.18904632094918505</v>
      </c>
      <c r="AB53" s="856">
        <v>3.964770572964596E-2</v>
      </c>
      <c r="AC53" s="970">
        <f t="shared" si="4"/>
        <v>599</v>
      </c>
      <c r="AD53" s="970"/>
      <c r="AE53" s="970">
        <f t="shared" si="22"/>
        <v>0</v>
      </c>
      <c r="AF53" s="971">
        <f t="shared" si="18"/>
        <v>50316</v>
      </c>
      <c r="AG53" s="857">
        <f t="shared" si="19"/>
        <v>0</v>
      </c>
      <c r="AH53" s="576">
        <v>149</v>
      </c>
      <c r="AI53" s="856">
        <f t="shared" si="21"/>
        <v>0.16221588927735103</v>
      </c>
      <c r="AJ53" s="859">
        <v>6</v>
      </c>
      <c r="AK53" s="583">
        <v>0</v>
      </c>
      <c r="AL53" s="971">
        <f t="shared" si="20"/>
        <v>2700</v>
      </c>
      <c r="AM53" s="971">
        <f t="shared" si="6"/>
        <v>47616</v>
      </c>
      <c r="AN53" s="858">
        <f t="shared" si="7"/>
        <v>-5.3660863343668042E-2</v>
      </c>
      <c r="AO53" s="857">
        <f t="shared" si="8"/>
        <v>1.9046400000000001</v>
      </c>
      <c r="AP53" s="973">
        <f t="shared" si="9"/>
        <v>0</v>
      </c>
      <c r="AQ53" s="855">
        <f t="shared" si="10"/>
        <v>0</v>
      </c>
      <c r="AR53" s="974">
        <f t="shared" si="23"/>
        <v>0.18904632094918505</v>
      </c>
      <c r="AS53" s="975"/>
      <c r="AT53" s="976"/>
      <c r="AU53" s="971"/>
      <c r="AV53" s="976"/>
      <c r="AW53" s="970"/>
      <c r="AX53" s="971"/>
      <c r="AY53" s="971"/>
      <c r="AZ53" s="977"/>
      <c r="BA53" s="972"/>
      <c r="BB53" s="971"/>
      <c r="BC53" s="973"/>
      <c r="BD53" s="973"/>
      <c r="BE53" s="855"/>
      <c r="BF53" s="975"/>
      <c r="BG53" s="975"/>
      <c r="BH53" s="971"/>
      <c r="BI53" s="970"/>
      <c r="BJ53" s="971"/>
      <c r="BK53" s="971"/>
      <c r="BL53" s="977"/>
      <c r="BM53" s="972"/>
      <c r="BN53" s="971"/>
      <c r="BO53" s="973"/>
      <c r="BP53" s="973"/>
      <c r="BQ53" s="855"/>
      <c r="BR53" s="975"/>
      <c r="BS53" s="975"/>
      <c r="BT53" s="978"/>
      <c r="BU53" s="978"/>
      <c r="BV53" s="978">
        <v>0.18441507450050784</v>
      </c>
      <c r="BW53" s="978">
        <f t="shared" si="12"/>
        <v>0.18904632094918505</v>
      </c>
    </row>
    <row r="54" spans="1:75" hidden="1">
      <c r="A54" s="979">
        <v>2606</v>
      </c>
      <c r="B54" s="979" t="s">
        <v>307</v>
      </c>
      <c r="C54" s="980" t="s">
        <v>829</v>
      </c>
      <c r="D54" s="980" t="s">
        <v>8</v>
      </c>
      <c r="E54" s="955"/>
      <c r="F54" s="955"/>
      <c r="G54" s="955" t="str">
        <f>IFERROR(VLOOKUP(D54,[3]전용!E:J,6,0),"")</f>
        <v/>
      </c>
      <c r="H54" s="854">
        <v>25000</v>
      </c>
      <c r="I54" s="955">
        <v>7</v>
      </c>
      <c r="J54" s="955" t="s">
        <v>288</v>
      </c>
      <c r="K54" s="955">
        <v>6</v>
      </c>
      <c r="L54" s="970">
        <v>499</v>
      </c>
      <c r="M54" s="971">
        <f t="shared" si="0"/>
        <v>41916</v>
      </c>
      <c r="N54" s="855">
        <v>0.21846153846153843</v>
      </c>
      <c r="O54" s="855"/>
      <c r="P54" s="970">
        <v>499</v>
      </c>
      <c r="Q54" s="970">
        <f t="shared" si="1"/>
        <v>0</v>
      </c>
      <c r="R54" s="971">
        <f t="shared" si="24"/>
        <v>41916</v>
      </c>
      <c r="S54" s="856">
        <f t="shared" si="13"/>
        <v>0.21409642114958588</v>
      </c>
      <c r="T54" s="976">
        <v>149</v>
      </c>
      <c r="U54" s="972">
        <v>6</v>
      </c>
      <c r="V54" s="583">
        <v>0</v>
      </c>
      <c r="W54" s="971">
        <f t="shared" si="3"/>
        <v>2100</v>
      </c>
      <c r="X54" s="971">
        <f t="shared" si="14"/>
        <v>39816</v>
      </c>
      <c r="Y54" s="858">
        <f t="shared" si="15"/>
        <v>-5.0100200400801653E-2</v>
      </c>
      <c r="Z54" s="857">
        <f t="shared" si="16"/>
        <v>1.5926400000000001</v>
      </c>
      <c r="AA54" s="856">
        <v>0.18904632094918505</v>
      </c>
      <c r="AB54" s="856">
        <v>3.964770572964596E-2</v>
      </c>
      <c r="AC54" s="970">
        <f t="shared" si="4"/>
        <v>499</v>
      </c>
      <c r="AD54" s="970"/>
      <c r="AE54" s="970">
        <f t="shared" si="22"/>
        <v>0</v>
      </c>
      <c r="AF54" s="971">
        <f t="shared" si="18"/>
        <v>41916</v>
      </c>
      <c r="AG54" s="857">
        <f t="shared" si="19"/>
        <v>0</v>
      </c>
      <c r="AH54" s="576">
        <v>149</v>
      </c>
      <c r="AI54" s="856">
        <f t="shared" si="21"/>
        <v>0.16399622074878423</v>
      </c>
      <c r="AJ54" s="859">
        <v>6</v>
      </c>
      <c r="AK54" s="583">
        <v>0</v>
      </c>
      <c r="AL54" s="971">
        <f t="shared" si="20"/>
        <v>2100</v>
      </c>
      <c r="AM54" s="971">
        <f t="shared" si="6"/>
        <v>39816</v>
      </c>
      <c r="AN54" s="858">
        <f t="shared" si="7"/>
        <v>-5.0100200400801653E-2</v>
      </c>
      <c r="AO54" s="857">
        <f t="shared" si="8"/>
        <v>1.5926400000000001</v>
      </c>
      <c r="AP54" s="973">
        <f t="shared" si="9"/>
        <v>0</v>
      </c>
      <c r="AQ54" s="855">
        <f t="shared" si="10"/>
        <v>0</v>
      </c>
      <c r="AR54" s="974">
        <f t="shared" si="23"/>
        <v>0.18904632094918505</v>
      </c>
      <c r="AS54" s="975"/>
      <c r="AT54" s="976"/>
      <c r="AU54" s="971"/>
      <c r="AV54" s="976"/>
      <c r="AW54" s="970"/>
      <c r="AX54" s="971"/>
      <c r="AY54" s="971"/>
      <c r="AZ54" s="977"/>
      <c r="BA54" s="972"/>
      <c r="BB54" s="971"/>
      <c r="BC54" s="973"/>
      <c r="BD54" s="973"/>
      <c r="BE54" s="855"/>
      <c r="BF54" s="975"/>
      <c r="BG54" s="975"/>
      <c r="BH54" s="971"/>
      <c r="BI54" s="970"/>
      <c r="BJ54" s="971"/>
      <c r="BK54" s="971"/>
      <c r="BL54" s="977"/>
      <c r="BM54" s="972"/>
      <c r="BN54" s="971"/>
      <c r="BO54" s="973"/>
      <c r="BP54" s="973"/>
      <c r="BQ54" s="855"/>
      <c r="BR54" s="975"/>
      <c r="BS54" s="975"/>
      <c r="BT54" s="978"/>
      <c r="BU54" s="978"/>
      <c r="BV54" s="978">
        <v>0.18441507450050784</v>
      </c>
      <c r="BW54" s="978">
        <f t="shared" si="12"/>
        <v>0.18904632094918505</v>
      </c>
    </row>
    <row r="55" spans="1:75" hidden="1">
      <c r="A55" s="968">
        <v>2606</v>
      </c>
      <c r="B55" s="968" t="s">
        <v>307</v>
      </c>
      <c r="C55" s="969" t="s">
        <v>829</v>
      </c>
      <c r="D55" s="969" t="s">
        <v>12</v>
      </c>
      <c r="E55" s="955"/>
      <c r="F55" s="955"/>
      <c r="G55" s="955" t="str">
        <f>IFERROR(VLOOKUP(D55,[3]전용!E:J,6,0),"")</f>
        <v/>
      </c>
      <c r="H55" s="854">
        <v>25000</v>
      </c>
      <c r="I55" s="955">
        <v>5</v>
      </c>
      <c r="J55" s="955" t="s">
        <v>286</v>
      </c>
      <c r="K55" s="955">
        <v>6</v>
      </c>
      <c r="L55" s="970">
        <v>799</v>
      </c>
      <c r="M55" s="971">
        <f t="shared" si="0"/>
        <v>47940</v>
      </c>
      <c r="N55" s="855">
        <v>0.23555555555555557</v>
      </c>
      <c r="O55" s="855"/>
      <c r="P55" s="970">
        <v>799</v>
      </c>
      <c r="Q55" s="970">
        <f t="shared" si="1"/>
        <v>0</v>
      </c>
      <c r="R55" s="971">
        <f t="shared" si="24"/>
        <v>47940</v>
      </c>
      <c r="S55" s="856">
        <f t="shared" si="13"/>
        <v>0.23459265332835624</v>
      </c>
      <c r="T55" s="976">
        <v>149</v>
      </c>
      <c r="U55" s="972">
        <v>6</v>
      </c>
      <c r="V55" s="583">
        <v>0</v>
      </c>
      <c r="W55" s="971">
        <f t="shared" si="3"/>
        <v>3900</v>
      </c>
      <c r="X55" s="971">
        <f t="shared" si="14"/>
        <v>44040</v>
      </c>
      <c r="Y55" s="858">
        <f t="shared" si="15"/>
        <v>-8.1351689612014999E-2</v>
      </c>
      <c r="Z55" s="857">
        <f t="shared" si="16"/>
        <v>1.7616000000000001</v>
      </c>
      <c r="AA55" s="856">
        <v>0.19391680852234874</v>
      </c>
      <c r="AB55" s="856">
        <v>2.816361795370206E-2</v>
      </c>
      <c r="AC55" s="970">
        <f t="shared" si="4"/>
        <v>799</v>
      </c>
      <c r="AD55" s="970"/>
      <c r="AE55" s="970">
        <f t="shared" si="22"/>
        <v>0</v>
      </c>
      <c r="AF55" s="971">
        <f t="shared" si="18"/>
        <v>47940</v>
      </c>
      <c r="AG55" s="857">
        <f t="shared" si="19"/>
        <v>0</v>
      </c>
      <c r="AH55" s="576">
        <v>149</v>
      </c>
      <c r="AI55" s="856">
        <f t="shared" si="21"/>
        <v>0.15324096371634124</v>
      </c>
      <c r="AJ55" s="859">
        <v>6</v>
      </c>
      <c r="AK55" s="583">
        <v>0</v>
      </c>
      <c r="AL55" s="971">
        <f t="shared" si="20"/>
        <v>3900</v>
      </c>
      <c r="AM55" s="971">
        <f t="shared" si="6"/>
        <v>44040</v>
      </c>
      <c r="AN55" s="858">
        <f t="shared" si="7"/>
        <v>-8.1351689612014999E-2</v>
      </c>
      <c r="AO55" s="857">
        <f t="shared" si="8"/>
        <v>1.7616000000000001</v>
      </c>
      <c r="AP55" s="973">
        <f t="shared" si="9"/>
        <v>0</v>
      </c>
      <c r="AQ55" s="855">
        <f t="shared" si="10"/>
        <v>0</v>
      </c>
      <c r="AR55" s="974">
        <f t="shared" si="23"/>
        <v>0.19391680852234874</v>
      </c>
      <c r="AS55" s="975"/>
      <c r="AT55" s="976"/>
      <c r="AU55" s="971"/>
      <c r="AV55" s="976"/>
      <c r="AW55" s="970"/>
      <c r="AX55" s="971"/>
      <c r="AY55" s="971"/>
      <c r="AZ55" s="977"/>
      <c r="BA55" s="972"/>
      <c r="BB55" s="971"/>
      <c r="BC55" s="973"/>
      <c r="BD55" s="973"/>
      <c r="BE55" s="855"/>
      <c r="BF55" s="975"/>
      <c r="BG55" s="975"/>
      <c r="BH55" s="971"/>
      <c r="BI55" s="970"/>
      <c r="BJ55" s="971"/>
      <c r="BK55" s="971"/>
      <c r="BL55" s="977"/>
      <c r="BM55" s="972"/>
      <c r="BN55" s="971"/>
      <c r="BO55" s="973"/>
      <c r="BP55" s="973"/>
      <c r="BQ55" s="855"/>
      <c r="BR55" s="975"/>
      <c r="BS55" s="975"/>
      <c r="BT55" s="978"/>
      <c r="BU55" s="978"/>
      <c r="BV55" s="978">
        <v>0.19275189673910581</v>
      </c>
      <c r="BW55" s="978">
        <f t="shared" si="12"/>
        <v>0.15591680852234874</v>
      </c>
    </row>
    <row r="56" spans="1:75" hidden="1">
      <c r="A56" s="968">
        <v>2606</v>
      </c>
      <c r="B56" s="968" t="s">
        <v>307</v>
      </c>
      <c r="C56" s="969" t="s">
        <v>829</v>
      </c>
      <c r="D56" s="969" t="s">
        <v>12</v>
      </c>
      <c r="E56" s="955"/>
      <c r="F56" s="955"/>
      <c r="G56" s="955" t="str">
        <f>IFERROR(VLOOKUP(D56,[3]전용!E:J,6,0),"")</f>
        <v/>
      </c>
      <c r="H56" s="854">
        <v>25000</v>
      </c>
      <c r="I56" s="955">
        <v>5</v>
      </c>
      <c r="J56" s="955" t="s">
        <v>288</v>
      </c>
      <c r="K56" s="955">
        <v>6</v>
      </c>
      <c r="L56" s="970">
        <v>699</v>
      </c>
      <c r="M56" s="971">
        <f t="shared" si="0"/>
        <v>41940</v>
      </c>
      <c r="N56" s="855">
        <v>0.23555555555555557</v>
      </c>
      <c r="O56" s="855"/>
      <c r="P56" s="970">
        <v>699</v>
      </c>
      <c r="Q56" s="970">
        <f t="shared" si="1"/>
        <v>0</v>
      </c>
      <c r="R56" s="971">
        <f t="shared" si="24"/>
        <v>41940</v>
      </c>
      <c r="S56" s="856">
        <f t="shared" si="13"/>
        <v>0.23325872554666918</v>
      </c>
      <c r="T56" s="976">
        <v>149</v>
      </c>
      <c r="U56" s="972">
        <v>6</v>
      </c>
      <c r="V56" s="583">
        <v>0</v>
      </c>
      <c r="W56" s="971">
        <f t="shared" si="3"/>
        <v>3300</v>
      </c>
      <c r="X56" s="971">
        <f t="shared" si="14"/>
        <v>38640</v>
      </c>
      <c r="Y56" s="858">
        <f t="shared" si="15"/>
        <v>-7.8683834048640877E-2</v>
      </c>
      <c r="Z56" s="857">
        <f t="shared" si="16"/>
        <v>1.5456000000000001</v>
      </c>
      <c r="AA56" s="856">
        <v>0.19391680852234874</v>
      </c>
      <c r="AB56" s="856">
        <v>2.816361795370206E-2</v>
      </c>
      <c r="AC56" s="970">
        <f t="shared" si="4"/>
        <v>699</v>
      </c>
      <c r="AD56" s="970"/>
      <c r="AE56" s="970">
        <f t="shared" si="22"/>
        <v>0</v>
      </c>
      <c r="AF56" s="971">
        <f t="shared" si="18"/>
        <v>41940</v>
      </c>
      <c r="AG56" s="857">
        <f t="shared" si="19"/>
        <v>0</v>
      </c>
      <c r="AH56" s="576">
        <v>149</v>
      </c>
      <c r="AI56" s="856">
        <f t="shared" si="21"/>
        <v>0.15457489149802831</v>
      </c>
      <c r="AJ56" s="859">
        <v>6</v>
      </c>
      <c r="AK56" s="583">
        <v>0</v>
      </c>
      <c r="AL56" s="971">
        <f t="shared" si="20"/>
        <v>3300</v>
      </c>
      <c r="AM56" s="971">
        <f t="shared" si="6"/>
        <v>38640</v>
      </c>
      <c r="AN56" s="858">
        <f t="shared" si="7"/>
        <v>-7.8683834048640877E-2</v>
      </c>
      <c r="AO56" s="857">
        <f t="shared" si="8"/>
        <v>1.5456000000000001</v>
      </c>
      <c r="AP56" s="973">
        <f t="shared" si="9"/>
        <v>0</v>
      </c>
      <c r="AQ56" s="855">
        <f t="shared" si="10"/>
        <v>0</v>
      </c>
      <c r="AR56" s="974">
        <f t="shared" si="23"/>
        <v>0.19391680852234874</v>
      </c>
      <c r="AS56" s="975"/>
      <c r="AT56" s="976"/>
      <c r="AU56" s="971"/>
      <c r="AV56" s="976"/>
      <c r="AW56" s="970"/>
      <c r="AX56" s="971"/>
      <c r="AY56" s="971"/>
      <c r="AZ56" s="977"/>
      <c r="BA56" s="972"/>
      <c r="BB56" s="971"/>
      <c r="BC56" s="973"/>
      <c r="BD56" s="973"/>
      <c r="BE56" s="855"/>
      <c r="BF56" s="975"/>
      <c r="BG56" s="975"/>
      <c r="BH56" s="971"/>
      <c r="BI56" s="970"/>
      <c r="BJ56" s="971"/>
      <c r="BK56" s="971"/>
      <c r="BL56" s="977"/>
      <c r="BM56" s="972"/>
      <c r="BN56" s="971"/>
      <c r="BO56" s="973"/>
      <c r="BP56" s="973"/>
      <c r="BQ56" s="855"/>
      <c r="BR56" s="975"/>
      <c r="BS56" s="975"/>
      <c r="BT56" s="978"/>
      <c r="BU56" s="978"/>
      <c r="BV56" s="978">
        <v>0.19275189673910581</v>
      </c>
      <c r="BW56" s="978">
        <f t="shared" si="12"/>
        <v>0.15591680852234874</v>
      </c>
    </row>
    <row r="57" spans="1:75" hidden="1">
      <c r="A57" s="968">
        <v>2606</v>
      </c>
      <c r="B57" s="968" t="s">
        <v>307</v>
      </c>
      <c r="C57" s="969" t="s">
        <v>829</v>
      </c>
      <c r="D57" s="969" t="s">
        <v>12</v>
      </c>
      <c r="E57" s="955"/>
      <c r="F57" s="955"/>
      <c r="G57" s="955" t="str">
        <f>IFERROR(VLOOKUP(D57,[3]전용!E:J,6,0),"")</f>
        <v/>
      </c>
      <c r="H57" s="854">
        <v>25000</v>
      </c>
      <c r="I57" s="955">
        <v>7</v>
      </c>
      <c r="J57" s="955" t="s">
        <v>286</v>
      </c>
      <c r="K57" s="955">
        <v>6</v>
      </c>
      <c r="L57" s="970">
        <v>599</v>
      </c>
      <c r="M57" s="971">
        <f t="shared" si="0"/>
        <v>50316</v>
      </c>
      <c r="N57" s="855">
        <v>0.21846153846153843</v>
      </c>
      <c r="O57" s="855"/>
      <c r="P57" s="970">
        <v>599</v>
      </c>
      <c r="Q57" s="970">
        <f t="shared" si="1"/>
        <v>0</v>
      </c>
      <c r="R57" s="971">
        <f t="shared" si="24"/>
        <v>50316</v>
      </c>
      <c r="S57" s="856">
        <f t="shared" si="13"/>
        <v>0.22074724019418276</v>
      </c>
      <c r="T57" s="976">
        <v>149</v>
      </c>
      <c r="U57" s="972">
        <v>6</v>
      </c>
      <c r="V57" s="583">
        <v>0</v>
      </c>
      <c r="W57" s="971">
        <f t="shared" si="3"/>
        <v>2700</v>
      </c>
      <c r="X57" s="971">
        <f t="shared" si="14"/>
        <v>47616</v>
      </c>
      <c r="Y57" s="858">
        <f t="shared" si="15"/>
        <v>-5.3660863343668042E-2</v>
      </c>
      <c r="Z57" s="857">
        <f t="shared" si="16"/>
        <v>1.9046400000000001</v>
      </c>
      <c r="AA57" s="856">
        <v>0.19391680852234874</v>
      </c>
      <c r="AB57" s="856">
        <v>2.816361795370206E-2</v>
      </c>
      <c r="AC57" s="970">
        <f t="shared" si="4"/>
        <v>599</v>
      </c>
      <c r="AD57" s="970"/>
      <c r="AE57" s="970">
        <f t="shared" si="22"/>
        <v>0</v>
      </c>
      <c r="AF57" s="971">
        <f t="shared" si="18"/>
        <v>50316</v>
      </c>
      <c r="AG57" s="857">
        <f t="shared" si="19"/>
        <v>0</v>
      </c>
      <c r="AH57" s="576">
        <v>149</v>
      </c>
      <c r="AI57" s="856">
        <f t="shared" si="21"/>
        <v>0.16708637685051472</v>
      </c>
      <c r="AJ57" s="859">
        <v>6</v>
      </c>
      <c r="AK57" s="583">
        <v>0</v>
      </c>
      <c r="AL57" s="971">
        <f t="shared" si="20"/>
        <v>2700</v>
      </c>
      <c r="AM57" s="971">
        <f t="shared" si="6"/>
        <v>47616</v>
      </c>
      <c r="AN57" s="858">
        <f t="shared" si="7"/>
        <v>-5.3660863343668042E-2</v>
      </c>
      <c r="AO57" s="857">
        <f t="shared" si="8"/>
        <v>1.9046400000000001</v>
      </c>
      <c r="AP57" s="973">
        <f t="shared" si="9"/>
        <v>0</v>
      </c>
      <c r="AQ57" s="855">
        <f t="shared" si="10"/>
        <v>0</v>
      </c>
      <c r="AR57" s="974">
        <f t="shared" si="23"/>
        <v>0.19391680852234874</v>
      </c>
      <c r="AS57" s="975"/>
      <c r="AT57" s="976"/>
      <c r="AU57" s="971"/>
      <c r="AV57" s="976"/>
      <c r="AW57" s="970"/>
      <c r="AX57" s="971"/>
      <c r="AY57" s="971"/>
      <c r="AZ57" s="977"/>
      <c r="BA57" s="972"/>
      <c r="BB57" s="971"/>
      <c r="BC57" s="973"/>
      <c r="BD57" s="973"/>
      <c r="BE57" s="855"/>
      <c r="BF57" s="975"/>
      <c r="BG57" s="975"/>
      <c r="BH57" s="971"/>
      <c r="BI57" s="970"/>
      <c r="BJ57" s="971"/>
      <c r="BK57" s="971"/>
      <c r="BL57" s="977"/>
      <c r="BM57" s="972"/>
      <c r="BN57" s="971"/>
      <c r="BO57" s="973"/>
      <c r="BP57" s="973"/>
      <c r="BQ57" s="855"/>
      <c r="BR57" s="975"/>
      <c r="BS57" s="975"/>
      <c r="BT57" s="978"/>
      <c r="BU57" s="978"/>
      <c r="BV57" s="978">
        <v>0.19275189673910581</v>
      </c>
      <c r="BW57" s="978">
        <f t="shared" si="12"/>
        <v>0.15591680852234874</v>
      </c>
    </row>
    <row r="58" spans="1:75" hidden="1">
      <c r="A58" s="979">
        <v>2606</v>
      </c>
      <c r="B58" s="979" t="s">
        <v>307</v>
      </c>
      <c r="C58" s="980" t="s">
        <v>829</v>
      </c>
      <c r="D58" s="980" t="s">
        <v>12</v>
      </c>
      <c r="E58" s="955"/>
      <c r="F58" s="955"/>
      <c r="G58" s="955" t="str">
        <f>IFERROR(VLOOKUP(D58,[3]전용!E:J,6,0),"")</f>
        <v/>
      </c>
      <c r="H58" s="854">
        <v>25000</v>
      </c>
      <c r="I58" s="955">
        <v>7</v>
      </c>
      <c r="J58" s="955" t="s">
        <v>288</v>
      </c>
      <c r="K58" s="955">
        <v>6</v>
      </c>
      <c r="L58" s="970">
        <v>499</v>
      </c>
      <c r="M58" s="971">
        <f t="shared" si="0"/>
        <v>41916</v>
      </c>
      <c r="N58" s="855">
        <v>0.21846153846153843</v>
      </c>
      <c r="O58" s="855"/>
      <c r="P58" s="970">
        <v>499</v>
      </c>
      <c r="Q58" s="970">
        <f t="shared" si="1"/>
        <v>0</v>
      </c>
      <c r="R58" s="971">
        <f t="shared" si="24"/>
        <v>41916</v>
      </c>
      <c r="S58" s="856">
        <f t="shared" si="13"/>
        <v>0.21896690872274957</v>
      </c>
      <c r="T58" s="976">
        <v>149</v>
      </c>
      <c r="U58" s="972">
        <v>6</v>
      </c>
      <c r="V58" s="583">
        <v>0</v>
      </c>
      <c r="W58" s="971">
        <f t="shared" si="3"/>
        <v>2100</v>
      </c>
      <c r="X58" s="971">
        <f t="shared" si="14"/>
        <v>39816</v>
      </c>
      <c r="Y58" s="858">
        <f t="shared" si="15"/>
        <v>-5.0100200400801653E-2</v>
      </c>
      <c r="Z58" s="857">
        <f t="shared" si="16"/>
        <v>1.5926400000000001</v>
      </c>
      <c r="AA58" s="856">
        <v>0.19391680852234874</v>
      </c>
      <c r="AB58" s="856">
        <v>2.816361795370206E-2</v>
      </c>
      <c r="AC58" s="970">
        <f t="shared" si="4"/>
        <v>499</v>
      </c>
      <c r="AD58" s="970"/>
      <c r="AE58" s="970">
        <f t="shared" si="22"/>
        <v>0</v>
      </c>
      <c r="AF58" s="971">
        <f t="shared" si="18"/>
        <v>41916</v>
      </c>
      <c r="AG58" s="857">
        <f t="shared" si="19"/>
        <v>0</v>
      </c>
      <c r="AH58" s="576">
        <v>149</v>
      </c>
      <c r="AI58" s="856">
        <f t="shared" si="21"/>
        <v>0.16886670832194792</v>
      </c>
      <c r="AJ58" s="859">
        <v>6</v>
      </c>
      <c r="AK58" s="583">
        <v>0</v>
      </c>
      <c r="AL58" s="971">
        <f t="shared" si="20"/>
        <v>2100</v>
      </c>
      <c r="AM58" s="971">
        <f t="shared" si="6"/>
        <v>39816</v>
      </c>
      <c r="AN58" s="858">
        <f t="shared" si="7"/>
        <v>-5.0100200400801653E-2</v>
      </c>
      <c r="AO58" s="857">
        <f t="shared" si="8"/>
        <v>1.5926400000000001</v>
      </c>
      <c r="AP58" s="973">
        <f t="shared" si="9"/>
        <v>0</v>
      </c>
      <c r="AQ58" s="855">
        <f t="shared" si="10"/>
        <v>0</v>
      </c>
      <c r="AR58" s="974">
        <f t="shared" si="23"/>
        <v>0.19391680852234874</v>
      </c>
      <c r="AS58" s="975"/>
      <c r="AT58" s="976"/>
      <c r="AU58" s="971"/>
      <c r="AV58" s="976"/>
      <c r="AW58" s="970"/>
      <c r="AX58" s="971"/>
      <c r="AY58" s="971"/>
      <c r="AZ58" s="977"/>
      <c r="BA58" s="972"/>
      <c r="BB58" s="971"/>
      <c r="BC58" s="973"/>
      <c r="BD58" s="973"/>
      <c r="BE58" s="855"/>
      <c r="BF58" s="975"/>
      <c r="BG58" s="975"/>
      <c r="BH58" s="971"/>
      <c r="BI58" s="970"/>
      <c r="BJ58" s="971"/>
      <c r="BK58" s="971"/>
      <c r="BL58" s="977"/>
      <c r="BM58" s="972"/>
      <c r="BN58" s="971"/>
      <c r="BO58" s="973"/>
      <c r="BP58" s="973"/>
      <c r="BQ58" s="855"/>
      <c r="BR58" s="975"/>
      <c r="BS58" s="975"/>
      <c r="BT58" s="978"/>
      <c r="BU58" s="978"/>
      <c r="BV58" s="978">
        <v>0.19275189673910581</v>
      </c>
      <c r="BW58" s="978">
        <f t="shared" si="12"/>
        <v>0.15591680852234874</v>
      </c>
    </row>
    <row r="59" spans="1:75" hidden="1">
      <c r="A59" s="968">
        <v>2606</v>
      </c>
      <c r="B59" s="968" t="s">
        <v>307</v>
      </c>
      <c r="C59" s="969" t="s">
        <v>829</v>
      </c>
      <c r="D59" s="969" t="s">
        <v>10</v>
      </c>
      <c r="E59" s="955"/>
      <c r="F59" s="955"/>
      <c r="G59" s="955" t="str">
        <f>IFERROR(VLOOKUP(D59,[3]전용!E:J,6,0),"")</f>
        <v/>
      </c>
      <c r="H59" s="854">
        <v>25000</v>
      </c>
      <c r="I59" s="955">
        <v>5</v>
      </c>
      <c r="J59" s="955" t="s">
        <v>286</v>
      </c>
      <c r="K59" s="955">
        <v>6</v>
      </c>
      <c r="L59" s="970">
        <v>799</v>
      </c>
      <c r="M59" s="971">
        <f t="shared" si="0"/>
        <v>47940</v>
      </c>
      <c r="N59" s="855">
        <v>0.24025603688348773</v>
      </c>
      <c r="O59" s="855"/>
      <c r="P59" s="970">
        <v>799</v>
      </c>
      <c r="Q59" s="970">
        <f t="shared" si="1"/>
        <v>0</v>
      </c>
      <c r="R59" s="576">
        <f>(P59*((I59*12)-V59))</f>
        <v>47940</v>
      </c>
      <c r="S59" s="856">
        <f t="shared" si="13"/>
        <v>0.2455105125207345</v>
      </c>
      <c r="T59" s="580">
        <v>149</v>
      </c>
      <c r="U59" s="583">
        <v>6</v>
      </c>
      <c r="V59" s="583">
        <v>0</v>
      </c>
      <c r="W59" s="971">
        <f t="shared" si="3"/>
        <v>3900</v>
      </c>
      <c r="X59" s="971">
        <f t="shared" si="14"/>
        <v>44040</v>
      </c>
      <c r="Y59" s="858">
        <f t="shared" si="15"/>
        <v>-8.1351689612014999E-2</v>
      </c>
      <c r="Z59" s="857">
        <f t="shared" si="16"/>
        <v>1.7616000000000001</v>
      </c>
      <c r="AA59" s="856">
        <v>0.204834667714727</v>
      </c>
      <c r="AB59" s="856">
        <v>2.0504603085045637E-2</v>
      </c>
      <c r="AC59" s="970">
        <f t="shared" si="4"/>
        <v>799</v>
      </c>
      <c r="AD59" s="970"/>
      <c r="AE59" s="970">
        <f t="shared" si="22"/>
        <v>0</v>
      </c>
      <c r="AF59" s="971">
        <f t="shared" si="18"/>
        <v>47940</v>
      </c>
      <c r="AG59" s="857">
        <f t="shared" si="19"/>
        <v>0</v>
      </c>
      <c r="AH59" s="576">
        <v>149</v>
      </c>
      <c r="AI59" s="856">
        <f t="shared" si="21"/>
        <v>0.1641588229087195</v>
      </c>
      <c r="AJ59" s="859">
        <v>6</v>
      </c>
      <c r="AK59" s="583">
        <v>0</v>
      </c>
      <c r="AL59" s="971">
        <f t="shared" si="20"/>
        <v>3900</v>
      </c>
      <c r="AM59" s="971">
        <f t="shared" si="6"/>
        <v>44040</v>
      </c>
      <c r="AN59" s="858">
        <f t="shared" si="7"/>
        <v>-8.1351689612014999E-2</v>
      </c>
      <c r="AO59" s="857">
        <f t="shared" si="8"/>
        <v>1.7616000000000001</v>
      </c>
      <c r="AP59" s="973">
        <f t="shared" si="9"/>
        <v>0</v>
      </c>
      <c r="AQ59" s="855">
        <f t="shared" si="10"/>
        <v>0</v>
      </c>
      <c r="AR59" s="974">
        <f t="shared" si="23"/>
        <v>0.204834667714727</v>
      </c>
      <c r="AS59" s="975"/>
      <c r="AT59" s="976"/>
      <c r="AU59" s="971"/>
      <c r="AV59" s="976"/>
      <c r="AW59" s="970"/>
      <c r="AX59" s="971"/>
      <c r="AY59" s="971"/>
      <c r="AZ59" s="977"/>
      <c r="BA59" s="972"/>
      <c r="BB59" s="971"/>
      <c r="BC59" s="973"/>
      <c r="BD59" s="973"/>
      <c r="BE59" s="855"/>
      <c r="BF59" s="975"/>
      <c r="BG59" s="975"/>
      <c r="BH59" s="971"/>
      <c r="BI59" s="970"/>
      <c r="BJ59" s="971"/>
      <c r="BK59" s="971"/>
      <c r="BL59" s="977"/>
      <c r="BM59" s="972"/>
      <c r="BN59" s="971"/>
      <c r="BO59" s="973"/>
      <c r="BP59" s="973"/>
      <c r="BQ59" s="855"/>
      <c r="BR59" s="975"/>
      <c r="BS59" s="975"/>
      <c r="BT59" s="978"/>
      <c r="BU59" s="978"/>
      <c r="BV59" s="978">
        <v>0.20461795548313733</v>
      </c>
      <c r="BW59" s="978">
        <f t="shared" si="12"/>
        <v>0.16683466771472699</v>
      </c>
    </row>
    <row r="60" spans="1:75" hidden="1">
      <c r="A60" s="968">
        <v>2606</v>
      </c>
      <c r="B60" s="968" t="s">
        <v>307</v>
      </c>
      <c r="C60" s="969" t="s">
        <v>829</v>
      </c>
      <c r="D60" s="969" t="s">
        <v>10</v>
      </c>
      <c r="E60" s="955"/>
      <c r="F60" s="955"/>
      <c r="G60" s="955" t="str">
        <f>IFERROR(VLOOKUP(D60,[3]전용!E:J,6,0),"")</f>
        <v/>
      </c>
      <c r="H60" s="854">
        <v>25000</v>
      </c>
      <c r="I60" s="955">
        <v>5</v>
      </c>
      <c r="J60" s="955" t="s">
        <v>288</v>
      </c>
      <c r="K60" s="955">
        <v>6</v>
      </c>
      <c r="L60" s="970">
        <v>699</v>
      </c>
      <c r="M60" s="971">
        <f t="shared" si="0"/>
        <v>41940</v>
      </c>
      <c r="N60" s="855">
        <v>0.24025603688348773</v>
      </c>
      <c r="O60" s="855"/>
      <c r="P60" s="970">
        <v>699</v>
      </c>
      <c r="Q60" s="970">
        <f t="shared" si="1"/>
        <v>0</v>
      </c>
      <c r="R60" s="971">
        <f>P60*LEFT(I60,1)*12</f>
        <v>41940</v>
      </c>
      <c r="S60" s="856">
        <f t="shared" si="13"/>
        <v>0.24417658473904744</v>
      </c>
      <c r="T60" s="976">
        <v>149</v>
      </c>
      <c r="U60" s="972">
        <v>6</v>
      </c>
      <c r="V60" s="583">
        <v>0</v>
      </c>
      <c r="W60" s="971">
        <f t="shared" si="3"/>
        <v>3300</v>
      </c>
      <c r="X60" s="971">
        <f t="shared" si="14"/>
        <v>38640</v>
      </c>
      <c r="Y60" s="858">
        <f t="shared" si="15"/>
        <v>-7.8683834048640877E-2</v>
      </c>
      <c r="Z60" s="857">
        <f t="shared" si="16"/>
        <v>1.5456000000000001</v>
      </c>
      <c r="AA60" s="856">
        <v>0.204834667714727</v>
      </c>
      <c r="AB60" s="856">
        <v>2.0504603085045637E-2</v>
      </c>
      <c r="AC60" s="970">
        <f t="shared" si="4"/>
        <v>699</v>
      </c>
      <c r="AD60" s="970"/>
      <c r="AE60" s="970">
        <f t="shared" si="22"/>
        <v>0</v>
      </c>
      <c r="AF60" s="971">
        <f t="shared" si="18"/>
        <v>41940</v>
      </c>
      <c r="AG60" s="857">
        <f t="shared" si="19"/>
        <v>0</v>
      </c>
      <c r="AH60" s="576">
        <v>149</v>
      </c>
      <c r="AI60" s="856">
        <f t="shared" si="21"/>
        <v>0.16549275069040656</v>
      </c>
      <c r="AJ60" s="859">
        <v>6</v>
      </c>
      <c r="AK60" s="583">
        <v>0</v>
      </c>
      <c r="AL60" s="971">
        <f t="shared" si="20"/>
        <v>3300</v>
      </c>
      <c r="AM60" s="971">
        <f t="shared" si="6"/>
        <v>38640</v>
      </c>
      <c r="AN60" s="858">
        <f t="shared" si="7"/>
        <v>-7.8683834048640877E-2</v>
      </c>
      <c r="AO60" s="857">
        <f t="shared" si="8"/>
        <v>1.5456000000000001</v>
      </c>
      <c r="AP60" s="973">
        <f t="shared" si="9"/>
        <v>0</v>
      </c>
      <c r="AQ60" s="855">
        <f t="shared" si="10"/>
        <v>0</v>
      </c>
      <c r="AR60" s="974">
        <f t="shared" si="23"/>
        <v>0.204834667714727</v>
      </c>
      <c r="AS60" s="975"/>
      <c r="AT60" s="976"/>
      <c r="AU60" s="971"/>
      <c r="AV60" s="976"/>
      <c r="AW60" s="970"/>
      <c r="AX60" s="971"/>
      <c r="AY60" s="971"/>
      <c r="AZ60" s="977"/>
      <c r="BA60" s="972"/>
      <c r="BB60" s="971"/>
      <c r="BC60" s="973"/>
      <c r="BD60" s="973"/>
      <c r="BE60" s="855"/>
      <c r="BF60" s="975"/>
      <c r="BG60" s="975"/>
      <c r="BH60" s="971"/>
      <c r="BI60" s="970"/>
      <c r="BJ60" s="971"/>
      <c r="BK60" s="971"/>
      <c r="BL60" s="977"/>
      <c r="BM60" s="972"/>
      <c r="BN60" s="971"/>
      <c r="BO60" s="973"/>
      <c r="BP60" s="973"/>
      <c r="BQ60" s="855"/>
      <c r="BR60" s="975"/>
      <c r="BS60" s="975"/>
      <c r="BT60" s="978"/>
      <c r="BU60" s="978"/>
      <c r="BV60" s="978">
        <v>0.20461795548313733</v>
      </c>
      <c r="BW60" s="978">
        <f t="shared" si="12"/>
        <v>0.16683466771472699</v>
      </c>
    </row>
    <row r="61" spans="1:75" hidden="1">
      <c r="A61" s="968">
        <v>2606</v>
      </c>
      <c r="B61" s="968" t="s">
        <v>307</v>
      </c>
      <c r="C61" s="969" t="s">
        <v>829</v>
      </c>
      <c r="D61" s="969" t="s">
        <v>10</v>
      </c>
      <c r="E61" s="955"/>
      <c r="F61" s="955"/>
      <c r="G61" s="955" t="str">
        <f>IFERROR(VLOOKUP(D61,[3]전용!E:J,6,0),"")</f>
        <v/>
      </c>
      <c r="H61" s="854">
        <v>25000</v>
      </c>
      <c r="I61" s="955">
        <v>7</v>
      </c>
      <c r="J61" s="955" t="s">
        <v>286</v>
      </c>
      <c r="K61" s="955">
        <v>6</v>
      </c>
      <c r="L61" s="970">
        <v>599</v>
      </c>
      <c r="M61" s="971">
        <f t="shared" si="0"/>
        <v>50316</v>
      </c>
      <c r="N61" s="855">
        <v>0.22316201978947059</v>
      </c>
      <c r="O61" s="855"/>
      <c r="P61" s="970">
        <v>599</v>
      </c>
      <c r="Q61" s="970">
        <f t="shared" si="1"/>
        <v>0</v>
      </c>
      <c r="R61" s="971">
        <f>P61*LEFT(I61,1)*12</f>
        <v>50316</v>
      </c>
      <c r="S61" s="856">
        <f t="shared" si="13"/>
        <v>0.23166509938656102</v>
      </c>
      <c r="T61" s="976">
        <v>149</v>
      </c>
      <c r="U61" s="972">
        <v>6</v>
      </c>
      <c r="V61" s="583">
        <v>0</v>
      </c>
      <c r="W61" s="971">
        <f t="shared" si="3"/>
        <v>2700</v>
      </c>
      <c r="X61" s="971">
        <f t="shared" si="14"/>
        <v>47616</v>
      </c>
      <c r="Y61" s="858">
        <f t="shared" si="15"/>
        <v>-5.3660863343668042E-2</v>
      </c>
      <c r="Z61" s="857">
        <f t="shared" si="16"/>
        <v>1.9046400000000001</v>
      </c>
      <c r="AA61" s="856">
        <v>0.204834667714727</v>
      </c>
      <c r="AB61" s="856">
        <v>2.0504603085045637E-2</v>
      </c>
      <c r="AC61" s="970">
        <f t="shared" si="4"/>
        <v>599</v>
      </c>
      <c r="AD61" s="970"/>
      <c r="AE61" s="970">
        <f t="shared" si="22"/>
        <v>0</v>
      </c>
      <c r="AF61" s="971">
        <f t="shared" si="18"/>
        <v>50316</v>
      </c>
      <c r="AG61" s="857">
        <f t="shared" si="19"/>
        <v>0</v>
      </c>
      <c r="AH61" s="576">
        <v>149</v>
      </c>
      <c r="AI61" s="856">
        <f t="shared" si="21"/>
        <v>0.17800423604289298</v>
      </c>
      <c r="AJ61" s="859">
        <v>6</v>
      </c>
      <c r="AK61" s="583">
        <v>0</v>
      </c>
      <c r="AL61" s="971">
        <f t="shared" si="20"/>
        <v>2700</v>
      </c>
      <c r="AM61" s="971">
        <f t="shared" si="6"/>
        <v>47616</v>
      </c>
      <c r="AN61" s="858">
        <f t="shared" si="7"/>
        <v>-5.3660863343668042E-2</v>
      </c>
      <c r="AO61" s="857">
        <f t="shared" si="8"/>
        <v>1.9046400000000001</v>
      </c>
      <c r="AP61" s="973">
        <f t="shared" si="9"/>
        <v>0</v>
      </c>
      <c r="AQ61" s="855">
        <f t="shared" si="10"/>
        <v>0</v>
      </c>
      <c r="AR61" s="974">
        <f t="shared" si="23"/>
        <v>0.204834667714727</v>
      </c>
      <c r="AS61" s="975"/>
      <c r="AT61" s="976"/>
      <c r="AU61" s="971"/>
      <c r="AV61" s="976"/>
      <c r="AW61" s="970"/>
      <c r="AX61" s="971"/>
      <c r="AY61" s="971"/>
      <c r="AZ61" s="977"/>
      <c r="BA61" s="972"/>
      <c r="BB61" s="971"/>
      <c r="BC61" s="973"/>
      <c r="BD61" s="973"/>
      <c r="BE61" s="855"/>
      <c r="BF61" s="975"/>
      <c r="BG61" s="975"/>
      <c r="BH61" s="971"/>
      <c r="BI61" s="970"/>
      <c r="BJ61" s="971"/>
      <c r="BK61" s="971"/>
      <c r="BL61" s="977"/>
      <c r="BM61" s="972"/>
      <c r="BN61" s="971"/>
      <c r="BO61" s="973"/>
      <c r="BP61" s="973"/>
      <c r="BQ61" s="855"/>
      <c r="BR61" s="975"/>
      <c r="BS61" s="975"/>
      <c r="BT61" s="978"/>
      <c r="BU61" s="978"/>
      <c r="BV61" s="978">
        <v>0.20461795548313733</v>
      </c>
      <c r="BW61" s="978">
        <f t="shared" si="12"/>
        <v>0.16683466771472699</v>
      </c>
    </row>
    <row r="62" spans="1:75" hidden="1">
      <c r="A62" s="979">
        <v>2606</v>
      </c>
      <c r="B62" s="979" t="s">
        <v>307</v>
      </c>
      <c r="C62" s="980" t="s">
        <v>829</v>
      </c>
      <c r="D62" s="980" t="s">
        <v>10</v>
      </c>
      <c r="E62" s="955"/>
      <c r="F62" s="955"/>
      <c r="G62" s="955" t="str">
        <f>IFERROR(VLOOKUP(D62,[3]전용!E:J,6,0),"")</f>
        <v/>
      </c>
      <c r="H62" s="854">
        <v>25000</v>
      </c>
      <c r="I62" s="955">
        <v>7</v>
      </c>
      <c r="J62" s="955" t="s">
        <v>288</v>
      </c>
      <c r="K62" s="955">
        <v>6</v>
      </c>
      <c r="L62" s="970">
        <v>499</v>
      </c>
      <c r="M62" s="971">
        <f t="shared" si="0"/>
        <v>41916</v>
      </c>
      <c r="N62" s="855">
        <v>0.22316201978947059</v>
      </c>
      <c r="O62" s="855"/>
      <c r="P62" s="970">
        <v>499</v>
      </c>
      <c r="Q62" s="970">
        <f t="shared" si="1"/>
        <v>0</v>
      </c>
      <c r="R62" s="971">
        <f>P62*LEFT(I62,1)*12</f>
        <v>41916</v>
      </c>
      <c r="S62" s="856">
        <f t="shared" si="13"/>
        <v>0.22988476791512782</v>
      </c>
      <c r="T62" s="976">
        <v>149</v>
      </c>
      <c r="U62" s="972">
        <v>6</v>
      </c>
      <c r="V62" s="583">
        <v>0</v>
      </c>
      <c r="W62" s="971">
        <f t="shared" si="3"/>
        <v>2100</v>
      </c>
      <c r="X62" s="971">
        <f t="shared" si="14"/>
        <v>39816</v>
      </c>
      <c r="Y62" s="858">
        <f t="shared" si="15"/>
        <v>-5.0100200400801653E-2</v>
      </c>
      <c r="Z62" s="857">
        <f t="shared" si="16"/>
        <v>1.5926400000000001</v>
      </c>
      <c r="AA62" s="856">
        <v>0.204834667714727</v>
      </c>
      <c r="AB62" s="856">
        <v>2.0504603085045637E-2</v>
      </c>
      <c r="AC62" s="970">
        <f t="shared" si="4"/>
        <v>499</v>
      </c>
      <c r="AD62" s="970"/>
      <c r="AE62" s="970">
        <f t="shared" si="22"/>
        <v>0</v>
      </c>
      <c r="AF62" s="971">
        <f t="shared" si="18"/>
        <v>41916</v>
      </c>
      <c r="AG62" s="857">
        <f t="shared" si="19"/>
        <v>0</v>
      </c>
      <c r="AH62" s="576">
        <v>149</v>
      </c>
      <c r="AI62" s="856">
        <f t="shared" si="21"/>
        <v>0.17978456751432617</v>
      </c>
      <c r="AJ62" s="859">
        <v>6</v>
      </c>
      <c r="AK62" s="583">
        <v>0</v>
      </c>
      <c r="AL62" s="971">
        <f t="shared" si="20"/>
        <v>2100</v>
      </c>
      <c r="AM62" s="971">
        <f t="shared" si="6"/>
        <v>39816</v>
      </c>
      <c r="AN62" s="858">
        <f t="shared" si="7"/>
        <v>-5.0100200400801653E-2</v>
      </c>
      <c r="AO62" s="857">
        <f t="shared" si="8"/>
        <v>1.5926400000000001</v>
      </c>
      <c r="AP62" s="973">
        <f t="shared" si="9"/>
        <v>0</v>
      </c>
      <c r="AQ62" s="855">
        <f t="shared" si="10"/>
        <v>0</v>
      </c>
      <c r="AR62" s="974">
        <f t="shared" si="23"/>
        <v>0.204834667714727</v>
      </c>
      <c r="AS62" s="975"/>
      <c r="AT62" s="976"/>
      <c r="AU62" s="971"/>
      <c r="AV62" s="976"/>
      <c r="AW62" s="970"/>
      <c r="AX62" s="971"/>
      <c r="AY62" s="971"/>
      <c r="AZ62" s="977"/>
      <c r="BA62" s="972"/>
      <c r="BB62" s="971"/>
      <c r="BC62" s="973"/>
      <c r="BD62" s="973"/>
      <c r="BE62" s="855"/>
      <c r="BF62" s="975"/>
      <c r="BG62" s="975"/>
      <c r="BH62" s="971"/>
      <c r="BI62" s="970"/>
      <c r="BJ62" s="971"/>
      <c r="BK62" s="971"/>
      <c r="BL62" s="977"/>
      <c r="BM62" s="972"/>
      <c r="BN62" s="971"/>
      <c r="BO62" s="973"/>
      <c r="BP62" s="973"/>
      <c r="BQ62" s="855"/>
      <c r="BR62" s="975"/>
      <c r="BS62" s="975"/>
      <c r="BT62" s="978"/>
      <c r="BU62" s="978"/>
      <c r="BV62" s="978">
        <v>0.20461795548313733</v>
      </c>
      <c r="BW62" s="978">
        <f t="shared" si="12"/>
        <v>0.16683466771472699</v>
      </c>
    </row>
    <row r="63" spans="1:75" hidden="1">
      <c r="A63" s="968">
        <v>2606</v>
      </c>
      <c r="B63" s="968" t="s">
        <v>307</v>
      </c>
      <c r="C63" s="969" t="s">
        <v>829</v>
      </c>
      <c r="D63" s="969" t="s">
        <v>388</v>
      </c>
      <c r="E63" s="955"/>
      <c r="F63" s="955"/>
      <c r="G63" s="955" t="str">
        <f>IFERROR(VLOOKUP(D63,[3]전용!E:J,6,0),"")</f>
        <v/>
      </c>
      <c r="H63" s="854">
        <v>25000</v>
      </c>
      <c r="I63" s="955">
        <v>5</v>
      </c>
      <c r="J63" s="955" t="s">
        <v>286</v>
      </c>
      <c r="K63" s="955">
        <v>3</v>
      </c>
      <c r="L63" s="970">
        <v>1049</v>
      </c>
      <c r="M63" s="971">
        <f t="shared" si="0"/>
        <v>62940</v>
      </c>
      <c r="N63" s="855">
        <v>0.15555555555555559</v>
      </c>
      <c r="O63" s="855"/>
      <c r="P63" s="970">
        <v>1049</v>
      </c>
      <c r="Q63" s="970">
        <f t="shared" si="1"/>
        <v>0</v>
      </c>
      <c r="R63" s="576">
        <f>(P63*((I63*12)-V63))</f>
        <v>62940</v>
      </c>
      <c r="S63" s="856">
        <f t="shared" si="13"/>
        <v>2.1888313804518514E-2</v>
      </c>
      <c r="T63" s="580">
        <v>149</v>
      </c>
      <c r="U63" s="583">
        <v>6</v>
      </c>
      <c r="V63" s="583">
        <v>0</v>
      </c>
      <c r="W63" s="971">
        <f t="shared" si="3"/>
        <v>5400</v>
      </c>
      <c r="X63" s="971">
        <f t="shared" si="14"/>
        <v>57540</v>
      </c>
      <c r="Y63" s="858">
        <f t="shared" si="15"/>
        <v>-8.5795996186844636E-2</v>
      </c>
      <c r="Z63" s="857">
        <f t="shared" si="16"/>
        <v>2.3016000000000001</v>
      </c>
      <c r="AA63" s="856">
        <v>-2.1009684288903804E-2</v>
      </c>
      <c r="AB63" s="856">
        <v>0.12452945012960558</v>
      </c>
      <c r="AC63" s="970">
        <f t="shared" si="4"/>
        <v>1099</v>
      </c>
      <c r="AD63" s="970">
        <v>50</v>
      </c>
      <c r="AE63" s="970">
        <f t="shared" si="22"/>
        <v>104.9</v>
      </c>
      <c r="AF63" s="971">
        <f t="shared" si="18"/>
        <v>65940</v>
      </c>
      <c r="AG63" s="857">
        <f t="shared" si="19"/>
        <v>4.7664442326024847E-2</v>
      </c>
      <c r="AH63" s="576">
        <v>149</v>
      </c>
      <c r="AI63" s="856">
        <f t="shared" si="21"/>
        <v>-3.1384079060527613E-2</v>
      </c>
      <c r="AJ63" s="859">
        <v>6</v>
      </c>
      <c r="AK63" s="583">
        <v>0</v>
      </c>
      <c r="AL63" s="971">
        <f t="shared" si="20"/>
        <v>5700</v>
      </c>
      <c r="AM63" s="971">
        <f t="shared" si="6"/>
        <v>60240</v>
      </c>
      <c r="AN63" s="858">
        <f t="shared" si="7"/>
        <v>-8.6442220200181996E-2</v>
      </c>
      <c r="AO63" s="857">
        <f t="shared" si="8"/>
        <v>2.4096000000000002</v>
      </c>
      <c r="AP63" s="973">
        <f t="shared" si="9"/>
        <v>2700</v>
      </c>
      <c r="AQ63" s="855">
        <f t="shared" si="10"/>
        <v>4.6923879040667416E-2</v>
      </c>
      <c r="AR63" s="974">
        <f>IFERROR(AA63+AQ63*0.7,"")</f>
        <v>1.1837031039563385E-2</v>
      </c>
      <c r="AS63" s="975" t="s">
        <v>835</v>
      </c>
      <c r="AT63" s="976"/>
      <c r="AU63" s="971"/>
      <c r="AV63" s="976"/>
      <c r="AW63" s="970"/>
      <c r="AX63" s="971"/>
      <c r="AY63" s="971"/>
      <c r="AZ63" s="977"/>
      <c r="BA63" s="972"/>
      <c r="BB63" s="971"/>
      <c r="BC63" s="973"/>
      <c r="BD63" s="973"/>
      <c r="BE63" s="855"/>
      <c r="BF63" s="975"/>
      <c r="BG63" s="975"/>
      <c r="BH63" s="971"/>
      <c r="BI63" s="970"/>
      <c r="BJ63" s="971"/>
      <c r="BK63" s="971"/>
      <c r="BL63" s="977"/>
      <c r="BM63" s="972"/>
      <c r="BN63" s="971"/>
      <c r="BO63" s="973"/>
      <c r="BP63" s="973"/>
      <c r="BQ63" s="855"/>
      <c r="BR63" s="975"/>
      <c r="BS63" s="975"/>
      <c r="BT63" s="978"/>
      <c r="BU63" s="978"/>
      <c r="BV63" s="978">
        <v>0.10100000000000001</v>
      </c>
      <c r="BW63" s="978">
        <f t="shared" si="12"/>
        <v>-2.1009684288903804E-2</v>
      </c>
    </row>
    <row r="64" spans="1:75" hidden="1">
      <c r="A64" s="979">
        <v>2606</v>
      </c>
      <c r="B64" s="979" t="s">
        <v>307</v>
      </c>
      <c r="C64" s="980" t="s">
        <v>829</v>
      </c>
      <c r="D64" s="980" t="s">
        <v>388</v>
      </c>
      <c r="E64" s="955"/>
      <c r="F64" s="955"/>
      <c r="G64" s="955" t="str">
        <f>IFERROR(VLOOKUP(D64,[3]전용!E:J,6,0),"")</f>
        <v/>
      </c>
      <c r="H64" s="854">
        <v>25000</v>
      </c>
      <c r="I64" s="955">
        <v>7</v>
      </c>
      <c r="J64" s="955" t="s">
        <v>286</v>
      </c>
      <c r="K64" s="955">
        <v>3</v>
      </c>
      <c r="L64" s="970">
        <v>849</v>
      </c>
      <c r="M64" s="971">
        <f t="shared" si="0"/>
        <v>71316</v>
      </c>
      <c r="N64" s="855">
        <v>0.13846153846153844</v>
      </c>
      <c r="O64" s="855"/>
      <c r="P64" s="970">
        <v>849</v>
      </c>
      <c r="Q64" s="970">
        <f t="shared" si="1"/>
        <v>0</v>
      </c>
      <c r="R64" s="971">
        <f t="shared" ref="R64:R127" si="25">P64*LEFT(I64,1)*12</f>
        <v>71316</v>
      </c>
      <c r="S64" s="856">
        <f t="shared" si="13"/>
        <v>8.4367232493765126E-3</v>
      </c>
      <c r="T64" s="976">
        <v>149</v>
      </c>
      <c r="U64" s="972">
        <v>6</v>
      </c>
      <c r="V64" s="583">
        <v>0</v>
      </c>
      <c r="W64" s="971">
        <f t="shared" si="3"/>
        <v>4200</v>
      </c>
      <c r="X64" s="971">
        <f t="shared" si="14"/>
        <v>67116</v>
      </c>
      <c r="Y64" s="858">
        <f t="shared" si="15"/>
        <v>-5.8892815076560634E-2</v>
      </c>
      <c r="Z64" s="857">
        <f t="shared" si="16"/>
        <v>2.6846399999999999</v>
      </c>
      <c r="AA64" s="856">
        <v>-2.1009684288903804E-2</v>
      </c>
      <c r="AB64" s="856">
        <v>0.12452945012960558</v>
      </c>
      <c r="AC64" s="970">
        <f t="shared" si="4"/>
        <v>899</v>
      </c>
      <c r="AD64" s="970">
        <v>50</v>
      </c>
      <c r="AE64" s="970">
        <f t="shared" si="22"/>
        <v>84.9</v>
      </c>
      <c r="AF64" s="971">
        <f t="shared" si="18"/>
        <v>75516</v>
      </c>
      <c r="AG64" s="857">
        <f t="shared" si="19"/>
        <v>5.8892815076560634E-2</v>
      </c>
      <c r="AH64" s="576">
        <v>149</v>
      </c>
      <c r="AI64" s="856">
        <f t="shared" si="21"/>
        <v>-2.175051975640678E-2</v>
      </c>
      <c r="AJ64" s="859">
        <v>6</v>
      </c>
      <c r="AK64" s="583">
        <v>0</v>
      </c>
      <c r="AL64" s="971">
        <f t="shared" si="20"/>
        <v>4500</v>
      </c>
      <c r="AM64" s="971">
        <f t="shared" si="6"/>
        <v>71016</v>
      </c>
      <c r="AN64" s="858">
        <f t="shared" si="7"/>
        <v>-5.9590020657873777E-2</v>
      </c>
      <c r="AO64" s="857">
        <f t="shared" si="8"/>
        <v>2.8406400000000001</v>
      </c>
      <c r="AP64" s="973">
        <f t="shared" si="9"/>
        <v>3900</v>
      </c>
      <c r="AQ64" s="855">
        <f t="shared" si="10"/>
        <v>5.8108349722867825E-2</v>
      </c>
      <c r="AR64" s="974">
        <f t="shared" si="23"/>
        <v>8.044490572530108E-3</v>
      </c>
      <c r="AS64" s="975" t="s">
        <v>835</v>
      </c>
      <c r="AT64" s="976"/>
      <c r="AU64" s="971"/>
      <c r="AV64" s="976"/>
      <c r="AW64" s="970"/>
      <c r="AX64" s="971"/>
      <c r="AY64" s="971"/>
      <c r="AZ64" s="977"/>
      <c r="BA64" s="972"/>
      <c r="BB64" s="971"/>
      <c r="BC64" s="973"/>
      <c r="BD64" s="973"/>
      <c r="BE64" s="855"/>
      <c r="BF64" s="975"/>
      <c r="BG64" s="975"/>
      <c r="BH64" s="971"/>
      <c r="BI64" s="970"/>
      <c r="BJ64" s="971"/>
      <c r="BK64" s="971"/>
      <c r="BL64" s="977"/>
      <c r="BM64" s="972"/>
      <c r="BN64" s="971"/>
      <c r="BO64" s="973"/>
      <c r="BP64" s="973"/>
      <c r="BQ64" s="855"/>
      <c r="BR64" s="975"/>
      <c r="BS64" s="975"/>
      <c r="BT64" s="978"/>
      <c r="BU64" s="978"/>
      <c r="BV64" s="978">
        <v>0.10100000000000001</v>
      </c>
      <c r="BW64" s="978">
        <f t="shared" si="12"/>
        <v>-2.1009684288903804E-2</v>
      </c>
    </row>
    <row r="65" spans="1:75" hidden="1">
      <c r="A65" s="968">
        <v>2606</v>
      </c>
      <c r="B65" s="968" t="s">
        <v>211</v>
      </c>
      <c r="C65" s="969" t="s">
        <v>829</v>
      </c>
      <c r="D65" s="969" t="s">
        <v>910</v>
      </c>
      <c r="E65" s="955" t="s">
        <v>389</v>
      </c>
      <c r="F65" s="955"/>
      <c r="G65" s="955" t="str">
        <f>IFERROR(VLOOKUP(D65,[3]전용!E:J,6,0),"")</f>
        <v/>
      </c>
      <c r="H65" s="854">
        <v>99900</v>
      </c>
      <c r="I65" s="955">
        <v>5</v>
      </c>
      <c r="J65" s="955" t="s">
        <v>286</v>
      </c>
      <c r="K65" s="955">
        <v>12</v>
      </c>
      <c r="L65" s="970">
        <v>2399</v>
      </c>
      <c r="M65" s="971">
        <f t="shared" si="0"/>
        <v>143940</v>
      </c>
      <c r="N65" s="855">
        <v>0.28999999999999998</v>
      </c>
      <c r="O65" s="855"/>
      <c r="P65" s="970">
        <v>2399</v>
      </c>
      <c r="Q65" s="970">
        <f t="shared" si="1"/>
        <v>0</v>
      </c>
      <c r="R65" s="971">
        <f t="shared" si="25"/>
        <v>143940</v>
      </c>
      <c r="S65" s="856">
        <f t="shared" si="13"/>
        <v>0.24837652899215476</v>
      </c>
      <c r="T65" s="971"/>
      <c r="U65" s="971"/>
      <c r="V65" s="976">
        <v>6</v>
      </c>
      <c r="W65" s="971">
        <f t="shared" si="3"/>
        <v>7197</v>
      </c>
      <c r="X65" s="971">
        <f t="shared" si="14"/>
        <v>136743</v>
      </c>
      <c r="Y65" s="858">
        <f t="shared" si="15"/>
        <v>-5.0000000000000044E-2</v>
      </c>
      <c r="Z65" s="857">
        <f t="shared" si="16"/>
        <v>1.3687987987987988</v>
      </c>
      <c r="AA65" s="856">
        <v>0.22337652899215474</v>
      </c>
      <c r="AB65" s="856">
        <v>1.8560851101306162E-3</v>
      </c>
      <c r="AC65" s="970">
        <f t="shared" si="4"/>
        <v>2399</v>
      </c>
      <c r="AD65" s="970"/>
      <c r="AE65" s="970">
        <f t="shared" si="22"/>
        <v>0</v>
      </c>
      <c r="AF65" s="971">
        <f t="shared" si="18"/>
        <v>143940</v>
      </c>
      <c r="AG65" s="857">
        <f t="shared" si="19"/>
        <v>0</v>
      </c>
      <c r="AH65" s="576">
        <v>0</v>
      </c>
      <c r="AI65" s="856">
        <f t="shared" si="21"/>
        <v>0.19837652899215472</v>
      </c>
      <c r="AJ65" s="859">
        <v>0</v>
      </c>
      <c r="AK65" s="583">
        <v>6</v>
      </c>
      <c r="AL65" s="971">
        <f t="shared" si="20"/>
        <v>7197</v>
      </c>
      <c r="AM65" s="971">
        <f t="shared" si="6"/>
        <v>136743</v>
      </c>
      <c r="AN65" s="858">
        <f t="shared" si="7"/>
        <v>-5.0000000000000044E-2</v>
      </c>
      <c r="AO65" s="857">
        <f t="shared" si="8"/>
        <v>1.3687987987987988</v>
      </c>
      <c r="AP65" s="973">
        <f t="shared" si="9"/>
        <v>0</v>
      </c>
      <c r="AQ65" s="855">
        <f t="shared" si="10"/>
        <v>0</v>
      </c>
      <c r="AR65" s="974">
        <f t="shared" si="23"/>
        <v>0.22337652899215474</v>
      </c>
      <c r="AS65" s="975"/>
      <c r="AT65" s="976"/>
      <c r="AU65" s="971"/>
      <c r="AV65" s="976"/>
      <c r="AW65" s="970"/>
      <c r="AX65" s="971"/>
      <c r="AY65" s="971"/>
      <c r="AZ65" s="977"/>
      <c r="BA65" s="972"/>
      <c r="BB65" s="971"/>
      <c r="BC65" s="973"/>
      <c r="BD65" s="973"/>
      <c r="BE65" s="855"/>
      <c r="BF65" s="975"/>
      <c r="BG65" s="975"/>
      <c r="BH65" s="971"/>
      <c r="BI65" s="970"/>
      <c r="BJ65" s="971"/>
      <c r="BK65" s="971"/>
      <c r="BL65" s="977"/>
      <c r="BM65" s="972"/>
      <c r="BN65" s="971"/>
      <c r="BO65" s="973"/>
      <c r="BP65" s="973"/>
      <c r="BQ65" s="855"/>
      <c r="BR65" s="975"/>
      <c r="BS65" s="975"/>
      <c r="BT65" s="978"/>
      <c r="BU65" s="978"/>
      <c r="BV65" s="978">
        <v>0.22337652899215474</v>
      </c>
      <c r="BW65" s="978">
        <f t="shared" si="12"/>
        <v>0.18537652899215473</v>
      </c>
    </row>
    <row r="66" spans="1:75" hidden="1">
      <c r="A66" s="968">
        <v>2606</v>
      </c>
      <c r="B66" s="968" t="s">
        <v>211</v>
      </c>
      <c r="C66" s="969" t="s">
        <v>829</v>
      </c>
      <c r="D66" s="969" t="s">
        <v>443</v>
      </c>
      <c r="E66" s="955" t="s">
        <v>389</v>
      </c>
      <c r="F66" s="955"/>
      <c r="G66" s="955" t="str">
        <f>IFERROR(VLOOKUP(D66,[3]전용!E:J,6,0),"")</f>
        <v/>
      </c>
      <c r="H66" s="854">
        <v>99900</v>
      </c>
      <c r="I66" s="955">
        <v>5</v>
      </c>
      <c r="J66" s="955" t="s">
        <v>288</v>
      </c>
      <c r="K66" s="955">
        <v>12</v>
      </c>
      <c r="L66" s="970">
        <v>2199</v>
      </c>
      <c r="M66" s="971">
        <f t="shared" si="0"/>
        <v>131940</v>
      </c>
      <c r="N66" s="855">
        <v>0.28000000000000003</v>
      </c>
      <c r="O66" s="855"/>
      <c r="P66" s="970">
        <v>2199</v>
      </c>
      <c r="Q66" s="970">
        <f t="shared" si="1"/>
        <v>0</v>
      </c>
      <c r="R66" s="971">
        <f t="shared" si="25"/>
        <v>131940</v>
      </c>
      <c r="S66" s="856">
        <f t="shared" si="13"/>
        <v>0.24837652899215476</v>
      </c>
      <c r="T66" s="971"/>
      <c r="U66" s="971"/>
      <c r="V66" s="976">
        <v>6</v>
      </c>
      <c r="W66" s="971">
        <f t="shared" si="3"/>
        <v>6597</v>
      </c>
      <c r="X66" s="971">
        <f t="shared" si="14"/>
        <v>125343</v>
      </c>
      <c r="Y66" s="858">
        <f t="shared" si="15"/>
        <v>-5.0000000000000044E-2</v>
      </c>
      <c r="Z66" s="857">
        <f t="shared" si="16"/>
        <v>1.2546846846846846</v>
      </c>
      <c r="AA66" s="856">
        <v>0.22337652899215474</v>
      </c>
      <c r="AB66" s="856">
        <v>1.8560851101306162E-3</v>
      </c>
      <c r="AC66" s="970">
        <f t="shared" si="4"/>
        <v>2199</v>
      </c>
      <c r="AD66" s="970"/>
      <c r="AE66" s="970">
        <f t="shared" si="22"/>
        <v>0</v>
      </c>
      <c r="AF66" s="971">
        <f t="shared" si="18"/>
        <v>131940</v>
      </c>
      <c r="AG66" s="857">
        <f t="shared" si="19"/>
        <v>0</v>
      </c>
      <c r="AH66" s="576">
        <v>0</v>
      </c>
      <c r="AI66" s="856">
        <f t="shared" si="21"/>
        <v>0.19837652899215472</v>
      </c>
      <c r="AJ66" s="859">
        <v>0</v>
      </c>
      <c r="AK66" s="583">
        <v>6</v>
      </c>
      <c r="AL66" s="971">
        <f t="shared" si="20"/>
        <v>6597</v>
      </c>
      <c r="AM66" s="971">
        <f t="shared" si="6"/>
        <v>125343</v>
      </c>
      <c r="AN66" s="858">
        <f t="shared" si="7"/>
        <v>-5.0000000000000044E-2</v>
      </c>
      <c r="AO66" s="857">
        <f t="shared" si="8"/>
        <v>1.2546846846846846</v>
      </c>
      <c r="AP66" s="973">
        <f t="shared" si="9"/>
        <v>0</v>
      </c>
      <c r="AQ66" s="855">
        <f t="shared" si="10"/>
        <v>0</v>
      </c>
      <c r="AR66" s="974">
        <f t="shared" si="23"/>
        <v>0.22337652899215474</v>
      </c>
      <c r="AS66" s="975"/>
      <c r="AT66" s="976"/>
      <c r="AU66" s="971"/>
      <c r="AV66" s="976"/>
      <c r="AW66" s="970"/>
      <c r="AX66" s="971"/>
      <c r="AY66" s="971"/>
      <c r="AZ66" s="977"/>
      <c r="BA66" s="972"/>
      <c r="BB66" s="971"/>
      <c r="BC66" s="973"/>
      <c r="BD66" s="973"/>
      <c r="BE66" s="855"/>
      <c r="BF66" s="975"/>
      <c r="BG66" s="975"/>
      <c r="BH66" s="971"/>
      <c r="BI66" s="970"/>
      <c r="BJ66" s="971"/>
      <c r="BK66" s="971"/>
      <c r="BL66" s="977"/>
      <c r="BM66" s="972"/>
      <c r="BN66" s="971"/>
      <c r="BO66" s="973"/>
      <c r="BP66" s="973"/>
      <c r="BQ66" s="855"/>
      <c r="BR66" s="975"/>
      <c r="BS66" s="975"/>
      <c r="BT66" s="978"/>
      <c r="BU66" s="978"/>
      <c r="BV66" s="978">
        <v>0.22337652899215474</v>
      </c>
      <c r="BW66" s="978">
        <f t="shared" si="12"/>
        <v>0.18537652899215473</v>
      </c>
    </row>
    <row r="67" spans="1:75" hidden="1">
      <c r="A67" s="968">
        <v>2606</v>
      </c>
      <c r="B67" s="968" t="s">
        <v>211</v>
      </c>
      <c r="C67" s="969" t="s">
        <v>829</v>
      </c>
      <c r="D67" s="969" t="s">
        <v>443</v>
      </c>
      <c r="E67" s="955" t="s">
        <v>389</v>
      </c>
      <c r="F67" s="955"/>
      <c r="G67" s="955" t="str">
        <f>IFERROR(VLOOKUP(D67,[3]전용!E:J,6,0),"")</f>
        <v/>
      </c>
      <c r="H67" s="854">
        <v>99900</v>
      </c>
      <c r="I67" s="955">
        <v>6</v>
      </c>
      <c r="J67" s="955" t="s">
        <v>286</v>
      </c>
      <c r="K67" s="955">
        <v>12</v>
      </c>
      <c r="L67" s="970">
        <v>2199</v>
      </c>
      <c r="M67" s="971">
        <f t="shared" si="0"/>
        <v>158328</v>
      </c>
      <c r="N67" s="855">
        <v>0.33</v>
      </c>
      <c r="O67" s="855"/>
      <c r="P67" s="970">
        <v>2199</v>
      </c>
      <c r="Q67" s="970">
        <f t="shared" si="1"/>
        <v>0</v>
      </c>
      <c r="R67" s="971">
        <f t="shared" si="25"/>
        <v>158328</v>
      </c>
      <c r="S67" s="856">
        <f t="shared" si="13"/>
        <v>0.24420986232548805</v>
      </c>
      <c r="T67" s="971"/>
      <c r="U67" s="971"/>
      <c r="V67" s="976">
        <v>6</v>
      </c>
      <c r="W67" s="971">
        <f t="shared" si="3"/>
        <v>6597</v>
      </c>
      <c r="X67" s="971">
        <f t="shared" si="14"/>
        <v>151731</v>
      </c>
      <c r="Y67" s="858">
        <f t="shared" si="15"/>
        <v>-4.166666666666663E-2</v>
      </c>
      <c r="Z67" s="857">
        <f t="shared" si="16"/>
        <v>1.5188288288288287</v>
      </c>
      <c r="AA67" s="856">
        <v>0.22337652899215474</v>
      </c>
      <c r="AB67" s="856">
        <v>1.8560851101306162E-3</v>
      </c>
      <c r="AC67" s="970">
        <f t="shared" si="4"/>
        <v>2199</v>
      </c>
      <c r="AD67" s="970"/>
      <c r="AE67" s="970">
        <f t="shared" si="22"/>
        <v>0</v>
      </c>
      <c r="AF67" s="971">
        <f t="shared" si="18"/>
        <v>158328</v>
      </c>
      <c r="AG67" s="857">
        <f t="shared" si="19"/>
        <v>0</v>
      </c>
      <c r="AH67" s="576">
        <v>0</v>
      </c>
      <c r="AI67" s="856">
        <f t="shared" si="21"/>
        <v>0.20254319565882142</v>
      </c>
      <c r="AJ67" s="859">
        <v>0</v>
      </c>
      <c r="AK67" s="583">
        <v>6</v>
      </c>
      <c r="AL67" s="971">
        <f t="shared" si="20"/>
        <v>6597</v>
      </c>
      <c r="AM67" s="971">
        <f t="shared" si="6"/>
        <v>151731</v>
      </c>
      <c r="AN67" s="858">
        <f t="shared" si="7"/>
        <v>-4.166666666666663E-2</v>
      </c>
      <c r="AO67" s="857">
        <f t="shared" si="8"/>
        <v>1.5188288288288287</v>
      </c>
      <c r="AP67" s="973">
        <f t="shared" si="9"/>
        <v>0</v>
      </c>
      <c r="AQ67" s="855">
        <f t="shared" si="10"/>
        <v>0</v>
      </c>
      <c r="AR67" s="974">
        <f t="shared" si="23"/>
        <v>0.22337652899215474</v>
      </c>
      <c r="AS67" s="975"/>
      <c r="AT67" s="976"/>
      <c r="AU67" s="971"/>
      <c r="AV67" s="976"/>
      <c r="AW67" s="970"/>
      <c r="AX67" s="971"/>
      <c r="AY67" s="971"/>
      <c r="AZ67" s="977"/>
      <c r="BA67" s="972"/>
      <c r="BB67" s="971"/>
      <c r="BC67" s="973"/>
      <c r="BD67" s="973"/>
      <c r="BE67" s="855"/>
      <c r="BF67" s="975"/>
      <c r="BG67" s="975"/>
      <c r="BH67" s="971"/>
      <c r="BI67" s="970"/>
      <c r="BJ67" s="971"/>
      <c r="BK67" s="971"/>
      <c r="BL67" s="977"/>
      <c r="BM67" s="972"/>
      <c r="BN67" s="971"/>
      <c r="BO67" s="973"/>
      <c r="BP67" s="973"/>
      <c r="BQ67" s="855"/>
      <c r="BR67" s="975"/>
      <c r="BS67" s="975"/>
      <c r="BT67" s="978"/>
      <c r="BU67" s="978"/>
      <c r="BV67" s="978">
        <v>0.22337652899215474</v>
      </c>
      <c r="BW67" s="978">
        <f t="shared" si="12"/>
        <v>0.18537652899215473</v>
      </c>
    </row>
    <row r="68" spans="1:75" hidden="1">
      <c r="A68" s="979">
        <v>2606</v>
      </c>
      <c r="B68" s="979" t="s">
        <v>211</v>
      </c>
      <c r="C68" s="980" t="s">
        <v>829</v>
      </c>
      <c r="D68" s="980" t="s">
        <v>443</v>
      </c>
      <c r="E68" s="955" t="s">
        <v>389</v>
      </c>
      <c r="F68" s="955"/>
      <c r="G68" s="955" t="str">
        <f>IFERROR(VLOOKUP(D68,[3]전용!E:J,6,0),"")</f>
        <v/>
      </c>
      <c r="H68" s="854">
        <v>99900</v>
      </c>
      <c r="I68" s="955">
        <v>6</v>
      </c>
      <c r="J68" s="955" t="s">
        <v>288</v>
      </c>
      <c r="K68" s="955">
        <v>12</v>
      </c>
      <c r="L68" s="970">
        <v>1999</v>
      </c>
      <c r="M68" s="971">
        <f t="shared" ref="M68:M131" si="26">L68*LEFT(I68,1)*12</f>
        <v>143928</v>
      </c>
      <c r="N68" s="855">
        <v>0.33</v>
      </c>
      <c r="O68" s="855"/>
      <c r="P68" s="970">
        <v>1999</v>
      </c>
      <c r="Q68" s="970">
        <f t="shared" ref="Q68:Q131" si="27">L68-P68</f>
        <v>0</v>
      </c>
      <c r="R68" s="971">
        <f t="shared" si="25"/>
        <v>143928</v>
      </c>
      <c r="S68" s="856">
        <f t="shared" si="13"/>
        <v>0.24420986232548805</v>
      </c>
      <c r="T68" s="971"/>
      <c r="U68" s="971"/>
      <c r="V68" s="976">
        <v>6</v>
      </c>
      <c r="W68" s="971">
        <f t="shared" ref="W68:W131" si="28">(P68-T68)*U68+V68*P68*0.5</f>
        <v>5997</v>
      </c>
      <c r="X68" s="971">
        <f t="shared" si="14"/>
        <v>137931</v>
      </c>
      <c r="Y68" s="858">
        <f t="shared" si="15"/>
        <v>-4.166666666666663E-2</v>
      </c>
      <c r="Z68" s="857">
        <f t="shared" si="16"/>
        <v>1.3806906906906906</v>
      </c>
      <c r="AA68" s="856">
        <v>0.22337652899215474</v>
      </c>
      <c r="AB68" s="856">
        <v>1.8560851101306162E-3</v>
      </c>
      <c r="AC68" s="970">
        <f t="shared" ref="AC68:AC131" si="29">P68+AD68</f>
        <v>1999</v>
      </c>
      <c r="AD68" s="970"/>
      <c r="AE68" s="970">
        <f t="shared" si="22"/>
        <v>0</v>
      </c>
      <c r="AF68" s="971">
        <f t="shared" si="18"/>
        <v>143928</v>
      </c>
      <c r="AG68" s="857">
        <f t="shared" si="19"/>
        <v>0</v>
      </c>
      <c r="AH68" s="576">
        <v>0</v>
      </c>
      <c r="AI68" s="856">
        <f t="shared" si="21"/>
        <v>0.20254319565882142</v>
      </c>
      <c r="AJ68" s="859">
        <v>0</v>
      </c>
      <c r="AK68" s="583">
        <v>6</v>
      </c>
      <c r="AL68" s="971">
        <f t="shared" si="20"/>
        <v>5997</v>
      </c>
      <c r="AM68" s="971">
        <f t="shared" ref="AM68:AM131" si="30">AF68-AL68</f>
        <v>137931</v>
      </c>
      <c r="AN68" s="858">
        <f t="shared" ref="AN68:AN131" si="31">AM68/AF68-1</f>
        <v>-4.166666666666663E-2</v>
      </c>
      <c r="AO68" s="857">
        <f t="shared" ref="AO68:AO131" si="32">IFERROR(AM68/H68,"")</f>
        <v>1.3806906906906906</v>
      </c>
      <c r="AP68" s="973">
        <f t="shared" ref="AP68:AP131" si="33">AM68-X68</f>
        <v>0</v>
      </c>
      <c r="AQ68" s="855">
        <f t="shared" ref="AQ68:AQ131" si="34">AM68/X68-1</f>
        <v>0</v>
      </c>
      <c r="AR68" s="974">
        <f t="shared" si="23"/>
        <v>0.22337652899215474</v>
      </c>
      <c r="AS68" s="975"/>
      <c r="AT68" s="976"/>
      <c r="AU68" s="971"/>
      <c r="AV68" s="976"/>
      <c r="AW68" s="970"/>
      <c r="AX68" s="971"/>
      <c r="AY68" s="971"/>
      <c r="AZ68" s="977"/>
      <c r="BA68" s="972"/>
      <c r="BB68" s="971"/>
      <c r="BC68" s="973"/>
      <c r="BD68" s="973"/>
      <c r="BE68" s="855"/>
      <c r="BF68" s="975"/>
      <c r="BG68" s="975"/>
      <c r="BH68" s="971"/>
      <c r="BI68" s="970"/>
      <c r="BJ68" s="971"/>
      <c r="BK68" s="971"/>
      <c r="BL68" s="977"/>
      <c r="BM68" s="972"/>
      <c r="BN68" s="971"/>
      <c r="BO68" s="973"/>
      <c r="BP68" s="973"/>
      <c r="BQ68" s="855"/>
      <c r="BR68" s="975"/>
      <c r="BS68" s="975"/>
      <c r="BT68" s="978"/>
      <c r="BU68" s="978"/>
      <c r="BV68" s="978">
        <v>0.22337652899215474</v>
      </c>
      <c r="BW68" s="978">
        <f t="shared" ref="BW68:BW131" si="35">IF(AA68&gt;19%,AA68-3.8%,AA68)</f>
        <v>0.18537652899215473</v>
      </c>
    </row>
    <row r="69" spans="1:75" hidden="1">
      <c r="A69" s="968">
        <v>2606</v>
      </c>
      <c r="B69" s="968" t="s">
        <v>211</v>
      </c>
      <c r="C69" s="969" t="s">
        <v>829</v>
      </c>
      <c r="D69" s="969" t="s">
        <v>391</v>
      </c>
      <c r="E69" s="955"/>
      <c r="F69" s="955"/>
      <c r="G69" s="955" t="str">
        <f>IFERROR(VLOOKUP(D69,[3]전용!E:J,6,0),"")</f>
        <v/>
      </c>
      <c r="H69" s="854">
        <v>99900</v>
      </c>
      <c r="I69" s="955">
        <v>5</v>
      </c>
      <c r="J69" s="955" t="s">
        <v>286</v>
      </c>
      <c r="K69" s="955">
        <v>12</v>
      </c>
      <c r="L69" s="970">
        <v>2399</v>
      </c>
      <c r="M69" s="971">
        <f t="shared" si="26"/>
        <v>143940</v>
      </c>
      <c r="N69" s="855">
        <v>0.28999999999999998</v>
      </c>
      <c r="O69" s="855"/>
      <c r="P69" s="970">
        <v>2399</v>
      </c>
      <c r="Q69" s="970">
        <f t="shared" si="27"/>
        <v>0</v>
      </c>
      <c r="R69" s="971">
        <f t="shared" si="25"/>
        <v>143940</v>
      </c>
      <c r="S69" s="856">
        <f t="shared" ref="S69:S132" si="36">AA69-(Y69/2)</f>
        <v>0.26625740672687359</v>
      </c>
      <c r="T69" s="971"/>
      <c r="U69" s="971"/>
      <c r="V69" s="976">
        <v>6</v>
      </c>
      <c r="W69" s="971">
        <f t="shared" si="28"/>
        <v>7197</v>
      </c>
      <c r="X69" s="971">
        <f t="shared" ref="X69:X132" si="37">R69-W69</f>
        <v>136743</v>
      </c>
      <c r="Y69" s="858">
        <f t="shared" ref="Y69:Y132" si="38">X69/R69-1</f>
        <v>-5.0000000000000044E-2</v>
      </c>
      <c r="Z69" s="857">
        <f t="shared" ref="Z69:Z132" si="39">IFERROR(X69/H69,"")</f>
        <v>1.3687987987987988</v>
      </c>
      <c r="AA69" s="856">
        <v>0.24125740672687354</v>
      </c>
      <c r="AB69" s="856">
        <v>1.475377111677491E-3</v>
      </c>
      <c r="AC69" s="970">
        <f t="shared" si="29"/>
        <v>2399</v>
      </c>
      <c r="AD69" s="970"/>
      <c r="AE69" s="970">
        <f t="shared" si="22"/>
        <v>0</v>
      </c>
      <c r="AF69" s="971">
        <f t="shared" ref="AF69:AF132" si="40">AC69*LEFT(I69,1)*12</f>
        <v>143940</v>
      </c>
      <c r="AG69" s="857">
        <f t="shared" ref="AG69:AG132" si="41">AF69/R69-1</f>
        <v>0</v>
      </c>
      <c r="AH69" s="576">
        <v>0</v>
      </c>
      <c r="AI69" s="856">
        <f t="shared" si="21"/>
        <v>0.21625740672687352</v>
      </c>
      <c r="AJ69" s="859">
        <v>0</v>
      </c>
      <c r="AK69" s="583">
        <v>6</v>
      </c>
      <c r="AL69" s="971">
        <f t="shared" ref="AL69:AL132" si="42">(AC69-AH69)*AJ69+AK69*AC69*0.5</f>
        <v>7197</v>
      </c>
      <c r="AM69" s="971">
        <f t="shared" si="30"/>
        <v>136743</v>
      </c>
      <c r="AN69" s="858">
        <f t="shared" si="31"/>
        <v>-5.0000000000000044E-2</v>
      </c>
      <c r="AO69" s="857">
        <f t="shared" si="32"/>
        <v>1.3687987987987988</v>
      </c>
      <c r="AP69" s="973">
        <f t="shared" si="33"/>
        <v>0</v>
      </c>
      <c r="AQ69" s="855">
        <f t="shared" si="34"/>
        <v>0</v>
      </c>
      <c r="AR69" s="974">
        <f t="shared" si="23"/>
        <v>0.24125740672687354</v>
      </c>
      <c r="AS69" s="975"/>
      <c r="AT69" s="976"/>
      <c r="AU69" s="971"/>
      <c r="AV69" s="976"/>
      <c r="AW69" s="970"/>
      <c r="AX69" s="971"/>
      <c r="AY69" s="971"/>
      <c r="AZ69" s="977"/>
      <c r="BA69" s="972"/>
      <c r="BB69" s="971"/>
      <c r="BC69" s="973"/>
      <c r="BD69" s="973"/>
      <c r="BE69" s="855"/>
      <c r="BF69" s="975"/>
      <c r="BG69" s="975"/>
      <c r="BH69" s="971"/>
      <c r="BI69" s="970"/>
      <c r="BJ69" s="971"/>
      <c r="BK69" s="971"/>
      <c r="BL69" s="977"/>
      <c r="BM69" s="972"/>
      <c r="BN69" s="971"/>
      <c r="BO69" s="973"/>
      <c r="BP69" s="973"/>
      <c r="BQ69" s="855"/>
      <c r="BR69" s="975"/>
      <c r="BS69" s="975"/>
      <c r="BT69" s="978"/>
      <c r="BU69" s="978"/>
      <c r="BV69" s="978">
        <v>0.24125740672687357</v>
      </c>
      <c r="BW69" s="978">
        <f t="shared" si="35"/>
        <v>0.20325740672687354</v>
      </c>
    </row>
    <row r="70" spans="1:75" hidden="1">
      <c r="A70" s="968">
        <v>2606</v>
      </c>
      <c r="B70" s="968" t="s">
        <v>211</v>
      </c>
      <c r="C70" s="969" t="s">
        <v>829</v>
      </c>
      <c r="D70" s="969" t="s">
        <v>391</v>
      </c>
      <c r="E70" s="955"/>
      <c r="F70" s="955"/>
      <c r="G70" s="955" t="str">
        <f>IFERROR(VLOOKUP(D70,[3]전용!E:J,6,0),"")</f>
        <v/>
      </c>
      <c r="H70" s="854">
        <v>99900</v>
      </c>
      <c r="I70" s="955">
        <v>5</v>
      </c>
      <c r="J70" s="955" t="s">
        <v>288</v>
      </c>
      <c r="K70" s="955">
        <v>12</v>
      </c>
      <c r="L70" s="970">
        <v>2199</v>
      </c>
      <c r="M70" s="971">
        <f t="shared" si="26"/>
        <v>131940</v>
      </c>
      <c r="N70" s="855">
        <v>0.28000000000000003</v>
      </c>
      <c r="O70" s="855"/>
      <c r="P70" s="970">
        <v>2199</v>
      </c>
      <c r="Q70" s="970">
        <f t="shared" si="27"/>
        <v>0</v>
      </c>
      <c r="R70" s="971">
        <f t="shared" si="25"/>
        <v>131940</v>
      </c>
      <c r="S70" s="856">
        <f t="shared" si="36"/>
        <v>0.26625740672687359</v>
      </c>
      <c r="T70" s="971"/>
      <c r="U70" s="971"/>
      <c r="V70" s="976">
        <v>6</v>
      </c>
      <c r="W70" s="971">
        <f t="shared" si="28"/>
        <v>6597</v>
      </c>
      <c r="X70" s="971">
        <f t="shared" si="37"/>
        <v>125343</v>
      </c>
      <c r="Y70" s="858">
        <f t="shared" si="38"/>
        <v>-5.0000000000000044E-2</v>
      </c>
      <c r="Z70" s="857">
        <f t="shared" si="39"/>
        <v>1.2546846846846846</v>
      </c>
      <c r="AA70" s="856">
        <v>0.24125740672687354</v>
      </c>
      <c r="AB70" s="856">
        <v>1.475377111677491E-3</v>
      </c>
      <c r="AC70" s="970">
        <f t="shared" si="29"/>
        <v>2199</v>
      </c>
      <c r="AD70" s="970"/>
      <c r="AE70" s="970">
        <f t="shared" si="22"/>
        <v>0</v>
      </c>
      <c r="AF70" s="971">
        <f t="shared" si="40"/>
        <v>131940</v>
      </c>
      <c r="AG70" s="857">
        <f t="shared" si="41"/>
        <v>0</v>
      </c>
      <c r="AH70" s="576">
        <v>0</v>
      </c>
      <c r="AI70" s="856">
        <f t="shared" si="21"/>
        <v>0.21625740672687352</v>
      </c>
      <c r="AJ70" s="859">
        <v>0</v>
      </c>
      <c r="AK70" s="583">
        <v>6</v>
      </c>
      <c r="AL70" s="971">
        <f t="shared" si="42"/>
        <v>6597</v>
      </c>
      <c r="AM70" s="971">
        <f t="shared" si="30"/>
        <v>125343</v>
      </c>
      <c r="AN70" s="858">
        <f t="shared" si="31"/>
        <v>-5.0000000000000044E-2</v>
      </c>
      <c r="AO70" s="857">
        <f t="shared" si="32"/>
        <v>1.2546846846846846</v>
      </c>
      <c r="AP70" s="973">
        <f t="shared" si="33"/>
        <v>0</v>
      </c>
      <c r="AQ70" s="855">
        <f t="shared" si="34"/>
        <v>0</v>
      </c>
      <c r="AR70" s="974">
        <f t="shared" si="23"/>
        <v>0.24125740672687354</v>
      </c>
      <c r="AS70" s="975"/>
      <c r="AT70" s="976"/>
      <c r="AU70" s="971"/>
      <c r="AV70" s="976"/>
      <c r="AW70" s="970"/>
      <c r="AX70" s="971"/>
      <c r="AY70" s="971"/>
      <c r="AZ70" s="977"/>
      <c r="BA70" s="972"/>
      <c r="BB70" s="971"/>
      <c r="BC70" s="973"/>
      <c r="BD70" s="973"/>
      <c r="BE70" s="855"/>
      <c r="BF70" s="975"/>
      <c r="BG70" s="975"/>
      <c r="BH70" s="971"/>
      <c r="BI70" s="970"/>
      <c r="BJ70" s="971"/>
      <c r="BK70" s="971"/>
      <c r="BL70" s="977"/>
      <c r="BM70" s="972"/>
      <c r="BN70" s="971"/>
      <c r="BO70" s="973"/>
      <c r="BP70" s="973"/>
      <c r="BQ70" s="855"/>
      <c r="BR70" s="975"/>
      <c r="BS70" s="975"/>
      <c r="BT70" s="978"/>
      <c r="BU70" s="978"/>
      <c r="BV70" s="978">
        <v>0.24125740672687357</v>
      </c>
      <c r="BW70" s="978">
        <f t="shared" si="35"/>
        <v>0.20325740672687354</v>
      </c>
    </row>
    <row r="71" spans="1:75" hidden="1">
      <c r="A71" s="968">
        <v>2606</v>
      </c>
      <c r="B71" s="968" t="s">
        <v>211</v>
      </c>
      <c r="C71" s="969" t="s">
        <v>829</v>
      </c>
      <c r="D71" s="969" t="s">
        <v>391</v>
      </c>
      <c r="E71" s="955"/>
      <c r="F71" s="955"/>
      <c r="G71" s="955" t="str">
        <f>IFERROR(VLOOKUP(D71,[3]전용!E:J,6,0),"")</f>
        <v/>
      </c>
      <c r="H71" s="854">
        <v>99900</v>
      </c>
      <c r="I71" s="955">
        <v>6</v>
      </c>
      <c r="J71" s="955" t="s">
        <v>286</v>
      </c>
      <c r="K71" s="955">
        <v>12</v>
      </c>
      <c r="L71" s="970">
        <v>2199</v>
      </c>
      <c r="M71" s="971">
        <f t="shared" si="26"/>
        <v>158328</v>
      </c>
      <c r="N71" s="855">
        <v>0.33</v>
      </c>
      <c r="O71" s="855"/>
      <c r="P71" s="970">
        <v>2199</v>
      </c>
      <c r="Q71" s="970">
        <f t="shared" si="27"/>
        <v>0</v>
      </c>
      <c r="R71" s="971">
        <f t="shared" si="25"/>
        <v>158328</v>
      </c>
      <c r="S71" s="856">
        <f t="shared" si="36"/>
        <v>0.26209074006020683</v>
      </c>
      <c r="T71" s="971"/>
      <c r="U71" s="971"/>
      <c r="V71" s="976">
        <v>6</v>
      </c>
      <c r="W71" s="971">
        <f t="shared" si="28"/>
        <v>6597</v>
      </c>
      <c r="X71" s="971">
        <f t="shared" si="37"/>
        <v>151731</v>
      </c>
      <c r="Y71" s="858">
        <f t="shared" si="38"/>
        <v>-4.166666666666663E-2</v>
      </c>
      <c r="Z71" s="857">
        <f t="shared" si="39"/>
        <v>1.5188288288288287</v>
      </c>
      <c r="AA71" s="856">
        <v>0.24125740672687354</v>
      </c>
      <c r="AB71" s="856">
        <v>1.475377111677491E-3</v>
      </c>
      <c r="AC71" s="970">
        <f t="shared" si="29"/>
        <v>2199</v>
      </c>
      <c r="AD71" s="970"/>
      <c r="AE71" s="970">
        <f t="shared" si="22"/>
        <v>0</v>
      </c>
      <c r="AF71" s="971">
        <f t="shared" si="40"/>
        <v>158328</v>
      </c>
      <c r="AG71" s="857">
        <f t="shared" si="41"/>
        <v>0</v>
      </c>
      <c r="AH71" s="576">
        <v>0</v>
      </c>
      <c r="AI71" s="856">
        <f t="shared" ref="AI71:AI134" si="43">AR71+(AN71/2)</f>
        <v>0.22042407339354023</v>
      </c>
      <c r="AJ71" s="859">
        <v>0</v>
      </c>
      <c r="AK71" s="583">
        <v>6</v>
      </c>
      <c r="AL71" s="971">
        <f t="shared" si="42"/>
        <v>6597</v>
      </c>
      <c r="AM71" s="971">
        <f t="shared" si="30"/>
        <v>151731</v>
      </c>
      <c r="AN71" s="858">
        <f t="shared" si="31"/>
        <v>-4.166666666666663E-2</v>
      </c>
      <c r="AO71" s="857">
        <f t="shared" si="32"/>
        <v>1.5188288288288287</v>
      </c>
      <c r="AP71" s="973">
        <f t="shared" si="33"/>
        <v>0</v>
      </c>
      <c r="AQ71" s="855">
        <f t="shared" si="34"/>
        <v>0</v>
      </c>
      <c r="AR71" s="974">
        <f t="shared" si="23"/>
        <v>0.24125740672687354</v>
      </c>
      <c r="AS71" s="975"/>
      <c r="AT71" s="976"/>
      <c r="AU71" s="971"/>
      <c r="AV71" s="976"/>
      <c r="AW71" s="970"/>
      <c r="AX71" s="971"/>
      <c r="AY71" s="971"/>
      <c r="AZ71" s="977"/>
      <c r="BA71" s="972"/>
      <c r="BB71" s="971"/>
      <c r="BC71" s="973"/>
      <c r="BD71" s="973"/>
      <c r="BE71" s="855"/>
      <c r="BF71" s="975"/>
      <c r="BG71" s="975"/>
      <c r="BH71" s="971"/>
      <c r="BI71" s="970"/>
      <c r="BJ71" s="971"/>
      <c r="BK71" s="971"/>
      <c r="BL71" s="977"/>
      <c r="BM71" s="972"/>
      <c r="BN71" s="971"/>
      <c r="BO71" s="973"/>
      <c r="BP71" s="973"/>
      <c r="BQ71" s="855"/>
      <c r="BR71" s="975"/>
      <c r="BS71" s="975"/>
      <c r="BT71" s="978"/>
      <c r="BU71" s="978"/>
      <c r="BV71" s="978">
        <v>0.24125740672687357</v>
      </c>
      <c r="BW71" s="978">
        <f t="shared" si="35"/>
        <v>0.20325740672687354</v>
      </c>
    </row>
    <row r="72" spans="1:75" hidden="1">
      <c r="A72" s="979">
        <v>2606</v>
      </c>
      <c r="B72" s="979" t="s">
        <v>211</v>
      </c>
      <c r="C72" s="980" t="s">
        <v>829</v>
      </c>
      <c r="D72" s="980" t="s">
        <v>391</v>
      </c>
      <c r="E72" s="955"/>
      <c r="F72" s="955"/>
      <c r="G72" s="955" t="str">
        <f>IFERROR(VLOOKUP(D72,[3]전용!E:J,6,0),"")</f>
        <v/>
      </c>
      <c r="H72" s="854">
        <v>99900</v>
      </c>
      <c r="I72" s="955">
        <v>6</v>
      </c>
      <c r="J72" s="955" t="s">
        <v>288</v>
      </c>
      <c r="K72" s="955">
        <v>12</v>
      </c>
      <c r="L72" s="970">
        <v>1999</v>
      </c>
      <c r="M72" s="971">
        <f t="shared" si="26"/>
        <v>143928</v>
      </c>
      <c r="N72" s="855">
        <v>0.33</v>
      </c>
      <c r="O72" s="855"/>
      <c r="P72" s="970">
        <v>1999</v>
      </c>
      <c r="Q72" s="970">
        <f t="shared" si="27"/>
        <v>0</v>
      </c>
      <c r="R72" s="971">
        <f t="shared" si="25"/>
        <v>143928</v>
      </c>
      <c r="S72" s="856">
        <f t="shared" si="36"/>
        <v>0.26209074006020683</v>
      </c>
      <c r="T72" s="971"/>
      <c r="U72" s="971"/>
      <c r="V72" s="976">
        <v>6</v>
      </c>
      <c r="W72" s="971">
        <f t="shared" si="28"/>
        <v>5997</v>
      </c>
      <c r="X72" s="971">
        <f t="shared" si="37"/>
        <v>137931</v>
      </c>
      <c r="Y72" s="858">
        <f t="shared" si="38"/>
        <v>-4.166666666666663E-2</v>
      </c>
      <c r="Z72" s="857">
        <f t="shared" si="39"/>
        <v>1.3806906906906906</v>
      </c>
      <c r="AA72" s="856">
        <v>0.24125740672687354</v>
      </c>
      <c r="AB72" s="856">
        <v>1.475377111677491E-3</v>
      </c>
      <c r="AC72" s="970">
        <f t="shared" si="29"/>
        <v>1999</v>
      </c>
      <c r="AD72" s="970"/>
      <c r="AE72" s="970">
        <f t="shared" ref="AE72:AE102" si="44">IF(AA72&gt;10%,0,IF(AA72&gt;5%,P72*0.04,IF(AA72&gt;0%,P72*0.075, P72*0.1)))</f>
        <v>0</v>
      </c>
      <c r="AF72" s="971">
        <f t="shared" si="40"/>
        <v>143928</v>
      </c>
      <c r="AG72" s="857">
        <f t="shared" si="41"/>
        <v>0</v>
      </c>
      <c r="AH72" s="576">
        <v>0</v>
      </c>
      <c r="AI72" s="856">
        <f t="shared" si="43"/>
        <v>0.22042407339354023</v>
      </c>
      <c r="AJ72" s="859">
        <v>0</v>
      </c>
      <c r="AK72" s="583">
        <v>6</v>
      </c>
      <c r="AL72" s="971">
        <f t="shared" si="42"/>
        <v>5997</v>
      </c>
      <c r="AM72" s="971">
        <f t="shared" si="30"/>
        <v>137931</v>
      </c>
      <c r="AN72" s="858">
        <f t="shared" si="31"/>
        <v>-4.166666666666663E-2</v>
      </c>
      <c r="AO72" s="857">
        <f t="shared" si="32"/>
        <v>1.3806906906906906</v>
      </c>
      <c r="AP72" s="973">
        <f t="shared" si="33"/>
        <v>0</v>
      </c>
      <c r="AQ72" s="855">
        <f t="shared" si="34"/>
        <v>0</v>
      </c>
      <c r="AR72" s="974">
        <f t="shared" si="23"/>
        <v>0.24125740672687354</v>
      </c>
      <c r="AS72" s="975"/>
      <c r="AT72" s="976"/>
      <c r="AU72" s="971"/>
      <c r="AV72" s="976"/>
      <c r="AW72" s="970"/>
      <c r="AX72" s="971"/>
      <c r="AY72" s="971"/>
      <c r="AZ72" s="977"/>
      <c r="BA72" s="972"/>
      <c r="BB72" s="971"/>
      <c r="BC72" s="973"/>
      <c r="BD72" s="973"/>
      <c r="BE72" s="855"/>
      <c r="BF72" s="975"/>
      <c r="BG72" s="975"/>
      <c r="BH72" s="971"/>
      <c r="BI72" s="970"/>
      <c r="BJ72" s="971"/>
      <c r="BK72" s="971"/>
      <c r="BL72" s="977"/>
      <c r="BM72" s="972"/>
      <c r="BN72" s="971"/>
      <c r="BO72" s="973"/>
      <c r="BP72" s="973"/>
      <c r="BQ72" s="855"/>
      <c r="BR72" s="975"/>
      <c r="BS72" s="975"/>
      <c r="BT72" s="978"/>
      <c r="BU72" s="978"/>
      <c r="BV72" s="978">
        <v>0.24125740672687357</v>
      </c>
      <c r="BW72" s="978">
        <f t="shared" si="35"/>
        <v>0.20325740672687354</v>
      </c>
    </row>
    <row r="73" spans="1:75" hidden="1">
      <c r="A73" s="968">
        <v>2606</v>
      </c>
      <c r="B73" s="968" t="s">
        <v>211</v>
      </c>
      <c r="C73" s="969" t="s">
        <v>829</v>
      </c>
      <c r="D73" s="969" t="s">
        <v>35</v>
      </c>
      <c r="E73" s="955" t="s">
        <v>389</v>
      </c>
      <c r="F73" s="955"/>
      <c r="G73" s="955" t="str">
        <f>IFERROR(VLOOKUP(D73,[3]전용!E:J,6,0),"")</f>
        <v/>
      </c>
      <c r="H73" s="854">
        <v>84900</v>
      </c>
      <c r="I73" s="955">
        <v>5</v>
      </c>
      <c r="J73" s="955" t="s">
        <v>288</v>
      </c>
      <c r="K73" s="955">
        <v>12</v>
      </c>
      <c r="L73" s="970">
        <v>1899</v>
      </c>
      <c r="M73" s="971">
        <f t="shared" si="26"/>
        <v>113940</v>
      </c>
      <c r="N73" s="855">
        <v>0.29641649849511204</v>
      </c>
      <c r="O73" s="855"/>
      <c r="P73" s="970">
        <v>1899</v>
      </c>
      <c r="Q73" s="970">
        <f t="shared" si="27"/>
        <v>0</v>
      </c>
      <c r="R73" s="971">
        <f t="shared" si="25"/>
        <v>113940</v>
      </c>
      <c r="S73" s="856">
        <f t="shared" si="36"/>
        <v>0.16629924576127694</v>
      </c>
      <c r="T73" s="971"/>
      <c r="U73" s="971"/>
      <c r="V73" s="972">
        <v>6</v>
      </c>
      <c r="W73" s="971">
        <f t="shared" si="28"/>
        <v>5697</v>
      </c>
      <c r="X73" s="971">
        <f t="shared" si="37"/>
        <v>108243</v>
      </c>
      <c r="Y73" s="858">
        <f t="shared" si="38"/>
        <v>-5.0000000000000044E-2</v>
      </c>
      <c r="Z73" s="857">
        <f t="shared" si="39"/>
        <v>1.2749469964664311</v>
      </c>
      <c r="AA73" s="856">
        <v>0.14129924576127692</v>
      </c>
      <c r="AB73" s="856">
        <v>8.1716207545803485E-2</v>
      </c>
      <c r="AC73" s="970">
        <f t="shared" si="29"/>
        <v>1899</v>
      </c>
      <c r="AD73" s="970"/>
      <c r="AE73" s="970">
        <f t="shared" si="44"/>
        <v>0</v>
      </c>
      <c r="AF73" s="971">
        <f t="shared" si="40"/>
        <v>113940</v>
      </c>
      <c r="AG73" s="857">
        <f t="shared" si="41"/>
        <v>0</v>
      </c>
      <c r="AH73" s="576">
        <v>0</v>
      </c>
      <c r="AI73" s="856">
        <f t="shared" si="43"/>
        <v>0.1162992457612769</v>
      </c>
      <c r="AJ73" s="859">
        <v>0</v>
      </c>
      <c r="AK73" s="583">
        <v>6</v>
      </c>
      <c r="AL73" s="971">
        <f t="shared" si="42"/>
        <v>5697</v>
      </c>
      <c r="AM73" s="971">
        <f t="shared" si="30"/>
        <v>108243</v>
      </c>
      <c r="AN73" s="858">
        <f t="shared" si="31"/>
        <v>-5.0000000000000044E-2</v>
      </c>
      <c r="AO73" s="857">
        <f t="shared" si="32"/>
        <v>1.2749469964664311</v>
      </c>
      <c r="AP73" s="973">
        <f t="shared" si="33"/>
        <v>0</v>
      </c>
      <c r="AQ73" s="855">
        <f t="shared" si="34"/>
        <v>0</v>
      </c>
      <c r="AR73" s="974">
        <f t="shared" si="23"/>
        <v>0.14129924576127692</v>
      </c>
      <c r="AS73" s="975"/>
      <c r="AT73" s="976"/>
      <c r="AU73" s="971"/>
      <c r="AV73" s="976"/>
      <c r="AW73" s="970"/>
      <c r="AX73" s="971"/>
      <c r="AY73" s="971"/>
      <c r="AZ73" s="977"/>
      <c r="BA73" s="972"/>
      <c r="BB73" s="971"/>
      <c r="BC73" s="973"/>
      <c r="BD73" s="973"/>
      <c r="BE73" s="855"/>
      <c r="BF73" s="975"/>
      <c r="BG73" s="975"/>
      <c r="BH73" s="971"/>
      <c r="BI73" s="970"/>
      <c r="BJ73" s="971"/>
      <c r="BK73" s="971"/>
      <c r="BL73" s="977"/>
      <c r="BM73" s="972"/>
      <c r="BN73" s="971"/>
      <c r="BO73" s="973"/>
      <c r="BP73" s="973"/>
      <c r="BQ73" s="855"/>
      <c r="BR73" s="975"/>
      <c r="BS73" s="975"/>
      <c r="BT73" s="978"/>
      <c r="BU73" s="978"/>
      <c r="BV73" s="978">
        <v>0.14112090079969131</v>
      </c>
      <c r="BW73" s="978">
        <f t="shared" si="35"/>
        <v>0.14129924576127692</v>
      </c>
    </row>
    <row r="74" spans="1:75" hidden="1">
      <c r="A74" s="968">
        <v>2606</v>
      </c>
      <c r="B74" s="968" t="s">
        <v>211</v>
      </c>
      <c r="C74" s="969" t="s">
        <v>829</v>
      </c>
      <c r="D74" s="969" t="s">
        <v>35</v>
      </c>
      <c r="E74" s="955" t="s">
        <v>389</v>
      </c>
      <c r="F74" s="955"/>
      <c r="G74" s="955" t="str">
        <f>IFERROR(VLOOKUP(D74,[3]전용!E:J,6,0),"")</f>
        <v/>
      </c>
      <c r="H74" s="854">
        <v>84900</v>
      </c>
      <c r="I74" s="955">
        <v>5</v>
      </c>
      <c r="J74" s="955" t="s">
        <v>286</v>
      </c>
      <c r="K74" s="955">
        <v>12</v>
      </c>
      <c r="L74" s="970">
        <v>1749</v>
      </c>
      <c r="M74" s="971">
        <f t="shared" si="26"/>
        <v>104940</v>
      </c>
      <c r="N74" s="855">
        <v>0.29734494783272075</v>
      </c>
      <c r="O74" s="855"/>
      <c r="P74" s="970">
        <v>1749</v>
      </c>
      <c r="Q74" s="970">
        <f t="shared" si="27"/>
        <v>0</v>
      </c>
      <c r="R74" s="971">
        <f t="shared" si="25"/>
        <v>104940</v>
      </c>
      <c r="S74" s="856">
        <f t="shared" si="36"/>
        <v>0.16629924576127694</v>
      </c>
      <c r="T74" s="971"/>
      <c r="U74" s="971"/>
      <c r="V74" s="972">
        <v>6</v>
      </c>
      <c r="W74" s="971">
        <f t="shared" si="28"/>
        <v>5247</v>
      </c>
      <c r="X74" s="971">
        <f t="shared" si="37"/>
        <v>99693</v>
      </c>
      <c r="Y74" s="858">
        <f t="shared" si="38"/>
        <v>-5.0000000000000044E-2</v>
      </c>
      <c r="Z74" s="857">
        <f t="shared" si="39"/>
        <v>1.1742402826855123</v>
      </c>
      <c r="AA74" s="856">
        <v>0.14129924576127692</v>
      </c>
      <c r="AB74" s="856">
        <v>8.1716207545803485E-2</v>
      </c>
      <c r="AC74" s="970">
        <f t="shared" si="29"/>
        <v>1749</v>
      </c>
      <c r="AD74" s="970"/>
      <c r="AE74" s="970">
        <f t="shared" si="44"/>
        <v>0</v>
      </c>
      <c r="AF74" s="971">
        <f t="shared" si="40"/>
        <v>104940</v>
      </c>
      <c r="AG74" s="857">
        <f t="shared" si="41"/>
        <v>0</v>
      </c>
      <c r="AH74" s="576">
        <v>0</v>
      </c>
      <c r="AI74" s="856">
        <f t="shared" si="43"/>
        <v>0.1162992457612769</v>
      </c>
      <c r="AJ74" s="859">
        <v>0</v>
      </c>
      <c r="AK74" s="583">
        <v>6</v>
      </c>
      <c r="AL74" s="971">
        <f t="shared" si="42"/>
        <v>5247</v>
      </c>
      <c r="AM74" s="971">
        <f t="shared" si="30"/>
        <v>99693</v>
      </c>
      <c r="AN74" s="858">
        <f t="shared" si="31"/>
        <v>-5.0000000000000044E-2</v>
      </c>
      <c r="AO74" s="857">
        <f t="shared" si="32"/>
        <v>1.1742402826855123</v>
      </c>
      <c r="AP74" s="973">
        <f t="shared" si="33"/>
        <v>0</v>
      </c>
      <c r="AQ74" s="855">
        <f t="shared" si="34"/>
        <v>0</v>
      </c>
      <c r="AR74" s="974">
        <f t="shared" ref="AR74:AR141" si="45">IFERROR(AA74+AQ74*0.5,"")</f>
        <v>0.14129924576127692</v>
      </c>
      <c r="AS74" s="975"/>
      <c r="AT74" s="976"/>
      <c r="AU74" s="971"/>
      <c r="AV74" s="976"/>
      <c r="AW74" s="970"/>
      <c r="AX74" s="971"/>
      <c r="AY74" s="971"/>
      <c r="AZ74" s="977"/>
      <c r="BA74" s="972"/>
      <c r="BB74" s="971"/>
      <c r="BC74" s="973"/>
      <c r="BD74" s="973"/>
      <c r="BE74" s="855"/>
      <c r="BF74" s="975"/>
      <c r="BG74" s="975"/>
      <c r="BH74" s="971"/>
      <c r="BI74" s="970"/>
      <c r="BJ74" s="971"/>
      <c r="BK74" s="971"/>
      <c r="BL74" s="977"/>
      <c r="BM74" s="972"/>
      <c r="BN74" s="971"/>
      <c r="BO74" s="973"/>
      <c r="BP74" s="973"/>
      <c r="BQ74" s="855"/>
      <c r="BR74" s="975"/>
      <c r="BS74" s="975"/>
      <c r="BT74" s="978"/>
      <c r="BU74" s="978"/>
      <c r="BV74" s="978">
        <v>0.14112090079969131</v>
      </c>
      <c r="BW74" s="978">
        <f t="shared" si="35"/>
        <v>0.14129924576127692</v>
      </c>
    </row>
    <row r="75" spans="1:75" hidden="1">
      <c r="A75" s="968">
        <v>2606</v>
      </c>
      <c r="B75" s="968" t="s">
        <v>211</v>
      </c>
      <c r="C75" s="969" t="s">
        <v>829</v>
      </c>
      <c r="D75" s="969" t="s">
        <v>35</v>
      </c>
      <c r="E75" s="955" t="s">
        <v>389</v>
      </c>
      <c r="F75" s="955"/>
      <c r="G75" s="955" t="str">
        <f>IFERROR(VLOOKUP(D75,[3]전용!E:J,6,0),"")</f>
        <v/>
      </c>
      <c r="H75" s="854">
        <v>84900</v>
      </c>
      <c r="I75" s="955">
        <v>6</v>
      </c>
      <c r="J75" s="955" t="s">
        <v>288</v>
      </c>
      <c r="K75" s="955">
        <v>12</v>
      </c>
      <c r="L75" s="970">
        <v>1899</v>
      </c>
      <c r="M75" s="971">
        <f t="shared" si="26"/>
        <v>136728</v>
      </c>
      <c r="N75" s="855">
        <v>0.29641649849511204</v>
      </c>
      <c r="O75" s="855"/>
      <c r="P75" s="970">
        <v>1899</v>
      </c>
      <c r="Q75" s="970">
        <f t="shared" si="27"/>
        <v>0</v>
      </c>
      <c r="R75" s="971">
        <f t="shared" si="25"/>
        <v>136728</v>
      </c>
      <c r="S75" s="856">
        <f t="shared" si="36"/>
        <v>0.16213257909461024</v>
      </c>
      <c r="T75" s="971"/>
      <c r="U75" s="971"/>
      <c r="V75" s="972">
        <v>6</v>
      </c>
      <c r="W75" s="971">
        <f t="shared" si="28"/>
        <v>5697</v>
      </c>
      <c r="X75" s="971">
        <f t="shared" si="37"/>
        <v>131031</v>
      </c>
      <c r="Y75" s="858">
        <f t="shared" si="38"/>
        <v>-4.166666666666663E-2</v>
      </c>
      <c r="Z75" s="857">
        <f t="shared" si="39"/>
        <v>1.543356890459364</v>
      </c>
      <c r="AA75" s="856">
        <v>0.14129924576127692</v>
      </c>
      <c r="AB75" s="856">
        <v>8.1716207545803485E-2</v>
      </c>
      <c r="AC75" s="970">
        <f t="shared" si="29"/>
        <v>1899</v>
      </c>
      <c r="AD75" s="970"/>
      <c r="AE75" s="970">
        <f t="shared" si="44"/>
        <v>0</v>
      </c>
      <c r="AF75" s="971">
        <f t="shared" si="40"/>
        <v>136728</v>
      </c>
      <c r="AG75" s="857">
        <f t="shared" si="41"/>
        <v>0</v>
      </c>
      <c r="AH75" s="576">
        <v>0</v>
      </c>
      <c r="AI75" s="856">
        <f t="shared" si="43"/>
        <v>0.12046591242794361</v>
      </c>
      <c r="AJ75" s="859">
        <v>0</v>
      </c>
      <c r="AK75" s="583">
        <v>6</v>
      </c>
      <c r="AL75" s="971">
        <f t="shared" si="42"/>
        <v>5697</v>
      </c>
      <c r="AM75" s="971">
        <f t="shared" si="30"/>
        <v>131031</v>
      </c>
      <c r="AN75" s="858">
        <f t="shared" si="31"/>
        <v>-4.166666666666663E-2</v>
      </c>
      <c r="AO75" s="857">
        <f t="shared" si="32"/>
        <v>1.543356890459364</v>
      </c>
      <c r="AP75" s="973">
        <f t="shared" si="33"/>
        <v>0</v>
      </c>
      <c r="AQ75" s="855">
        <f t="shared" si="34"/>
        <v>0</v>
      </c>
      <c r="AR75" s="974">
        <f t="shared" si="45"/>
        <v>0.14129924576127692</v>
      </c>
      <c r="AS75" s="975"/>
      <c r="AT75" s="976"/>
      <c r="AU75" s="971"/>
      <c r="AV75" s="976"/>
      <c r="AW75" s="970"/>
      <c r="AX75" s="971"/>
      <c r="AY75" s="971"/>
      <c r="AZ75" s="977"/>
      <c r="BA75" s="972"/>
      <c r="BB75" s="971"/>
      <c r="BC75" s="973"/>
      <c r="BD75" s="973"/>
      <c r="BE75" s="855"/>
      <c r="BF75" s="975"/>
      <c r="BG75" s="975"/>
      <c r="BH75" s="971"/>
      <c r="BI75" s="970"/>
      <c r="BJ75" s="971"/>
      <c r="BK75" s="971"/>
      <c r="BL75" s="977"/>
      <c r="BM75" s="972"/>
      <c r="BN75" s="971"/>
      <c r="BO75" s="973"/>
      <c r="BP75" s="973"/>
      <c r="BQ75" s="855"/>
      <c r="BR75" s="975"/>
      <c r="BS75" s="975"/>
      <c r="BT75" s="978"/>
      <c r="BU75" s="978"/>
      <c r="BV75" s="978">
        <v>0.14112090079969131</v>
      </c>
      <c r="BW75" s="978">
        <f t="shared" si="35"/>
        <v>0.14129924576127692</v>
      </c>
    </row>
    <row r="76" spans="1:75" hidden="1">
      <c r="A76" s="979">
        <v>2606</v>
      </c>
      <c r="B76" s="979" t="s">
        <v>211</v>
      </c>
      <c r="C76" s="980" t="s">
        <v>829</v>
      </c>
      <c r="D76" s="980" t="s">
        <v>35</v>
      </c>
      <c r="E76" s="955" t="s">
        <v>389</v>
      </c>
      <c r="F76" s="955"/>
      <c r="G76" s="955" t="str">
        <f>IFERROR(VLOOKUP(D76,[3]전용!E:J,6,0),"")</f>
        <v/>
      </c>
      <c r="H76" s="854">
        <v>84900</v>
      </c>
      <c r="I76" s="955">
        <v>6</v>
      </c>
      <c r="J76" s="955" t="s">
        <v>288</v>
      </c>
      <c r="K76" s="955">
        <v>12</v>
      </c>
      <c r="L76" s="970">
        <v>1649</v>
      </c>
      <c r="M76" s="971">
        <f t="shared" si="26"/>
        <v>118728</v>
      </c>
      <c r="N76" s="855">
        <v>0.30056338935962817</v>
      </c>
      <c r="O76" s="855"/>
      <c r="P76" s="970">
        <v>1649</v>
      </c>
      <c r="Q76" s="970">
        <f t="shared" si="27"/>
        <v>0</v>
      </c>
      <c r="R76" s="971">
        <f t="shared" si="25"/>
        <v>118728</v>
      </c>
      <c r="S76" s="856">
        <f t="shared" si="36"/>
        <v>0.16213257909461024</v>
      </c>
      <c r="T76" s="971"/>
      <c r="U76" s="971"/>
      <c r="V76" s="972">
        <v>6</v>
      </c>
      <c r="W76" s="971">
        <f t="shared" si="28"/>
        <v>4947</v>
      </c>
      <c r="X76" s="971">
        <f t="shared" si="37"/>
        <v>113781</v>
      </c>
      <c r="Y76" s="858">
        <f t="shared" si="38"/>
        <v>-4.166666666666663E-2</v>
      </c>
      <c r="Z76" s="857">
        <f t="shared" si="39"/>
        <v>1.3401766784452296</v>
      </c>
      <c r="AA76" s="856">
        <v>0.14129924576127692</v>
      </c>
      <c r="AB76" s="856">
        <v>8.1716207545803485E-2</v>
      </c>
      <c r="AC76" s="970">
        <f t="shared" si="29"/>
        <v>1649</v>
      </c>
      <c r="AD76" s="970"/>
      <c r="AE76" s="970">
        <f t="shared" si="44"/>
        <v>0</v>
      </c>
      <c r="AF76" s="971">
        <f t="shared" si="40"/>
        <v>118728</v>
      </c>
      <c r="AG76" s="857">
        <f t="shared" si="41"/>
        <v>0</v>
      </c>
      <c r="AH76" s="576">
        <v>0</v>
      </c>
      <c r="AI76" s="856">
        <f t="shared" si="43"/>
        <v>0.12046591242794361</v>
      </c>
      <c r="AJ76" s="859">
        <v>0</v>
      </c>
      <c r="AK76" s="583">
        <v>6</v>
      </c>
      <c r="AL76" s="971">
        <f t="shared" si="42"/>
        <v>4947</v>
      </c>
      <c r="AM76" s="971">
        <f t="shared" si="30"/>
        <v>113781</v>
      </c>
      <c r="AN76" s="858">
        <f t="shared" si="31"/>
        <v>-4.166666666666663E-2</v>
      </c>
      <c r="AO76" s="857">
        <f t="shared" si="32"/>
        <v>1.3401766784452296</v>
      </c>
      <c r="AP76" s="973">
        <f t="shared" si="33"/>
        <v>0</v>
      </c>
      <c r="AQ76" s="855">
        <f t="shared" si="34"/>
        <v>0</v>
      </c>
      <c r="AR76" s="974">
        <f t="shared" si="45"/>
        <v>0.14129924576127692</v>
      </c>
      <c r="AS76" s="975"/>
      <c r="AT76" s="976"/>
      <c r="AU76" s="971"/>
      <c r="AV76" s="976"/>
      <c r="AW76" s="970"/>
      <c r="AX76" s="971"/>
      <c r="AY76" s="971"/>
      <c r="AZ76" s="977"/>
      <c r="BA76" s="972"/>
      <c r="BB76" s="971"/>
      <c r="BC76" s="973"/>
      <c r="BD76" s="973"/>
      <c r="BE76" s="855"/>
      <c r="BF76" s="975"/>
      <c r="BG76" s="975"/>
      <c r="BH76" s="971"/>
      <c r="BI76" s="970"/>
      <c r="BJ76" s="971"/>
      <c r="BK76" s="971"/>
      <c r="BL76" s="977"/>
      <c r="BM76" s="972"/>
      <c r="BN76" s="971"/>
      <c r="BO76" s="973"/>
      <c r="BP76" s="973"/>
      <c r="BQ76" s="855"/>
      <c r="BR76" s="975"/>
      <c r="BS76" s="975"/>
      <c r="BT76" s="978"/>
      <c r="BU76" s="978"/>
      <c r="BV76" s="978">
        <v>0.14112090079969131</v>
      </c>
      <c r="BW76" s="978">
        <f t="shared" si="35"/>
        <v>0.14129924576127692</v>
      </c>
    </row>
    <row r="77" spans="1:75" hidden="1">
      <c r="A77" s="968">
        <v>2606</v>
      </c>
      <c r="B77" s="968" t="s">
        <v>211</v>
      </c>
      <c r="C77" s="969" t="s">
        <v>829</v>
      </c>
      <c r="D77" s="969" t="s">
        <v>911</v>
      </c>
      <c r="E77" s="987" t="s">
        <v>55</v>
      </c>
      <c r="F77" s="987"/>
      <c r="G77" s="955" t="str">
        <f>IFERROR(VLOOKUP(D77,[3]전용!E:J,6,0),"")</f>
        <v/>
      </c>
      <c r="H77" s="854">
        <v>82410</v>
      </c>
      <c r="I77" s="987">
        <v>5</v>
      </c>
      <c r="J77" s="987" t="s">
        <v>286</v>
      </c>
      <c r="K77" s="987">
        <v>12</v>
      </c>
      <c r="L77" s="988">
        <v>1599</v>
      </c>
      <c r="M77" s="971">
        <f t="shared" si="26"/>
        <v>95940</v>
      </c>
      <c r="N77" s="855">
        <v>0.3202733989866281</v>
      </c>
      <c r="O77" s="855"/>
      <c r="P77" s="988">
        <v>1599</v>
      </c>
      <c r="Q77" s="970">
        <f t="shared" si="27"/>
        <v>0</v>
      </c>
      <c r="R77" s="971">
        <f t="shared" si="25"/>
        <v>95940</v>
      </c>
      <c r="S77" s="856">
        <f t="shared" si="36"/>
        <v>0.27241922751633602</v>
      </c>
      <c r="T77" s="971"/>
      <c r="U77" s="971"/>
      <c r="V77" s="989">
        <v>6</v>
      </c>
      <c r="W77" s="971">
        <f t="shared" si="28"/>
        <v>4797</v>
      </c>
      <c r="X77" s="971">
        <f t="shared" si="37"/>
        <v>91143</v>
      </c>
      <c r="Y77" s="858">
        <f t="shared" si="38"/>
        <v>-5.0000000000000044E-2</v>
      </c>
      <c r="Z77" s="857">
        <f t="shared" si="39"/>
        <v>1.1059701492537313</v>
      </c>
      <c r="AA77" s="856">
        <v>0.24741922751633599</v>
      </c>
      <c r="AB77" s="856">
        <v>-1.109875291610255E-4</v>
      </c>
      <c r="AC77" s="970">
        <f t="shared" si="29"/>
        <v>1599</v>
      </c>
      <c r="AD77" s="970"/>
      <c r="AE77" s="970">
        <f t="shared" si="44"/>
        <v>0</v>
      </c>
      <c r="AF77" s="971">
        <f t="shared" si="40"/>
        <v>95940</v>
      </c>
      <c r="AG77" s="857">
        <f t="shared" si="41"/>
        <v>0</v>
      </c>
      <c r="AH77" s="576">
        <v>0</v>
      </c>
      <c r="AI77" s="856">
        <f t="shared" si="43"/>
        <v>0.22241922751633597</v>
      </c>
      <c r="AJ77" s="859">
        <v>0</v>
      </c>
      <c r="AK77" s="583">
        <v>6</v>
      </c>
      <c r="AL77" s="971">
        <f t="shared" si="42"/>
        <v>4797</v>
      </c>
      <c r="AM77" s="971">
        <f t="shared" si="30"/>
        <v>91143</v>
      </c>
      <c r="AN77" s="858">
        <f t="shared" si="31"/>
        <v>-5.0000000000000044E-2</v>
      </c>
      <c r="AO77" s="857">
        <f t="shared" si="32"/>
        <v>1.1059701492537313</v>
      </c>
      <c r="AP77" s="973">
        <f t="shared" si="33"/>
        <v>0</v>
      </c>
      <c r="AQ77" s="855">
        <f t="shared" si="34"/>
        <v>0</v>
      </c>
      <c r="AR77" s="974">
        <f t="shared" si="45"/>
        <v>0.24741922751633599</v>
      </c>
      <c r="AS77" s="975"/>
      <c r="AT77" s="976"/>
      <c r="AU77" s="971"/>
      <c r="AV77" s="976"/>
      <c r="AW77" s="970"/>
      <c r="AX77" s="971"/>
      <c r="AY77" s="971"/>
      <c r="AZ77" s="977"/>
      <c r="BA77" s="972"/>
      <c r="BB77" s="971"/>
      <c r="BC77" s="973"/>
      <c r="BD77" s="973"/>
      <c r="BE77" s="855"/>
      <c r="BF77" s="975"/>
      <c r="BG77" s="975"/>
      <c r="BH77" s="971"/>
      <c r="BI77" s="970"/>
      <c r="BJ77" s="971"/>
      <c r="BK77" s="971"/>
      <c r="BL77" s="977"/>
      <c r="BM77" s="972"/>
      <c r="BN77" s="971"/>
      <c r="BO77" s="973"/>
      <c r="BP77" s="973"/>
      <c r="BQ77" s="855"/>
      <c r="BR77" s="975"/>
      <c r="BS77" s="975"/>
      <c r="BT77" s="978"/>
      <c r="BU77" s="978"/>
      <c r="BV77" s="978">
        <v>0.24741922751633599</v>
      </c>
      <c r="BW77" s="978">
        <f t="shared" si="35"/>
        <v>0.20941922751633599</v>
      </c>
    </row>
    <row r="78" spans="1:75" hidden="1">
      <c r="A78" s="968">
        <v>2606</v>
      </c>
      <c r="B78" s="968" t="s">
        <v>211</v>
      </c>
      <c r="C78" s="969" t="s">
        <v>829</v>
      </c>
      <c r="D78" s="969" t="s">
        <v>457</v>
      </c>
      <c r="E78" s="987" t="s">
        <v>55</v>
      </c>
      <c r="F78" s="987"/>
      <c r="G78" s="955" t="str">
        <f>IFERROR(VLOOKUP(D78,[3]전용!E:J,6,0),"")</f>
        <v/>
      </c>
      <c r="H78" s="854">
        <v>82410</v>
      </c>
      <c r="I78" s="987">
        <v>5</v>
      </c>
      <c r="J78" s="987" t="s">
        <v>288</v>
      </c>
      <c r="K78" s="987">
        <v>12</v>
      </c>
      <c r="L78" s="988">
        <v>1499</v>
      </c>
      <c r="M78" s="971">
        <f t="shared" si="26"/>
        <v>89940</v>
      </c>
      <c r="N78" s="855">
        <v>0.32424260997575394</v>
      </c>
      <c r="O78" s="855"/>
      <c r="P78" s="988">
        <v>1499</v>
      </c>
      <c r="Q78" s="970">
        <f t="shared" si="27"/>
        <v>0</v>
      </c>
      <c r="R78" s="971">
        <f t="shared" si="25"/>
        <v>89940</v>
      </c>
      <c r="S78" s="856">
        <f t="shared" si="36"/>
        <v>0.27241922751633602</v>
      </c>
      <c r="T78" s="971"/>
      <c r="U78" s="971"/>
      <c r="V78" s="989">
        <v>6</v>
      </c>
      <c r="W78" s="971">
        <f t="shared" si="28"/>
        <v>4497</v>
      </c>
      <c r="X78" s="971">
        <f t="shared" si="37"/>
        <v>85443</v>
      </c>
      <c r="Y78" s="858">
        <f t="shared" si="38"/>
        <v>-5.0000000000000044E-2</v>
      </c>
      <c r="Z78" s="857">
        <f t="shared" si="39"/>
        <v>1.0368037859483072</v>
      </c>
      <c r="AA78" s="856">
        <v>0.24741922751633599</v>
      </c>
      <c r="AB78" s="856">
        <v>-1.109875291610255E-4</v>
      </c>
      <c r="AC78" s="970">
        <f t="shared" si="29"/>
        <v>1499</v>
      </c>
      <c r="AD78" s="970"/>
      <c r="AE78" s="970">
        <f t="shared" si="44"/>
        <v>0</v>
      </c>
      <c r="AF78" s="971">
        <f t="shared" si="40"/>
        <v>89940</v>
      </c>
      <c r="AG78" s="857">
        <f t="shared" si="41"/>
        <v>0</v>
      </c>
      <c r="AH78" s="576">
        <v>0</v>
      </c>
      <c r="AI78" s="856">
        <f t="shared" si="43"/>
        <v>0.22241922751633597</v>
      </c>
      <c r="AJ78" s="859">
        <v>0</v>
      </c>
      <c r="AK78" s="583">
        <v>6</v>
      </c>
      <c r="AL78" s="971">
        <f t="shared" si="42"/>
        <v>4497</v>
      </c>
      <c r="AM78" s="971">
        <f t="shared" si="30"/>
        <v>85443</v>
      </c>
      <c r="AN78" s="858">
        <f t="shared" si="31"/>
        <v>-5.0000000000000044E-2</v>
      </c>
      <c r="AO78" s="857">
        <f t="shared" si="32"/>
        <v>1.0368037859483072</v>
      </c>
      <c r="AP78" s="973">
        <f t="shared" si="33"/>
        <v>0</v>
      </c>
      <c r="AQ78" s="855">
        <f t="shared" si="34"/>
        <v>0</v>
      </c>
      <c r="AR78" s="974">
        <f t="shared" si="45"/>
        <v>0.24741922751633599</v>
      </c>
      <c r="AS78" s="975"/>
      <c r="AT78" s="976"/>
      <c r="AU78" s="971"/>
      <c r="AV78" s="976"/>
      <c r="AW78" s="970"/>
      <c r="AX78" s="971"/>
      <c r="AY78" s="971"/>
      <c r="AZ78" s="977"/>
      <c r="BA78" s="972"/>
      <c r="BB78" s="971"/>
      <c r="BC78" s="973"/>
      <c r="BD78" s="973"/>
      <c r="BE78" s="855"/>
      <c r="BF78" s="975"/>
      <c r="BG78" s="975"/>
      <c r="BH78" s="971"/>
      <c r="BI78" s="970"/>
      <c r="BJ78" s="971"/>
      <c r="BK78" s="971"/>
      <c r="BL78" s="977"/>
      <c r="BM78" s="972"/>
      <c r="BN78" s="971"/>
      <c r="BO78" s="973"/>
      <c r="BP78" s="973"/>
      <c r="BQ78" s="855"/>
      <c r="BR78" s="975"/>
      <c r="BS78" s="975"/>
      <c r="BT78" s="978"/>
      <c r="BU78" s="978"/>
      <c r="BV78" s="978">
        <v>0.24741922751633599</v>
      </c>
      <c r="BW78" s="978">
        <f t="shared" si="35"/>
        <v>0.20941922751633599</v>
      </c>
    </row>
    <row r="79" spans="1:75" hidden="1">
      <c r="A79" s="968">
        <v>2606</v>
      </c>
      <c r="B79" s="968" t="s">
        <v>211</v>
      </c>
      <c r="C79" s="969" t="s">
        <v>829</v>
      </c>
      <c r="D79" s="969" t="s">
        <v>457</v>
      </c>
      <c r="E79" s="987" t="s">
        <v>55</v>
      </c>
      <c r="F79" s="987"/>
      <c r="G79" s="955" t="str">
        <f>IFERROR(VLOOKUP(D79,[3]전용!E:J,6,0),"")</f>
        <v/>
      </c>
      <c r="H79" s="854">
        <v>82410</v>
      </c>
      <c r="I79" s="987">
        <v>6</v>
      </c>
      <c r="J79" s="987" t="s">
        <v>286</v>
      </c>
      <c r="K79" s="987">
        <v>12</v>
      </c>
      <c r="L79" s="988">
        <v>1399</v>
      </c>
      <c r="M79" s="971">
        <f t="shared" si="26"/>
        <v>100728</v>
      </c>
      <c r="N79" s="855">
        <v>0.3255367743903137</v>
      </c>
      <c r="O79" s="855"/>
      <c r="P79" s="988">
        <v>1399</v>
      </c>
      <c r="Q79" s="970">
        <f t="shared" si="27"/>
        <v>0</v>
      </c>
      <c r="R79" s="971">
        <f t="shared" si="25"/>
        <v>100728</v>
      </c>
      <c r="S79" s="856">
        <f t="shared" si="36"/>
        <v>0.26825256084966931</v>
      </c>
      <c r="T79" s="971"/>
      <c r="U79" s="971"/>
      <c r="V79" s="989">
        <v>6</v>
      </c>
      <c r="W79" s="971">
        <f t="shared" si="28"/>
        <v>4197</v>
      </c>
      <c r="X79" s="971">
        <f t="shared" si="37"/>
        <v>96531</v>
      </c>
      <c r="Y79" s="858">
        <f t="shared" si="38"/>
        <v>-4.166666666666663E-2</v>
      </c>
      <c r="Z79" s="857">
        <f t="shared" si="39"/>
        <v>1.1713505642519111</v>
      </c>
      <c r="AA79" s="856">
        <v>0.24741922751633599</v>
      </c>
      <c r="AB79" s="856">
        <v>-1.109875291610255E-4</v>
      </c>
      <c r="AC79" s="970">
        <f t="shared" si="29"/>
        <v>1399</v>
      </c>
      <c r="AD79" s="970"/>
      <c r="AE79" s="970">
        <f t="shared" si="44"/>
        <v>0</v>
      </c>
      <c r="AF79" s="971">
        <f t="shared" si="40"/>
        <v>100728</v>
      </c>
      <c r="AG79" s="857">
        <f t="shared" si="41"/>
        <v>0</v>
      </c>
      <c r="AH79" s="576">
        <v>0</v>
      </c>
      <c r="AI79" s="856">
        <f t="shared" si="43"/>
        <v>0.22658589418300268</v>
      </c>
      <c r="AJ79" s="859">
        <v>0</v>
      </c>
      <c r="AK79" s="583">
        <v>6</v>
      </c>
      <c r="AL79" s="971">
        <f t="shared" si="42"/>
        <v>4197</v>
      </c>
      <c r="AM79" s="971">
        <f t="shared" si="30"/>
        <v>96531</v>
      </c>
      <c r="AN79" s="858">
        <f t="shared" si="31"/>
        <v>-4.166666666666663E-2</v>
      </c>
      <c r="AO79" s="857">
        <f t="shared" si="32"/>
        <v>1.1713505642519111</v>
      </c>
      <c r="AP79" s="973">
        <f t="shared" si="33"/>
        <v>0</v>
      </c>
      <c r="AQ79" s="855">
        <f t="shared" si="34"/>
        <v>0</v>
      </c>
      <c r="AR79" s="974">
        <f t="shared" si="45"/>
        <v>0.24741922751633599</v>
      </c>
      <c r="AS79" s="975"/>
      <c r="AT79" s="976"/>
      <c r="AU79" s="971"/>
      <c r="AV79" s="976"/>
      <c r="AW79" s="970"/>
      <c r="AX79" s="971"/>
      <c r="AY79" s="971"/>
      <c r="AZ79" s="977"/>
      <c r="BA79" s="972"/>
      <c r="BB79" s="971"/>
      <c r="BC79" s="973"/>
      <c r="BD79" s="973"/>
      <c r="BE79" s="855"/>
      <c r="BF79" s="975"/>
      <c r="BG79" s="975"/>
      <c r="BH79" s="971"/>
      <c r="BI79" s="970"/>
      <c r="BJ79" s="971"/>
      <c r="BK79" s="971"/>
      <c r="BL79" s="977"/>
      <c r="BM79" s="972"/>
      <c r="BN79" s="971"/>
      <c r="BO79" s="973"/>
      <c r="BP79" s="973"/>
      <c r="BQ79" s="855"/>
      <c r="BR79" s="975"/>
      <c r="BS79" s="975"/>
      <c r="BT79" s="978"/>
      <c r="BU79" s="978"/>
      <c r="BV79" s="978">
        <v>0.24741922751633599</v>
      </c>
      <c r="BW79" s="978">
        <f t="shared" si="35"/>
        <v>0.20941922751633599</v>
      </c>
    </row>
    <row r="80" spans="1:75" hidden="1">
      <c r="A80" s="979">
        <v>2606</v>
      </c>
      <c r="B80" s="979" t="s">
        <v>211</v>
      </c>
      <c r="C80" s="980" t="s">
        <v>829</v>
      </c>
      <c r="D80" s="980" t="s">
        <v>457</v>
      </c>
      <c r="E80" s="987" t="s">
        <v>55</v>
      </c>
      <c r="F80" s="987"/>
      <c r="G80" s="955" t="str">
        <f>IFERROR(VLOOKUP(D80,[3]전용!E:J,6,0),"")</f>
        <v/>
      </c>
      <c r="H80" s="854">
        <v>82410</v>
      </c>
      <c r="I80" s="987">
        <v>6</v>
      </c>
      <c r="J80" s="987" t="s">
        <v>288</v>
      </c>
      <c r="K80" s="987">
        <v>12</v>
      </c>
      <c r="L80" s="988">
        <v>1299</v>
      </c>
      <c r="M80" s="971">
        <f t="shared" si="26"/>
        <v>93528</v>
      </c>
      <c r="N80" s="855">
        <v>0.33091220491003714</v>
      </c>
      <c r="O80" s="855"/>
      <c r="P80" s="988">
        <v>1299</v>
      </c>
      <c r="Q80" s="970">
        <f t="shared" si="27"/>
        <v>0</v>
      </c>
      <c r="R80" s="971">
        <f t="shared" si="25"/>
        <v>93528</v>
      </c>
      <c r="S80" s="856">
        <f t="shared" si="36"/>
        <v>0.26825256084966931</v>
      </c>
      <c r="T80" s="971"/>
      <c r="U80" s="971"/>
      <c r="V80" s="989">
        <v>6</v>
      </c>
      <c r="W80" s="971">
        <f t="shared" si="28"/>
        <v>3897</v>
      </c>
      <c r="X80" s="971">
        <f t="shared" si="37"/>
        <v>89631</v>
      </c>
      <c r="Y80" s="858">
        <f t="shared" si="38"/>
        <v>-4.166666666666663E-2</v>
      </c>
      <c r="Z80" s="857">
        <f t="shared" si="39"/>
        <v>1.0876228613032399</v>
      </c>
      <c r="AA80" s="856">
        <v>0.24741922751633599</v>
      </c>
      <c r="AB80" s="856">
        <v>-1.109875291610255E-4</v>
      </c>
      <c r="AC80" s="970">
        <f t="shared" si="29"/>
        <v>1299</v>
      </c>
      <c r="AD80" s="970"/>
      <c r="AE80" s="970">
        <f t="shared" si="44"/>
        <v>0</v>
      </c>
      <c r="AF80" s="971">
        <f t="shared" si="40"/>
        <v>93528</v>
      </c>
      <c r="AG80" s="857">
        <f t="shared" si="41"/>
        <v>0</v>
      </c>
      <c r="AH80" s="576">
        <v>0</v>
      </c>
      <c r="AI80" s="856">
        <f t="shared" si="43"/>
        <v>0.22658589418300268</v>
      </c>
      <c r="AJ80" s="859">
        <v>0</v>
      </c>
      <c r="AK80" s="583">
        <v>6</v>
      </c>
      <c r="AL80" s="971">
        <f t="shared" si="42"/>
        <v>3897</v>
      </c>
      <c r="AM80" s="971">
        <f t="shared" si="30"/>
        <v>89631</v>
      </c>
      <c r="AN80" s="858">
        <f t="shared" si="31"/>
        <v>-4.166666666666663E-2</v>
      </c>
      <c r="AO80" s="857">
        <f t="shared" si="32"/>
        <v>1.0876228613032399</v>
      </c>
      <c r="AP80" s="973">
        <f t="shared" si="33"/>
        <v>0</v>
      </c>
      <c r="AQ80" s="855">
        <f t="shared" si="34"/>
        <v>0</v>
      </c>
      <c r="AR80" s="974">
        <f t="shared" si="45"/>
        <v>0.24741922751633599</v>
      </c>
      <c r="AS80" s="975"/>
      <c r="AT80" s="976"/>
      <c r="AU80" s="971"/>
      <c r="AV80" s="976"/>
      <c r="AW80" s="970"/>
      <c r="AX80" s="971"/>
      <c r="AY80" s="971"/>
      <c r="AZ80" s="977"/>
      <c r="BA80" s="972"/>
      <c r="BB80" s="971"/>
      <c r="BC80" s="973"/>
      <c r="BD80" s="973"/>
      <c r="BE80" s="855"/>
      <c r="BF80" s="975"/>
      <c r="BG80" s="975"/>
      <c r="BH80" s="971"/>
      <c r="BI80" s="970"/>
      <c r="BJ80" s="971"/>
      <c r="BK80" s="971"/>
      <c r="BL80" s="977"/>
      <c r="BM80" s="972"/>
      <c r="BN80" s="971"/>
      <c r="BO80" s="973"/>
      <c r="BP80" s="973"/>
      <c r="BQ80" s="855"/>
      <c r="BR80" s="975"/>
      <c r="BS80" s="975"/>
      <c r="BT80" s="978"/>
      <c r="BU80" s="978"/>
      <c r="BV80" s="978">
        <v>0.24741922751633599</v>
      </c>
      <c r="BW80" s="978">
        <f t="shared" si="35"/>
        <v>0.20941922751633599</v>
      </c>
    </row>
    <row r="81" spans="1:75" hidden="1">
      <c r="A81" s="968">
        <v>2606</v>
      </c>
      <c r="B81" s="968" t="s">
        <v>211</v>
      </c>
      <c r="C81" s="969" t="s">
        <v>829</v>
      </c>
      <c r="D81" s="969" t="s">
        <v>473</v>
      </c>
      <c r="E81" s="987" t="s">
        <v>385</v>
      </c>
      <c r="F81" s="987"/>
      <c r="G81" s="955" t="str">
        <f>IFERROR(VLOOKUP(D81,[3]전용!E:J,6,0),"")</f>
        <v/>
      </c>
      <c r="H81" s="854">
        <v>82410</v>
      </c>
      <c r="I81" s="987">
        <v>5</v>
      </c>
      <c r="J81" s="987" t="s">
        <v>286</v>
      </c>
      <c r="K81" s="987">
        <v>12</v>
      </c>
      <c r="L81" s="988">
        <v>1599</v>
      </c>
      <c r="M81" s="971">
        <f t="shared" si="26"/>
        <v>95940</v>
      </c>
      <c r="N81" s="855">
        <v>0.31936842186900466</v>
      </c>
      <c r="O81" s="855"/>
      <c r="P81" s="988">
        <v>1599</v>
      </c>
      <c r="Q81" s="970">
        <f t="shared" si="27"/>
        <v>0</v>
      </c>
      <c r="R81" s="971">
        <f t="shared" si="25"/>
        <v>95940</v>
      </c>
      <c r="S81" s="856">
        <f t="shared" si="36"/>
        <v>0.26070459300277854</v>
      </c>
      <c r="T81" s="971"/>
      <c r="U81" s="971"/>
      <c r="V81" s="989">
        <v>6</v>
      </c>
      <c r="W81" s="971">
        <f t="shared" si="28"/>
        <v>4797</v>
      </c>
      <c r="X81" s="971">
        <f t="shared" si="37"/>
        <v>91143</v>
      </c>
      <c r="Y81" s="858">
        <f t="shared" si="38"/>
        <v>-5.0000000000000044E-2</v>
      </c>
      <c r="Z81" s="857">
        <f t="shared" si="39"/>
        <v>1.1059701492537313</v>
      </c>
      <c r="AA81" s="856">
        <v>0.23570459300277852</v>
      </c>
      <c r="AB81" s="856">
        <v>-1.1057862476498008E-4</v>
      </c>
      <c r="AC81" s="970">
        <f t="shared" si="29"/>
        <v>1599</v>
      </c>
      <c r="AD81" s="970"/>
      <c r="AE81" s="970">
        <f t="shared" si="44"/>
        <v>0</v>
      </c>
      <c r="AF81" s="971">
        <f t="shared" si="40"/>
        <v>95940</v>
      </c>
      <c r="AG81" s="857">
        <f t="shared" si="41"/>
        <v>0</v>
      </c>
      <c r="AH81" s="576">
        <v>0</v>
      </c>
      <c r="AI81" s="856">
        <f t="shared" si="43"/>
        <v>0.2107045930027785</v>
      </c>
      <c r="AJ81" s="859">
        <v>0</v>
      </c>
      <c r="AK81" s="583">
        <v>6</v>
      </c>
      <c r="AL81" s="971">
        <f t="shared" si="42"/>
        <v>4797</v>
      </c>
      <c r="AM81" s="971">
        <f t="shared" si="30"/>
        <v>91143</v>
      </c>
      <c r="AN81" s="858">
        <f t="shared" si="31"/>
        <v>-5.0000000000000044E-2</v>
      </c>
      <c r="AO81" s="857">
        <f t="shared" si="32"/>
        <v>1.1059701492537313</v>
      </c>
      <c r="AP81" s="973">
        <f t="shared" si="33"/>
        <v>0</v>
      </c>
      <c r="AQ81" s="855">
        <f t="shared" si="34"/>
        <v>0</v>
      </c>
      <c r="AR81" s="974">
        <f t="shared" si="45"/>
        <v>0.23570459300277852</v>
      </c>
      <c r="AS81" s="975"/>
      <c r="AT81" s="976"/>
      <c r="AU81" s="971"/>
      <c r="AV81" s="976"/>
      <c r="AW81" s="970"/>
      <c r="AX81" s="971"/>
      <c r="AY81" s="971"/>
      <c r="AZ81" s="977"/>
      <c r="BA81" s="972"/>
      <c r="BB81" s="971"/>
      <c r="BC81" s="973"/>
      <c r="BD81" s="973"/>
      <c r="BE81" s="855"/>
      <c r="BF81" s="975"/>
      <c r="BG81" s="975"/>
      <c r="BH81" s="971"/>
      <c r="BI81" s="970"/>
      <c r="BJ81" s="971"/>
      <c r="BK81" s="971"/>
      <c r="BL81" s="977"/>
      <c r="BM81" s="972"/>
      <c r="BN81" s="971"/>
      <c r="BO81" s="973"/>
      <c r="BP81" s="973"/>
      <c r="BQ81" s="855"/>
      <c r="BR81" s="975"/>
      <c r="BS81" s="975"/>
      <c r="BT81" s="978"/>
      <c r="BU81" s="978"/>
      <c r="BV81" s="978">
        <v>0.23570459300277852</v>
      </c>
      <c r="BW81" s="978">
        <f t="shared" si="35"/>
        <v>0.19770459300277851</v>
      </c>
    </row>
    <row r="82" spans="1:75" hidden="1">
      <c r="A82" s="968">
        <v>2606</v>
      </c>
      <c r="B82" s="968" t="s">
        <v>211</v>
      </c>
      <c r="C82" s="969" t="s">
        <v>829</v>
      </c>
      <c r="D82" s="969" t="s">
        <v>473</v>
      </c>
      <c r="E82" s="987" t="s">
        <v>385</v>
      </c>
      <c r="F82" s="987"/>
      <c r="G82" s="955" t="str">
        <f>IFERROR(VLOOKUP(D82,[3]전용!E:J,6,0),"")</f>
        <v/>
      </c>
      <c r="H82" s="854">
        <v>82410</v>
      </c>
      <c r="I82" s="987">
        <v>5</v>
      </c>
      <c r="J82" s="987" t="s">
        <v>288</v>
      </c>
      <c r="K82" s="987">
        <v>12</v>
      </c>
      <c r="L82" s="988">
        <v>1499</v>
      </c>
      <c r="M82" s="971">
        <f t="shared" si="26"/>
        <v>89940</v>
      </c>
      <c r="N82" s="855">
        <v>0.3233376328581305</v>
      </c>
      <c r="O82" s="855"/>
      <c r="P82" s="988">
        <v>1499</v>
      </c>
      <c r="Q82" s="970">
        <f t="shared" si="27"/>
        <v>0</v>
      </c>
      <c r="R82" s="971">
        <f t="shared" si="25"/>
        <v>89940</v>
      </c>
      <c r="S82" s="856">
        <f t="shared" si="36"/>
        <v>0.26070459300277854</v>
      </c>
      <c r="T82" s="971"/>
      <c r="U82" s="971"/>
      <c r="V82" s="989">
        <v>6</v>
      </c>
      <c r="W82" s="971">
        <f t="shared" si="28"/>
        <v>4497</v>
      </c>
      <c r="X82" s="971">
        <f t="shared" si="37"/>
        <v>85443</v>
      </c>
      <c r="Y82" s="858">
        <f t="shared" si="38"/>
        <v>-5.0000000000000044E-2</v>
      </c>
      <c r="Z82" s="857">
        <f t="shared" si="39"/>
        <v>1.0368037859483072</v>
      </c>
      <c r="AA82" s="856">
        <v>0.23570459300277852</v>
      </c>
      <c r="AB82" s="856">
        <v>-1.1057862476498008E-4</v>
      </c>
      <c r="AC82" s="970">
        <f t="shared" si="29"/>
        <v>1499</v>
      </c>
      <c r="AD82" s="970"/>
      <c r="AE82" s="970">
        <f t="shared" si="44"/>
        <v>0</v>
      </c>
      <c r="AF82" s="971">
        <f t="shared" si="40"/>
        <v>89940</v>
      </c>
      <c r="AG82" s="857">
        <f t="shared" si="41"/>
        <v>0</v>
      </c>
      <c r="AH82" s="576">
        <v>0</v>
      </c>
      <c r="AI82" s="856">
        <f t="shared" si="43"/>
        <v>0.2107045930027785</v>
      </c>
      <c r="AJ82" s="859">
        <v>0</v>
      </c>
      <c r="AK82" s="583">
        <v>6</v>
      </c>
      <c r="AL82" s="971">
        <f t="shared" si="42"/>
        <v>4497</v>
      </c>
      <c r="AM82" s="971">
        <f t="shared" si="30"/>
        <v>85443</v>
      </c>
      <c r="AN82" s="858">
        <f t="shared" si="31"/>
        <v>-5.0000000000000044E-2</v>
      </c>
      <c r="AO82" s="857">
        <f t="shared" si="32"/>
        <v>1.0368037859483072</v>
      </c>
      <c r="AP82" s="973">
        <f t="shared" si="33"/>
        <v>0</v>
      </c>
      <c r="AQ82" s="855">
        <f t="shared" si="34"/>
        <v>0</v>
      </c>
      <c r="AR82" s="974">
        <f t="shared" si="45"/>
        <v>0.23570459300277852</v>
      </c>
      <c r="AS82" s="975"/>
      <c r="AT82" s="976"/>
      <c r="AU82" s="971"/>
      <c r="AV82" s="976"/>
      <c r="AW82" s="970"/>
      <c r="AX82" s="971"/>
      <c r="AY82" s="971"/>
      <c r="AZ82" s="977"/>
      <c r="BA82" s="972"/>
      <c r="BB82" s="971"/>
      <c r="BC82" s="973"/>
      <c r="BD82" s="973"/>
      <c r="BE82" s="855"/>
      <c r="BF82" s="975"/>
      <c r="BG82" s="975"/>
      <c r="BH82" s="971"/>
      <c r="BI82" s="970"/>
      <c r="BJ82" s="971"/>
      <c r="BK82" s="971"/>
      <c r="BL82" s="977"/>
      <c r="BM82" s="972"/>
      <c r="BN82" s="971"/>
      <c r="BO82" s="973"/>
      <c r="BP82" s="973"/>
      <c r="BQ82" s="855"/>
      <c r="BR82" s="975"/>
      <c r="BS82" s="975"/>
      <c r="BT82" s="978"/>
      <c r="BU82" s="978"/>
      <c r="BV82" s="978">
        <v>0.23570459300277852</v>
      </c>
      <c r="BW82" s="978">
        <f t="shared" si="35"/>
        <v>0.19770459300277851</v>
      </c>
    </row>
    <row r="83" spans="1:75" hidden="1">
      <c r="A83" s="968">
        <v>2606</v>
      </c>
      <c r="B83" s="968" t="s">
        <v>211</v>
      </c>
      <c r="C83" s="969" t="s">
        <v>829</v>
      </c>
      <c r="D83" s="969" t="s">
        <v>473</v>
      </c>
      <c r="E83" s="987" t="s">
        <v>385</v>
      </c>
      <c r="F83" s="987"/>
      <c r="G83" s="955" t="str">
        <f>IFERROR(VLOOKUP(D83,[3]전용!E:J,6,0),"")</f>
        <v/>
      </c>
      <c r="H83" s="854">
        <v>82410</v>
      </c>
      <c r="I83" s="987">
        <v>6</v>
      </c>
      <c r="J83" s="987" t="s">
        <v>286</v>
      </c>
      <c r="K83" s="987">
        <v>12</v>
      </c>
      <c r="L83" s="988">
        <v>1399</v>
      </c>
      <c r="M83" s="971">
        <f t="shared" si="26"/>
        <v>100728</v>
      </c>
      <c r="N83" s="855">
        <v>0.32463179727269026</v>
      </c>
      <c r="O83" s="855"/>
      <c r="P83" s="988">
        <v>1399</v>
      </c>
      <c r="Q83" s="970">
        <f t="shared" si="27"/>
        <v>0</v>
      </c>
      <c r="R83" s="971">
        <f t="shared" si="25"/>
        <v>100728</v>
      </c>
      <c r="S83" s="856">
        <f t="shared" si="36"/>
        <v>0.25653792633611183</v>
      </c>
      <c r="T83" s="971"/>
      <c r="U83" s="971"/>
      <c r="V83" s="989">
        <v>6</v>
      </c>
      <c r="W83" s="971">
        <f t="shared" si="28"/>
        <v>4197</v>
      </c>
      <c r="X83" s="971">
        <f t="shared" si="37"/>
        <v>96531</v>
      </c>
      <c r="Y83" s="858">
        <f t="shared" si="38"/>
        <v>-4.166666666666663E-2</v>
      </c>
      <c r="Z83" s="857">
        <f t="shared" si="39"/>
        <v>1.1713505642519111</v>
      </c>
      <c r="AA83" s="856">
        <v>0.23570459300277852</v>
      </c>
      <c r="AB83" s="856">
        <v>-1.1057862476498008E-4</v>
      </c>
      <c r="AC83" s="970">
        <f t="shared" si="29"/>
        <v>1399</v>
      </c>
      <c r="AD83" s="970"/>
      <c r="AE83" s="970">
        <f t="shared" si="44"/>
        <v>0</v>
      </c>
      <c r="AF83" s="971">
        <f t="shared" si="40"/>
        <v>100728</v>
      </c>
      <c r="AG83" s="857">
        <f t="shared" si="41"/>
        <v>0</v>
      </c>
      <c r="AH83" s="576">
        <v>0</v>
      </c>
      <c r="AI83" s="856">
        <f t="shared" si="43"/>
        <v>0.2148712596694452</v>
      </c>
      <c r="AJ83" s="859">
        <v>0</v>
      </c>
      <c r="AK83" s="583">
        <v>6</v>
      </c>
      <c r="AL83" s="971">
        <f t="shared" si="42"/>
        <v>4197</v>
      </c>
      <c r="AM83" s="971">
        <f t="shared" si="30"/>
        <v>96531</v>
      </c>
      <c r="AN83" s="858">
        <f t="shared" si="31"/>
        <v>-4.166666666666663E-2</v>
      </c>
      <c r="AO83" s="857">
        <f t="shared" si="32"/>
        <v>1.1713505642519111</v>
      </c>
      <c r="AP83" s="973">
        <f t="shared" si="33"/>
        <v>0</v>
      </c>
      <c r="AQ83" s="855">
        <f t="shared" si="34"/>
        <v>0</v>
      </c>
      <c r="AR83" s="974">
        <f t="shared" si="45"/>
        <v>0.23570459300277852</v>
      </c>
      <c r="AS83" s="975"/>
      <c r="AT83" s="976"/>
      <c r="AU83" s="971"/>
      <c r="AV83" s="976"/>
      <c r="AW83" s="970"/>
      <c r="AX83" s="971"/>
      <c r="AY83" s="971"/>
      <c r="AZ83" s="977"/>
      <c r="BA83" s="972"/>
      <c r="BB83" s="971"/>
      <c r="BC83" s="973"/>
      <c r="BD83" s="973"/>
      <c r="BE83" s="855"/>
      <c r="BF83" s="975"/>
      <c r="BG83" s="975"/>
      <c r="BH83" s="971"/>
      <c r="BI83" s="970"/>
      <c r="BJ83" s="971"/>
      <c r="BK83" s="971"/>
      <c r="BL83" s="977"/>
      <c r="BM83" s="972"/>
      <c r="BN83" s="971"/>
      <c r="BO83" s="973"/>
      <c r="BP83" s="973"/>
      <c r="BQ83" s="855"/>
      <c r="BR83" s="975"/>
      <c r="BS83" s="975"/>
      <c r="BT83" s="978"/>
      <c r="BU83" s="978"/>
      <c r="BV83" s="978">
        <v>0.23570459300277852</v>
      </c>
      <c r="BW83" s="978">
        <f t="shared" si="35"/>
        <v>0.19770459300277851</v>
      </c>
    </row>
    <row r="84" spans="1:75" hidden="1">
      <c r="A84" s="979">
        <v>2606</v>
      </c>
      <c r="B84" s="979" t="s">
        <v>211</v>
      </c>
      <c r="C84" s="980" t="s">
        <v>829</v>
      </c>
      <c r="D84" s="980" t="s">
        <v>473</v>
      </c>
      <c r="E84" s="987" t="s">
        <v>385</v>
      </c>
      <c r="F84" s="987"/>
      <c r="G84" s="955" t="str">
        <f>IFERROR(VLOOKUP(D84,[3]전용!E:J,6,0),"")</f>
        <v/>
      </c>
      <c r="H84" s="854">
        <v>82410</v>
      </c>
      <c r="I84" s="987">
        <v>6</v>
      </c>
      <c r="J84" s="987" t="s">
        <v>288</v>
      </c>
      <c r="K84" s="987">
        <v>12</v>
      </c>
      <c r="L84" s="988">
        <v>1299</v>
      </c>
      <c r="M84" s="971">
        <f t="shared" si="26"/>
        <v>93528</v>
      </c>
      <c r="N84" s="855">
        <v>0.3300072277924137</v>
      </c>
      <c r="O84" s="855"/>
      <c r="P84" s="988">
        <v>1299</v>
      </c>
      <c r="Q84" s="970">
        <f t="shared" si="27"/>
        <v>0</v>
      </c>
      <c r="R84" s="971">
        <f t="shared" si="25"/>
        <v>93528</v>
      </c>
      <c r="S84" s="856">
        <f t="shared" si="36"/>
        <v>0.25653792633611183</v>
      </c>
      <c r="T84" s="971"/>
      <c r="U84" s="971"/>
      <c r="V84" s="989">
        <v>6</v>
      </c>
      <c r="W84" s="971">
        <f t="shared" si="28"/>
        <v>3897</v>
      </c>
      <c r="X84" s="971">
        <f t="shared" si="37"/>
        <v>89631</v>
      </c>
      <c r="Y84" s="858">
        <f t="shared" si="38"/>
        <v>-4.166666666666663E-2</v>
      </c>
      <c r="Z84" s="857">
        <f t="shared" si="39"/>
        <v>1.0876228613032399</v>
      </c>
      <c r="AA84" s="856">
        <v>0.23570459300277852</v>
      </c>
      <c r="AB84" s="856">
        <v>-1.1057862476498008E-4</v>
      </c>
      <c r="AC84" s="970">
        <f t="shared" si="29"/>
        <v>1299</v>
      </c>
      <c r="AD84" s="970"/>
      <c r="AE84" s="970">
        <f t="shared" si="44"/>
        <v>0</v>
      </c>
      <c r="AF84" s="971">
        <f t="shared" si="40"/>
        <v>93528</v>
      </c>
      <c r="AG84" s="857">
        <f t="shared" si="41"/>
        <v>0</v>
      </c>
      <c r="AH84" s="576">
        <v>0</v>
      </c>
      <c r="AI84" s="856">
        <f t="shared" si="43"/>
        <v>0.2148712596694452</v>
      </c>
      <c r="AJ84" s="859">
        <v>0</v>
      </c>
      <c r="AK84" s="583">
        <v>6</v>
      </c>
      <c r="AL84" s="971">
        <f t="shared" si="42"/>
        <v>3897</v>
      </c>
      <c r="AM84" s="971">
        <f t="shared" si="30"/>
        <v>89631</v>
      </c>
      <c r="AN84" s="858">
        <f t="shared" si="31"/>
        <v>-4.166666666666663E-2</v>
      </c>
      <c r="AO84" s="857">
        <f t="shared" si="32"/>
        <v>1.0876228613032399</v>
      </c>
      <c r="AP84" s="973">
        <f t="shared" si="33"/>
        <v>0</v>
      </c>
      <c r="AQ84" s="855">
        <f t="shared" si="34"/>
        <v>0</v>
      </c>
      <c r="AR84" s="974">
        <f t="shared" si="45"/>
        <v>0.23570459300277852</v>
      </c>
      <c r="AS84" s="975"/>
      <c r="AT84" s="976"/>
      <c r="AU84" s="971"/>
      <c r="AV84" s="976"/>
      <c r="AW84" s="970"/>
      <c r="AX84" s="971"/>
      <c r="AY84" s="971"/>
      <c r="AZ84" s="977"/>
      <c r="BA84" s="972"/>
      <c r="BB84" s="971"/>
      <c r="BC84" s="973"/>
      <c r="BD84" s="973"/>
      <c r="BE84" s="855"/>
      <c r="BF84" s="975"/>
      <c r="BG84" s="975"/>
      <c r="BH84" s="971"/>
      <c r="BI84" s="970"/>
      <c r="BJ84" s="971"/>
      <c r="BK84" s="971"/>
      <c r="BL84" s="977"/>
      <c r="BM84" s="972"/>
      <c r="BN84" s="971"/>
      <c r="BO84" s="973"/>
      <c r="BP84" s="973"/>
      <c r="BQ84" s="855"/>
      <c r="BR84" s="975"/>
      <c r="BS84" s="975"/>
      <c r="BT84" s="978"/>
      <c r="BU84" s="978"/>
      <c r="BV84" s="978">
        <v>0.23570459300277852</v>
      </c>
      <c r="BW84" s="978">
        <f t="shared" si="35"/>
        <v>0.19770459300277851</v>
      </c>
    </row>
    <row r="85" spans="1:75" hidden="1">
      <c r="A85" s="968">
        <v>2606</v>
      </c>
      <c r="B85" s="968" t="s">
        <v>211</v>
      </c>
      <c r="C85" s="969" t="s">
        <v>829</v>
      </c>
      <c r="D85" s="969" t="s">
        <v>212</v>
      </c>
      <c r="E85" s="955" t="s">
        <v>389</v>
      </c>
      <c r="F85" s="955"/>
      <c r="G85" s="955" t="str">
        <f>IFERROR(VLOOKUP(D85,[3]전용!E:J,6,0),"")</f>
        <v/>
      </c>
      <c r="H85" s="854">
        <v>62833.333333333328</v>
      </c>
      <c r="I85" s="955">
        <v>5</v>
      </c>
      <c r="J85" s="955" t="s">
        <v>286</v>
      </c>
      <c r="K85" s="955">
        <v>12</v>
      </c>
      <c r="L85" s="970">
        <v>899</v>
      </c>
      <c r="M85" s="971">
        <f t="shared" si="26"/>
        <v>53940</v>
      </c>
      <c r="N85" s="855">
        <v>0.15</v>
      </c>
      <c r="O85" s="855"/>
      <c r="P85" s="970">
        <v>899</v>
      </c>
      <c r="Q85" s="970">
        <f t="shared" si="27"/>
        <v>0</v>
      </c>
      <c r="R85" s="971">
        <f t="shared" si="25"/>
        <v>53940</v>
      </c>
      <c r="S85" s="856">
        <f t="shared" si="36"/>
        <v>0.24758933037571232</v>
      </c>
      <c r="T85" s="971"/>
      <c r="U85" s="971"/>
      <c r="V85" s="972">
        <v>6</v>
      </c>
      <c r="W85" s="971">
        <f t="shared" si="28"/>
        <v>2697</v>
      </c>
      <c r="X85" s="971">
        <f t="shared" si="37"/>
        <v>51243</v>
      </c>
      <c r="Y85" s="858">
        <f t="shared" si="38"/>
        <v>-5.0000000000000044E-2</v>
      </c>
      <c r="Z85" s="857">
        <f t="shared" si="39"/>
        <v>0.81553846153846166</v>
      </c>
      <c r="AA85" s="856">
        <v>0.2225893303757123</v>
      </c>
      <c r="AB85" s="856">
        <v>2.730610566086376E-2</v>
      </c>
      <c r="AC85" s="970">
        <f t="shared" si="29"/>
        <v>899</v>
      </c>
      <c r="AD85" s="970"/>
      <c r="AE85" s="970">
        <f t="shared" si="44"/>
        <v>0</v>
      </c>
      <c r="AF85" s="971">
        <f t="shared" si="40"/>
        <v>53940</v>
      </c>
      <c r="AG85" s="857">
        <f t="shared" si="41"/>
        <v>0</v>
      </c>
      <c r="AH85" s="576">
        <v>0</v>
      </c>
      <c r="AI85" s="856">
        <f t="shared" si="43"/>
        <v>0.19758933037571227</v>
      </c>
      <c r="AJ85" s="859">
        <v>0</v>
      </c>
      <c r="AK85" s="583">
        <v>6</v>
      </c>
      <c r="AL85" s="971">
        <f t="shared" si="42"/>
        <v>2697</v>
      </c>
      <c r="AM85" s="971">
        <f t="shared" si="30"/>
        <v>51243</v>
      </c>
      <c r="AN85" s="858">
        <f t="shared" si="31"/>
        <v>-5.0000000000000044E-2</v>
      </c>
      <c r="AO85" s="857">
        <f t="shared" si="32"/>
        <v>0.81553846153846166</v>
      </c>
      <c r="AP85" s="973">
        <f t="shared" si="33"/>
        <v>0</v>
      </c>
      <c r="AQ85" s="855">
        <f t="shared" si="34"/>
        <v>0</v>
      </c>
      <c r="AR85" s="974">
        <f t="shared" si="45"/>
        <v>0.2225893303757123</v>
      </c>
      <c r="AS85" s="975"/>
      <c r="AT85" s="976"/>
      <c r="AU85" s="971"/>
      <c r="AV85" s="976"/>
      <c r="AW85" s="970"/>
      <c r="AX85" s="971"/>
      <c r="AY85" s="971"/>
      <c r="AZ85" s="977"/>
      <c r="BA85" s="972"/>
      <c r="BB85" s="971"/>
      <c r="BC85" s="973"/>
      <c r="BD85" s="973"/>
      <c r="BE85" s="855"/>
      <c r="BF85" s="975"/>
      <c r="BG85" s="975"/>
      <c r="BH85" s="971"/>
      <c r="BI85" s="970"/>
      <c r="BJ85" s="971"/>
      <c r="BK85" s="971"/>
      <c r="BL85" s="977"/>
      <c r="BM85" s="972"/>
      <c r="BN85" s="971"/>
      <c r="BO85" s="973"/>
      <c r="BP85" s="973"/>
      <c r="BQ85" s="855"/>
      <c r="BR85" s="975"/>
      <c r="BS85" s="975"/>
      <c r="BT85" s="978"/>
      <c r="BU85" s="978"/>
      <c r="BV85" s="978">
        <v>0.22325636950101302</v>
      </c>
      <c r="BW85" s="978">
        <f t="shared" si="35"/>
        <v>0.18458933037571229</v>
      </c>
    </row>
    <row r="86" spans="1:75" hidden="1">
      <c r="A86" s="968">
        <v>2606</v>
      </c>
      <c r="B86" s="968" t="s">
        <v>211</v>
      </c>
      <c r="C86" s="969" t="s">
        <v>829</v>
      </c>
      <c r="D86" s="969" t="s">
        <v>212</v>
      </c>
      <c r="E86" s="955" t="s">
        <v>389</v>
      </c>
      <c r="F86" s="955"/>
      <c r="G86" s="955" t="str">
        <f>IFERROR(VLOOKUP(D86,[3]전용!E:J,6,0),"")</f>
        <v/>
      </c>
      <c r="H86" s="854">
        <v>62833.333333333328</v>
      </c>
      <c r="I86" s="955">
        <v>5</v>
      </c>
      <c r="J86" s="955" t="s">
        <v>288</v>
      </c>
      <c r="K86" s="955">
        <v>12</v>
      </c>
      <c r="L86" s="970">
        <v>849</v>
      </c>
      <c r="M86" s="971">
        <f t="shared" si="26"/>
        <v>50940</v>
      </c>
      <c r="N86" s="855">
        <v>0.15</v>
      </c>
      <c r="O86" s="855"/>
      <c r="P86" s="970">
        <v>849</v>
      </c>
      <c r="Q86" s="970">
        <f t="shared" si="27"/>
        <v>0</v>
      </c>
      <c r="R86" s="971">
        <f t="shared" si="25"/>
        <v>50940</v>
      </c>
      <c r="S86" s="856">
        <f t="shared" si="36"/>
        <v>0.24758933037571232</v>
      </c>
      <c r="T86" s="971"/>
      <c r="U86" s="971"/>
      <c r="V86" s="972">
        <v>6</v>
      </c>
      <c r="W86" s="971">
        <f t="shared" si="28"/>
        <v>2547</v>
      </c>
      <c r="X86" s="971">
        <f t="shared" si="37"/>
        <v>48393</v>
      </c>
      <c r="Y86" s="858">
        <f t="shared" si="38"/>
        <v>-5.0000000000000044E-2</v>
      </c>
      <c r="Z86" s="857">
        <f t="shared" si="39"/>
        <v>0.77018037135278516</v>
      </c>
      <c r="AA86" s="856">
        <v>0.2225893303757123</v>
      </c>
      <c r="AB86" s="856">
        <v>2.730610566086376E-2</v>
      </c>
      <c r="AC86" s="970">
        <f t="shared" si="29"/>
        <v>849</v>
      </c>
      <c r="AD86" s="970"/>
      <c r="AE86" s="970">
        <f t="shared" si="44"/>
        <v>0</v>
      </c>
      <c r="AF86" s="971">
        <f t="shared" si="40"/>
        <v>50940</v>
      </c>
      <c r="AG86" s="857">
        <f t="shared" si="41"/>
        <v>0</v>
      </c>
      <c r="AH86" s="576">
        <v>0</v>
      </c>
      <c r="AI86" s="856">
        <f t="shared" si="43"/>
        <v>0.19758933037571227</v>
      </c>
      <c r="AJ86" s="859">
        <v>0</v>
      </c>
      <c r="AK86" s="583">
        <v>6</v>
      </c>
      <c r="AL86" s="971">
        <f t="shared" si="42"/>
        <v>2547</v>
      </c>
      <c r="AM86" s="971">
        <f t="shared" si="30"/>
        <v>48393</v>
      </c>
      <c r="AN86" s="858">
        <f t="shared" si="31"/>
        <v>-5.0000000000000044E-2</v>
      </c>
      <c r="AO86" s="857">
        <f t="shared" si="32"/>
        <v>0.77018037135278516</v>
      </c>
      <c r="AP86" s="973">
        <f t="shared" si="33"/>
        <v>0</v>
      </c>
      <c r="AQ86" s="855">
        <f t="shared" si="34"/>
        <v>0</v>
      </c>
      <c r="AR86" s="974">
        <f t="shared" si="45"/>
        <v>0.2225893303757123</v>
      </c>
      <c r="AS86" s="975"/>
      <c r="AT86" s="976"/>
      <c r="AU86" s="971"/>
      <c r="AV86" s="976"/>
      <c r="AW86" s="970"/>
      <c r="AX86" s="971"/>
      <c r="AY86" s="971"/>
      <c r="AZ86" s="977"/>
      <c r="BA86" s="972"/>
      <c r="BB86" s="971"/>
      <c r="BC86" s="973"/>
      <c r="BD86" s="973"/>
      <c r="BE86" s="855"/>
      <c r="BF86" s="975"/>
      <c r="BG86" s="975"/>
      <c r="BH86" s="971"/>
      <c r="BI86" s="970"/>
      <c r="BJ86" s="971"/>
      <c r="BK86" s="971"/>
      <c r="BL86" s="977"/>
      <c r="BM86" s="972"/>
      <c r="BN86" s="971"/>
      <c r="BO86" s="973"/>
      <c r="BP86" s="973"/>
      <c r="BQ86" s="855"/>
      <c r="BR86" s="975"/>
      <c r="BS86" s="975"/>
      <c r="BT86" s="978"/>
      <c r="BU86" s="978"/>
      <c r="BV86" s="978">
        <v>0.22325636950101302</v>
      </c>
      <c r="BW86" s="978">
        <f t="shared" si="35"/>
        <v>0.18458933037571229</v>
      </c>
    </row>
    <row r="87" spans="1:75" hidden="1">
      <c r="A87" s="968">
        <v>2606</v>
      </c>
      <c r="B87" s="968" t="s">
        <v>211</v>
      </c>
      <c r="C87" s="969" t="s">
        <v>829</v>
      </c>
      <c r="D87" s="969" t="s">
        <v>212</v>
      </c>
      <c r="E87" s="955" t="s">
        <v>389</v>
      </c>
      <c r="F87" s="955"/>
      <c r="G87" s="955" t="str">
        <f>IFERROR(VLOOKUP(D87,[3]전용!E:J,6,0),"")</f>
        <v/>
      </c>
      <c r="H87" s="854">
        <v>62833.333333333328</v>
      </c>
      <c r="I87" s="955">
        <v>6</v>
      </c>
      <c r="J87" s="955" t="s">
        <v>286</v>
      </c>
      <c r="K87" s="955">
        <v>12</v>
      </c>
      <c r="L87" s="970">
        <v>849</v>
      </c>
      <c r="M87" s="971">
        <f t="shared" si="26"/>
        <v>61128</v>
      </c>
      <c r="N87" s="855">
        <v>0.15</v>
      </c>
      <c r="O87" s="855"/>
      <c r="P87" s="970">
        <v>849</v>
      </c>
      <c r="Q87" s="970">
        <f t="shared" si="27"/>
        <v>0</v>
      </c>
      <c r="R87" s="971">
        <f t="shared" si="25"/>
        <v>61128</v>
      </c>
      <c r="S87" s="856">
        <f t="shared" si="36"/>
        <v>0.24342266370904561</v>
      </c>
      <c r="T87" s="971"/>
      <c r="U87" s="971"/>
      <c r="V87" s="972">
        <v>6</v>
      </c>
      <c r="W87" s="971">
        <f t="shared" si="28"/>
        <v>2547</v>
      </c>
      <c r="X87" s="971">
        <f t="shared" si="37"/>
        <v>58581</v>
      </c>
      <c r="Y87" s="858">
        <f t="shared" si="38"/>
        <v>-4.166666666666663E-2</v>
      </c>
      <c r="Z87" s="857">
        <f t="shared" si="39"/>
        <v>0.93232360742705578</v>
      </c>
      <c r="AA87" s="856">
        <v>0.2225893303757123</v>
      </c>
      <c r="AB87" s="856">
        <v>2.730610566086376E-2</v>
      </c>
      <c r="AC87" s="970">
        <f t="shared" si="29"/>
        <v>849</v>
      </c>
      <c r="AD87" s="970"/>
      <c r="AE87" s="970">
        <f t="shared" si="44"/>
        <v>0</v>
      </c>
      <c r="AF87" s="971">
        <f t="shared" si="40"/>
        <v>61128</v>
      </c>
      <c r="AG87" s="857">
        <f t="shared" si="41"/>
        <v>0</v>
      </c>
      <c r="AH87" s="576">
        <v>0</v>
      </c>
      <c r="AI87" s="856">
        <f t="shared" si="43"/>
        <v>0.20175599704237898</v>
      </c>
      <c r="AJ87" s="859">
        <v>0</v>
      </c>
      <c r="AK87" s="583">
        <v>6</v>
      </c>
      <c r="AL87" s="971">
        <f t="shared" si="42"/>
        <v>2547</v>
      </c>
      <c r="AM87" s="971">
        <f t="shared" si="30"/>
        <v>58581</v>
      </c>
      <c r="AN87" s="858">
        <f t="shared" si="31"/>
        <v>-4.166666666666663E-2</v>
      </c>
      <c r="AO87" s="857">
        <f t="shared" si="32"/>
        <v>0.93232360742705578</v>
      </c>
      <c r="AP87" s="973">
        <f t="shared" si="33"/>
        <v>0</v>
      </c>
      <c r="AQ87" s="855">
        <f t="shared" si="34"/>
        <v>0</v>
      </c>
      <c r="AR87" s="974">
        <f t="shared" si="45"/>
        <v>0.2225893303757123</v>
      </c>
      <c r="AS87" s="975"/>
      <c r="AT87" s="976"/>
      <c r="AU87" s="971"/>
      <c r="AV87" s="976"/>
      <c r="AW87" s="970"/>
      <c r="AX87" s="971"/>
      <c r="AY87" s="971"/>
      <c r="AZ87" s="977"/>
      <c r="BA87" s="972"/>
      <c r="BB87" s="971"/>
      <c r="BC87" s="973"/>
      <c r="BD87" s="973"/>
      <c r="BE87" s="855"/>
      <c r="BF87" s="975"/>
      <c r="BG87" s="975"/>
      <c r="BH87" s="971"/>
      <c r="BI87" s="970"/>
      <c r="BJ87" s="971"/>
      <c r="BK87" s="971"/>
      <c r="BL87" s="977"/>
      <c r="BM87" s="972"/>
      <c r="BN87" s="971"/>
      <c r="BO87" s="973"/>
      <c r="BP87" s="973"/>
      <c r="BQ87" s="855"/>
      <c r="BR87" s="975"/>
      <c r="BS87" s="975"/>
      <c r="BT87" s="978"/>
      <c r="BU87" s="978"/>
      <c r="BV87" s="978">
        <v>0.22325636950101302</v>
      </c>
      <c r="BW87" s="978">
        <f t="shared" si="35"/>
        <v>0.18458933037571229</v>
      </c>
    </row>
    <row r="88" spans="1:75" hidden="1">
      <c r="A88" s="979">
        <v>2606</v>
      </c>
      <c r="B88" s="979" t="s">
        <v>211</v>
      </c>
      <c r="C88" s="980" t="s">
        <v>829</v>
      </c>
      <c r="D88" s="980" t="s">
        <v>212</v>
      </c>
      <c r="E88" s="955" t="s">
        <v>389</v>
      </c>
      <c r="F88" s="955"/>
      <c r="G88" s="955" t="str">
        <f>IFERROR(VLOOKUP(D88,[3]전용!E:J,6,0),"")</f>
        <v/>
      </c>
      <c r="H88" s="854">
        <v>62833.333333333328</v>
      </c>
      <c r="I88" s="955">
        <v>6</v>
      </c>
      <c r="J88" s="955" t="s">
        <v>288</v>
      </c>
      <c r="K88" s="955">
        <v>12</v>
      </c>
      <c r="L88" s="970">
        <v>799</v>
      </c>
      <c r="M88" s="971">
        <f t="shared" si="26"/>
        <v>57528</v>
      </c>
      <c r="N88" s="855">
        <v>0.15</v>
      </c>
      <c r="O88" s="855"/>
      <c r="P88" s="970">
        <v>799</v>
      </c>
      <c r="Q88" s="970">
        <f t="shared" si="27"/>
        <v>0</v>
      </c>
      <c r="R88" s="971">
        <f t="shared" si="25"/>
        <v>57528</v>
      </c>
      <c r="S88" s="856">
        <f t="shared" si="36"/>
        <v>0.24342266370904561</v>
      </c>
      <c r="T88" s="971"/>
      <c r="U88" s="971"/>
      <c r="V88" s="972">
        <v>6</v>
      </c>
      <c r="W88" s="971">
        <f t="shared" si="28"/>
        <v>2397</v>
      </c>
      <c r="X88" s="971">
        <f t="shared" si="37"/>
        <v>55131</v>
      </c>
      <c r="Y88" s="858">
        <f t="shared" si="38"/>
        <v>-4.166666666666663E-2</v>
      </c>
      <c r="Z88" s="857">
        <f t="shared" si="39"/>
        <v>0.8774164456233422</v>
      </c>
      <c r="AA88" s="856">
        <v>0.2225893303757123</v>
      </c>
      <c r="AB88" s="856">
        <v>2.730610566086376E-2</v>
      </c>
      <c r="AC88" s="970">
        <f t="shared" si="29"/>
        <v>799</v>
      </c>
      <c r="AD88" s="970"/>
      <c r="AE88" s="970">
        <f t="shared" si="44"/>
        <v>0</v>
      </c>
      <c r="AF88" s="971">
        <f t="shared" si="40"/>
        <v>57528</v>
      </c>
      <c r="AG88" s="857">
        <f t="shared" si="41"/>
        <v>0</v>
      </c>
      <c r="AH88" s="576">
        <v>0</v>
      </c>
      <c r="AI88" s="856">
        <f t="shared" si="43"/>
        <v>0.20175599704237898</v>
      </c>
      <c r="AJ88" s="859">
        <v>0</v>
      </c>
      <c r="AK88" s="583">
        <v>6</v>
      </c>
      <c r="AL88" s="971">
        <f t="shared" si="42"/>
        <v>2397</v>
      </c>
      <c r="AM88" s="971">
        <f t="shared" si="30"/>
        <v>55131</v>
      </c>
      <c r="AN88" s="858">
        <f t="shared" si="31"/>
        <v>-4.166666666666663E-2</v>
      </c>
      <c r="AO88" s="857">
        <f t="shared" si="32"/>
        <v>0.8774164456233422</v>
      </c>
      <c r="AP88" s="973">
        <f t="shared" si="33"/>
        <v>0</v>
      </c>
      <c r="AQ88" s="855">
        <f t="shared" si="34"/>
        <v>0</v>
      </c>
      <c r="AR88" s="974">
        <f t="shared" si="45"/>
        <v>0.2225893303757123</v>
      </c>
      <c r="AS88" s="975"/>
      <c r="AT88" s="976"/>
      <c r="AU88" s="971"/>
      <c r="AV88" s="976"/>
      <c r="AW88" s="970"/>
      <c r="AX88" s="971"/>
      <c r="AY88" s="971"/>
      <c r="AZ88" s="977"/>
      <c r="BA88" s="972"/>
      <c r="BB88" s="971"/>
      <c r="BC88" s="973"/>
      <c r="BD88" s="973"/>
      <c r="BE88" s="855"/>
      <c r="BF88" s="975"/>
      <c r="BG88" s="975"/>
      <c r="BH88" s="971"/>
      <c r="BI88" s="970"/>
      <c r="BJ88" s="971"/>
      <c r="BK88" s="971"/>
      <c r="BL88" s="977"/>
      <c r="BM88" s="972"/>
      <c r="BN88" s="971"/>
      <c r="BO88" s="973"/>
      <c r="BP88" s="973"/>
      <c r="BQ88" s="855"/>
      <c r="BR88" s="975"/>
      <c r="BS88" s="975"/>
      <c r="BT88" s="978"/>
      <c r="BU88" s="978"/>
      <c r="BV88" s="978">
        <v>0.22325636950101302</v>
      </c>
      <c r="BW88" s="978">
        <f t="shared" si="35"/>
        <v>0.18458933037571229</v>
      </c>
    </row>
    <row r="89" spans="1:75" hidden="1">
      <c r="A89" s="968">
        <v>2606</v>
      </c>
      <c r="B89" s="968" t="s">
        <v>211</v>
      </c>
      <c r="C89" s="969" t="s">
        <v>829</v>
      </c>
      <c r="D89" s="969" t="s">
        <v>53</v>
      </c>
      <c r="E89" s="955" t="s">
        <v>389</v>
      </c>
      <c r="F89" s="955"/>
      <c r="G89" s="955" t="str">
        <f>IFERROR(VLOOKUP(D89,[3]전용!E:J,6,0),"")</f>
        <v/>
      </c>
      <c r="H89" s="854">
        <v>27900</v>
      </c>
      <c r="I89" s="955">
        <v>5</v>
      </c>
      <c r="J89" s="955" t="s">
        <v>286</v>
      </c>
      <c r="K89" s="955">
        <v>12</v>
      </c>
      <c r="L89" s="970">
        <v>749</v>
      </c>
      <c r="M89" s="971">
        <f t="shared" si="26"/>
        <v>44940</v>
      </c>
      <c r="N89" s="855">
        <v>0.32327783713663871</v>
      </c>
      <c r="O89" s="855"/>
      <c r="P89" s="970">
        <v>749</v>
      </c>
      <c r="Q89" s="970">
        <f t="shared" si="27"/>
        <v>0</v>
      </c>
      <c r="R89" s="971">
        <f t="shared" si="25"/>
        <v>44940</v>
      </c>
      <c r="S89" s="856">
        <f t="shared" si="36"/>
        <v>0.22955731715295652</v>
      </c>
      <c r="T89" s="971"/>
      <c r="U89" s="971">
        <v>6</v>
      </c>
      <c r="V89" s="972"/>
      <c r="W89" s="971">
        <f t="shared" si="28"/>
        <v>4494</v>
      </c>
      <c r="X89" s="971">
        <f t="shared" si="37"/>
        <v>40446</v>
      </c>
      <c r="Y89" s="858">
        <f t="shared" si="38"/>
        <v>-9.9999999999999978E-2</v>
      </c>
      <c r="Z89" s="857">
        <f t="shared" si="39"/>
        <v>1.4496774193548387</v>
      </c>
      <c r="AA89" s="856">
        <v>0.17955731715295653</v>
      </c>
      <c r="AB89" s="856">
        <v>9.1360126040330294E-2</v>
      </c>
      <c r="AC89" s="970">
        <f t="shared" si="29"/>
        <v>749</v>
      </c>
      <c r="AD89" s="970"/>
      <c r="AE89" s="970">
        <f t="shared" si="44"/>
        <v>0</v>
      </c>
      <c r="AF89" s="971">
        <f t="shared" si="40"/>
        <v>44940</v>
      </c>
      <c r="AG89" s="857">
        <f t="shared" si="41"/>
        <v>0</v>
      </c>
      <c r="AH89" s="576">
        <v>0</v>
      </c>
      <c r="AI89" s="856">
        <f t="shared" si="43"/>
        <v>0.1823350949307343</v>
      </c>
      <c r="AJ89" s="859">
        <v>3</v>
      </c>
      <c r="AK89" s="583">
        <v>0</v>
      </c>
      <c r="AL89" s="971">
        <f t="shared" si="42"/>
        <v>2247</v>
      </c>
      <c r="AM89" s="971">
        <f t="shared" si="30"/>
        <v>42693</v>
      </c>
      <c r="AN89" s="858">
        <f t="shared" si="31"/>
        <v>-5.0000000000000044E-2</v>
      </c>
      <c r="AO89" s="857">
        <f t="shared" si="32"/>
        <v>1.5302150537634409</v>
      </c>
      <c r="AP89" s="973">
        <f t="shared" si="33"/>
        <v>2247</v>
      </c>
      <c r="AQ89" s="855">
        <f t="shared" si="34"/>
        <v>5.555555555555558E-2</v>
      </c>
      <c r="AR89" s="974">
        <f t="shared" si="45"/>
        <v>0.20733509493073432</v>
      </c>
      <c r="AS89" s="975"/>
      <c r="AT89" s="976"/>
      <c r="AU89" s="971"/>
      <c r="AV89" s="976"/>
      <c r="AW89" s="970"/>
      <c r="AX89" s="971"/>
      <c r="AY89" s="971"/>
      <c r="AZ89" s="977"/>
      <c r="BA89" s="972"/>
      <c r="BB89" s="971"/>
      <c r="BC89" s="973"/>
      <c r="BD89" s="973"/>
      <c r="BE89" s="855"/>
      <c r="BF89" s="975"/>
      <c r="BG89" s="975"/>
      <c r="BH89" s="971"/>
      <c r="BI89" s="970"/>
      <c r="BJ89" s="971"/>
      <c r="BK89" s="971"/>
      <c r="BL89" s="977"/>
      <c r="BM89" s="972"/>
      <c r="BN89" s="971"/>
      <c r="BO89" s="973"/>
      <c r="BP89" s="973"/>
      <c r="BQ89" s="855"/>
      <c r="BR89" s="975"/>
      <c r="BS89" s="975"/>
      <c r="BT89" s="978"/>
      <c r="BU89" s="978"/>
      <c r="BV89" s="978">
        <v>0.17902733414153801</v>
      </c>
      <c r="BW89" s="978">
        <f t="shared" si="35"/>
        <v>0.17955731715295653</v>
      </c>
    </row>
    <row r="90" spans="1:75" hidden="1">
      <c r="A90" s="968">
        <v>2606</v>
      </c>
      <c r="B90" s="968" t="s">
        <v>211</v>
      </c>
      <c r="C90" s="969" t="s">
        <v>829</v>
      </c>
      <c r="D90" s="969" t="s">
        <v>53</v>
      </c>
      <c r="E90" s="955" t="s">
        <v>389</v>
      </c>
      <c r="F90" s="955"/>
      <c r="G90" s="955" t="str">
        <f>IFERROR(VLOOKUP(D90,[3]전용!E:J,6,0),"")</f>
        <v/>
      </c>
      <c r="H90" s="854">
        <v>27900</v>
      </c>
      <c r="I90" s="955">
        <v>5</v>
      </c>
      <c r="J90" s="955" t="s">
        <v>288</v>
      </c>
      <c r="K90" s="955">
        <v>12</v>
      </c>
      <c r="L90" s="970">
        <v>649</v>
      </c>
      <c r="M90" s="971">
        <f t="shared" si="26"/>
        <v>38940</v>
      </c>
      <c r="N90" s="855">
        <v>0.32327783713663871</v>
      </c>
      <c r="O90" s="855"/>
      <c r="P90" s="970">
        <v>649</v>
      </c>
      <c r="Q90" s="970">
        <f t="shared" si="27"/>
        <v>0</v>
      </c>
      <c r="R90" s="971">
        <f t="shared" si="25"/>
        <v>38940</v>
      </c>
      <c r="S90" s="856">
        <f t="shared" si="36"/>
        <v>0.22955731715295652</v>
      </c>
      <c r="T90" s="971"/>
      <c r="U90" s="971">
        <v>6</v>
      </c>
      <c r="V90" s="972"/>
      <c r="W90" s="971">
        <f t="shared" si="28"/>
        <v>3894</v>
      </c>
      <c r="X90" s="971">
        <f t="shared" si="37"/>
        <v>35046</v>
      </c>
      <c r="Y90" s="858">
        <f t="shared" si="38"/>
        <v>-9.9999999999999978E-2</v>
      </c>
      <c r="Z90" s="857">
        <f t="shared" si="39"/>
        <v>1.2561290322580645</v>
      </c>
      <c r="AA90" s="856">
        <v>0.17955731715295653</v>
      </c>
      <c r="AB90" s="856">
        <v>9.1360126040330294E-2</v>
      </c>
      <c r="AC90" s="970">
        <f t="shared" si="29"/>
        <v>649</v>
      </c>
      <c r="AD90" s="970"/>
      <c r="AE90" s="970">
        <f t="shared" si="44"/>
        <v>0</v>
      </c>
      <c r="AF90" s="971">
        <f t="shared" si="40"/>
        <v>38940</v>
      </c>
      <c r="AG90" s="857">
        <f t="shared" si="41"/>
        <v>0</v>
      </c>
      <c r="AH90" s="576">
        <v>0</v>
      </c>
      <c r="AI90" s="856">
        <f t="shared" si="43"/>
        <v>0.1823350949307343</v>
      </c>
      <c r="AJ90" s="859">
        <v>3</v>
      </c>
      <c r="AK90" s="583">
        <v>0</v>
      </c>
      <c r="AL90" s="971">
        <f t="shared" si="42"/>
        <v>1947</v>
      </c>
      <c r="AM90" s="971">
        <f t="shared" si="30"/>
        <v>36993</v>
      </c>
      <c r="AN90" s="858">
        <f t="shared" si="31"/>
        <v>-5.0000000000000044E-2</v>
      </c>
      <c r="AO90" s="857">
        <f t="shared" si="32"/>
        <v>1.3259139784946237</v>
      </c>
      <c r="AP90" s="973">
        <f t="shared" si="33"/>
        <v>1947</v>
      </c>
      <c r="AQ90" s="855">
        <f t="shared" si="34"/>
        <v>5.555555555555558E-2</v>
      </c>
      <c r="AR90" s="974">
        <f t="shared" si="45"/>
        <v>0.20733509493073432</v>
      </c>
      <c r="AS90" s="975"/>
      <c r="AT90" s="976"/>
      <c r="AU90" s="971"/>
      <c r="AV90" s="976"/>
      <c r="AW90" s="970"/>
      <c r="AX90" s="971"/>
      <c r="AY90" s="971"/>
      <c r="AZ90" s="977"/>
      <c r="BA90" s="972"/>
      <c r="BB90" s="971"/>
      <c r="BC90" s="973"/>
      <c r="BD90" s="973"/>
      <c r="BE90" s="855"/>
      <c r="BF90" s="975"/>
      <c r="BG90" s="975"/>
      <c r="BH90" s="971"/>
      <c r="BI90" s="970"/>
      <c r="BJ90" s="971"/>
      <c r="BK90" s="971"/>
      <c r="BL90" s="977"/>
      <c r="BM90" s="972"/>
      <c r="BN90" s="971"/>
      <c r="BO90" s="973"/>
      <c r="BP90" s="973"/>
      <c r="BQ90" s="855"/>
      <c r="BR90" s="975"/>
      <c r="BS90" s="975"/>
      <c r="BT90" s="978"/>
      <c r="BU90" s="978"/>
      <c r="BV90" s="978">
        <v>0.17902733414153801</v>
      </c>
      <c r="BW90" s="978">
        <f t="shared" si="35"/>
        <v>0.17955731715295653</v>
      </c>
    </row>
    <row r="91" spans="1:75" hidden="1">
      <c r="A91" s="968">
        <v>2606</v>
      </c>
      <c r="B91" s="968" t="s">
        <v>211</v>
      </c>
      <c r="C91" s="969" t="s">
        <v>829</v>
      </c>
      <c r="D91" s="969" t="s">
        <v>53</v>
      </c>
      <c r="E91" s="955" t="s">
        <v>389</v>
      </c>
      <c r="F91" s="955"/>
      <c r="G91" s="955" t="str">
        <f>IFERROR(VLOOKUP(D91,[3]전용!E:J,6,0),"")</f>
        <v/>
      </c>
      <c r="H91" s="854">
        <v>27900</v>
      </c>
      <c r="I91" s="955">
        <v>6</v>
      </c>
      <c r="J91" s="955" t="s">
        <v>286</v>
      </c>
      <c r="K91" s="955">
        <v>12</v>
      </c>
      <c r="L91" s="970">
        <v>649</v>
      </c>
      <c r="M91" s="971">
        <f t="shared" si="26"/>
        <v>46728</v>
      </c>
      <c r="N91" s="855">
        <v>0.32032217211200809</v>
      </c>
      <c r="O91" s="855"/>
      <c r="P91" s="970">
        <v>649</v>
      </c>
      <c r="Q91" s="970">
        <f t="shared" si="27"/>
        <v>0</v>
      </c>
      <c r="R91" s="971">
        <f t="shared" si="25"/>
        <v>46728</v>
      </c>
      <c r="S91" s="856">
        <f t="shared" si="36"/>
        <v>0.22122398381962322</v>
      </c>
      <c r="T91" s="971"/>
      <c r="U91" s="971">
        <v>6</v>
      </c>
      <c r="V91" s="972"/>
      <c r="W91" s="971">
        <f t="shared" si="28"/>
        <v>3894</v>
      </c>
      <c r="X91" s="971">
        <f t="shared" si="37"/>
        <v>42834</v>
      </c>
      <c r="Y91" s="858">
        <f t="shared" si="38"/>
        <v>-8.333333333333337E-2</v>
      </c>
      <c r="Z91" s="857">
        <f t="shared" si="39"/>
        <v>1.535268817204301</v>
      </c>
      <c r="AA91" s="856">
        <v>0.17955731715295653</v>
      </c>
      <c r="AB91" s="856">
        <v>9.1360126040330294E-2</v>
      </c>
      <c r="AC91" s="970">
        <f t="shared" si="29"/>
        <v>649</v>
      </c>
      <c r="AD91" s="970"/>
      <c r="AE91" s="970">
        <f t="shared" si="44"/>
        <v>0</v>
      </c>
      <c r="AF91" s="971">
        <f t="shared" si="40"/>
        <v>46728</v>
      </c>
      <c r="AG91" s="857">
        <f t="shared" si="41"/>
        <v>0</v>
      </c>
      <c r="AH91" s="576">
        <v>0</v>
      </c>
      <c r="AI91" s="856">
        <f t="shared" si="43"/>
        <v>0.18145125654689592</v>
      </c>
      <c r="AJ91" s="859">
        <v>3</v>
      </c>
      <c r="AK91" s="583">
        <v>0</v>
      </c>
      <c r="AL91" s="971">
        <f t="shared" si="42"/>
        <v>1947</v>
      </c>
      <c r="AM91" s="971">
        <f t="shared" si="30"/>
        <v>44781</v>
      </c>
      <c r="AN91" s="858">
        <f t="shared" si="31"/>
        <v>-4.166666666666663E-2</v>
      </c>
      <c r="AO91" s="857">
        <f t="shared" si="32"/>
        <v>1.6050537634408601</v>
      </c>
      <c r="AP91" s="973">
        <f t="shared" si="33"/>
        <v>1947</v>
      </c>
      <c r="AQ91" s="855">
        <f t="shared" si="34"/>
        <v>4.5454545454545414E-2</v>
      </c>
      <c r="AR91" s="974">
        <f t="shared" si="45"/>
        <v>0.20228458988022924</v>
      </c>
      <c r="AS91" s="975"/>
      <c r="AT91" s="976"/>
      <c r="AU91" s="971"/>
      <c r="AV91" s="976"/>
      <c r="AW91" s="970"/>
      <c r="AX91" s="971"/>
      <c r="AY91" s="971"/>
      <c r="AZ91" s="977"/>
      <c r="BA91" s="972"/>
      <c r="BB91" s="971"/>
      <c r="BC91" s="973"/>
      <c r="BD91" s="973"/>
      <c r="BE91" s="855"/>
      <c r="BF91" s="975"/>
      <c r="BG91" s="975"/>
      <c r="BH91" s="971"/>
      <c r="BI91" s="970"/>
      <c r="BJ91" s="971"/>
      <c r="BK91" s="971"/>
      <c r="BL91" s="977"/>
      <c r="BM91" s="972"/>
      <c r="BN91" s="971"/>
      <c r="BO91" s="973"/>
      <c r="BP91" s="973"/>
      <c r="BQ91" s="855"/>
      <c r="BR91" s="975"/>
      <c r="BS91" s="975"/>
      <c r="BT91" s="978"/>
      <c r="BU91" s="978"/>
      <c r="BV91" s="978">
        <v>0.17902733414153801</v>
      </c>
      <c r="BW91" s="978">
        <f t="shared" si="35"/>
        <v>0.17955731715295653</v>
      </c>
    </row>
    <row r="92" spans="1:75" hidden="1">
      <c r="A92" s="979">
        <v>2606</v>
      </c>
      <c r="B92" s="979" t="s">
        <v>211</v>
      </c>
      <c r="C92" s="980" t="s">
        <v>829</v>
      </c>
      <c r="D92" s="980" t="s">
        <v>53</v>
      </c>
      <c r="E92" s="955" t="s">
        <v>389</v>
      </c>
      <c r="F92" s="955"/>
      <c r="G92" s="955" t="str">
        <f>IFERROR(VLOOKUP(D92,[3]전용!E:J,6,0),"")</f>
        <v/>
      </c>
      <c r="H92" s="854">
        <v>27900</v>
      </c>
      <c r="I92" s="955">
        <v>6</v>
      </c>
      <c r="J92" s="955" t="s">
        <v>288</v>
      </c>
      <c r="K92" s="955">
        <v>12</v>
      </c>
      <c r="L92" s="970">
        <v>599</v>
      </c>
      <c r="M92" s="971">
        <f t="shared" si="26"/>
        <v>43128</v>
      </c>
      <c r="N92" s="855">
        <v>0.32032217211200809</v>
      </c>
      <c r="O92" s="855"/>
      <c r="P92" s="970">
        <v>599</v>
      </c>
      <c r="Q92" s="970">
        <f t="shared" si="27"/>
        <v>0</v>
      </c>
      <c r="R92" s="971">
        <f t="shared" si="25"/>
        <v>43128</v>
      </c>
      <c r="S92" s="856">
        <f t="shared" si="36"/>
        <v>0.22122398381962322</v>
      </c>
      <c r="T92" s="971"/>
      <c r="U92" s="971">
        <v>6</v>
      </c>
      <c r="V92" s="972"/>
      <c r="W92" s="971">
        <f t="shared" si="28"/>
        <v>3594</v>
      </c>
      <c r="X92" s="971">
        <f t="shared" si="37"/>
        <v>39534</v>
      </c>
      <c r="Y92" s="858">
        <f t="shared" si="38"/>
        <v>-8.333333333333337E-2</v>
      </c>
      <c r="Z92" s="857">
        <f t="shared" si="39"/>
        <v>1.416989247311828</v>
      </c>
      <c r="AA92" s="856">
        <v>0.17955731715295653</v>
      </c>
      <c r="AB92" s="856">
        <v>9.1360126040330294E-2</v>
      </c>
      <c r="AC92" s="970">
        <f t="shared" si="29"/>
        <v>599</v>
      </c>
      <c r="AD92" s="970"/>
      <c r="AE92" s="970">
        <f t="shared" si="44"/>
        <v>0</v>
      </c>
      <c r="AF92" s="971">
        <f t="shared" si="40"/>
        <v>43128</v>
      </c>
      <c r="AG92" s="857">
        <f t="shared" si="41"/>
        <v>0</v>
      </c>
      <c r="AH92" s="576">
        <v>0</v>
      </c>
      <c r="AI92" s="856">
        <f t="shared" si="43"/>
        <v>0.18145125654689592</v>
      </c>
      <c r="AJ92" s="859">
        <v>3</v>
      </c>
      <c r="AK92" s="583">
        <v>0</v>
      </c>
      <c r="AL92" s="971">
        <f t="shared" si="42"/>
        <v>1797</v>
      </c>
      <c r="AM92" s="971">
        <f t="shared" si="30"/>
        <v>41331</v>
      </c>
      <c r="AN92" s="858">
        <f t="shared" si="31"/>
        <v>-4.166666666666663E-2</v>
      </c>
      <c r="AO92" s="857">
        <f t="shared" si="32"/>
        <v>1.4813978494623656</v>
      </c>
      <c r="AP92" s="973">
        <f t="shared" si="33"/>
        <v>1797</v>
      </c>
      <c r="AQ92" s="855">
        <f t="shared" si="34"/>
        <v>4.5454545454545414E-2</v>
      </c>
      <c r="AR92" s="974">
        <f t="shared" si="45"/>
        <v>0.20228458988022924</v>
      </c>
      <c r="AS92" s="975"/>
      <c r="AT92" s="976"/>
      <c r="AU92" s="971"/>
      <c r="AV92" s="976"/>
      <c r="AW92" s="970"/>
      <c r="AX92" s="971"/>
      <c r="AY92" s="971"/>
      <c r="AZ92" s="977"/>
      <c r="BA92" s="972"/>
      <c r="BB92" s="971"/>
      <c r="BC92" s="973"/>
      <c r="BD92" s="973"/>
      <c r="BE92" s="855"/>
      <c r="BF92" s="975"/>
      <c r="BG92" s="975"/>
      <c r="BH92" s="971"/>
      <c r="BI92" s="970"/>
      <c r="BJ92" s="971"/>
      <c r="BK92" s="971"/>
      <c r="BL92" s="977"/>
      <c r="BM92" s="972"/>
      <c r="BN92" s="971"/>
      <c r="BO92" s="973"/>
      <c r="BP92" s="973"/>
      <c r="BQ92" s="855"/>
      <c r="BR92" s="975"/>
      <c r="BS92" s="975"/>
      <c r="BT92" s="978"/>
      <c r="BU92" s="978"/>
      <c r="BV92" s="978">
        <v>0.17902733414153801</v>
      </c>
      <c r="BW92" s="978">
        <f t="shared" si="35"/>
        <v>0.17955731715295653</v>
      </c>
    </row>
    <row r="93" spans="1:75" hidden="1">
      <c r="A93" s="968">
        <v>2606</v>
      </c>
      <c r="B93" s="968" t="s">
        <v>211</v>
      </c>
      <c r="C93" s="969" t="s">
        <v>829</v>
      </c>
      <c r="D93" s="990" t="s">
        <v>213</v>
      </c>
      <c r="E93" s="955" t="s">
        <v>389</v>
      </c>
      <c r="F93" s="955"/>
      <c r="G93" s="955" t="str">
        <f>IFERROR(VLOOKUP(D93,[3]전용!E:J,6,0),"")</f>
        <v/>
      </c>
      <c r="H93" s="854">
        <v>27111.111111111109</v>
      </c>
      <c r="I93" s="955">
        <v>5</v>
      </c>
      <c r="J93" s="955" t="s">
        <v>286</v>
      </c>
      <c r="K93" s="955">
        <v>12</v>
      </c>
      <c r="L93" s="970">
        <v>499</v>
      </c>
      <c r="M93" s="971">
        <f t="shared" si="26"/>
        <v>29940</v>
      </c>
      <c r="N93" s="855">
        <v>0.15</v>
      </c>
      <c r="O93" s="855"/>
      <c r="P93" s="970">
        <v>499</v>
      </c>
      <c r="Q93" s="970">
        <f t="shared" si="27"/>
        <v>0</v>
      </c>
      <c r="R93" s="971">
        <f t="shared" si="25"/>
        <v>29940</v>
      </c>
      <c r="S93" s="856">
        <f t="shared" si="36"/>
        <v>0.2657970561263393</v>
      </c>
      <c r="T93" s="971"/>
      <c r="U93" s="971"/>
      <c r="V93" s="972">
        <v>0</v>
      </c>
      <c r="W93" s="971">
        <f t="shared" si="28"/>
        <v>0</v>
      </c>
      <c r="X93" s="971">
        <f t="shared" si="37"/>
        <v>29940</v>
      </c>
      <c r="Y93" s="858">
        <f t="shared" si="38"/>
        <v>0</v>
      </c>
      <c r="Z93" s="857">
        <f t="shared" si="39"/>
        <v>1.1043442622950821</v>
      </c>
      <c r="AA93" s="856">
        <v>0.2657970561263393</v>
      </c>
      <c r="AB93" s="856">
        <v>5.0934734715240276E-3</v>
      </c>
      <c r="AC93" s="970">
        <f t="shared" si="29"/>
        <v>499</v>
      </c>
      <c r="AD93" s="970"/>
      <c r="AE93" s="970">
        <f t="shared" si="44"/>
        <v>0</v>
      </c>
      <c r="AF93" s="971">
        <f t="shared" si="40"/>
        <v>29940</v>
      </c>
      <c r="AG93" s="857">
        <f t="shared" si="41"/>
        <v>0</v>
      </c>
      <c r="AH93" s="576">
        <v>0</v>
      </c>
      <c r="AI93" s="856">
        <f t="shared" si="43"/>
        <v>0.2657970561263393</v>
      </c>
      <c r="AJ93" s="859">
        <v>0</v>
      </c>
      <c r="AK93" s="583">
        <v>0</v>
      </c>
      <c r="AL93" s="971">
        <f t="shared" si="42"/>
        <v>0</v>
      </c>
      <c r="AM93" s="971">
        <f t="shared" si="30"/>
        <v>29940</v>
      </c>
      <c r="AN93" s="858">
        <f t="shared" si="31"/>
        <v>0</v>
      </c>
      <c r="AO93" s="857">
        <f t="shared" si="32"/>
        <v>1.1043442622950821</v>
      </c>
      <c r="AP93" s="973">
        <f t="shared" si="33"/>
        <v>0</v>
      </c>
      <c r="AQ93" s="855">
        <f t="shared" si="34"/>
        <v>0</v>
      </c>
      <c r="AR93" s="974">
        <f t="shared" si="45"/>
        <v>0.2657970561263393</v>
      </c>
      <c r="AS93" s="975"/>
      <c r="AT93" s="976"/>
      <c r="AU93" s="971"/>
      <c r="AV93" s="976"/>
      <c r="AW93" s="970"/>
      <c r="AX93" s="971"/>
      <c r="AY93" s="971"/>
      <c r="AZ93" s="977"/>
      <c r="BA93" s="972"/>
      <c r="BB93" s="971"/>
      <c r="BC93" s="973"/>
      <c r="BD93" s="973"/>
      <c r="BE93" s="855"/>
      <c r="BF93" s="975"/>
      <c r="BG93" s="975"/>
      <c r="BH93" s="971"/>
      <c r="BI93" s="970"/>
      <c r="BJ93" s="971"/>
      <c r="BK93" s="971"/>
      <c r="BL93" s="977"/>
      <c r="BM93" s="972"/>
      <c r="BN93" s="971"/>
      <c r="BO93" s="973"/>
      <c r="BP93" s="973"/>
      <c r="BQ93" s="855"/>
      <c r="BR93" s="975"/>
      <c r="BS93" s="975"/>
      <c r="BT93" s="978"/>
      <c r="BU93" s="978"/>
      <c r="BV93" s="978">
        <v>0.16</v>
      </c>
      <c r="BW93" s="978">
        <f t="shared" si="35"/>
        <v>0.2277970561263393</v>
      </c>
    </row>
    <row r="94" spans="1:75" hidden="1">
      <c r="A94" s="968">
        <v>2606</v>
      </c>
      <c r="B94" s="968" t="s">
        <v>211</v>
      </c>
      <c r="C94" s="969" t="s">
        <v>829</v>
      </c>
      <c r="D94" s="990" t="s">
        <v>213</v>
      </c>
      <c r="E94" s="955" t="s">
        <v>389</v>
      </c>
      <c r="F94" s="955"/>
      <c r="G94" s="955" t="str">
        <f>IFERROR(VLOOKUP(D94,[3]전용!E:J,6,0),"")</f>
        <v/>
      </c>
      <c r="H94" s="854">
        <v>27111.111111111109</v>
      </c>
      <c r="I94" s="955">
        <v>5</v>
      </c>
      <c r="J94" s="955" t="s">
        <v>288</v>
      </c>
      <c r="K94" s="955">
        <v>12</v>
      </c>
      <c r="L94" s="970">
        <v>449</v>
      </c>
      <c r="M94" s="971">
        <f t="shared" si="26"/>
        <v>26940</v>
      </c>
      <c r="N94" s="855">
        <v>0.15</v>
      </c>
      <c r="O94" s="855"/>
      <c r="P94" s="970">
        <v>449</v>
      </c>
      <c r="Q94" s="970">
        <f t="shared" si="27"/>
        <v>0</v>
      </c>
      <c r="R94" s="971">
        <f t="shared" si="25"/>
        <v>26940</v>
      </c>
      <c r="S94" s="856">
        <f t="shared" si="36"/>
        <v>0.2657970561263393</v>
      </c>
      <c r="T94" s="971"/>
      <c r="U94" s="971"/>
      <c r="V94" s="972">
        <v>0</v>
      </c>
      <c r="W94" s="971">
        <f t="shared" si="28"/>
        <v>0</v>
      </c>
      <c r="X94" s="971">
        <f t="shared" si="37"/>
        <v>26940</v>
      </c>
      <c r="Y94" s="858">
        <f t="shared" si="38"/>
        <v>0</v>
      </c>
      <c r="Z94" s="857">
        <f t="shared" si="39"/>
        <v>0.99368852459016399</v>
      </c>
      <c r="AA94" s="856">
        <v>0.2657970561263393</v>
      </c>
      <c r="AB94" s="856">
        <v>5.0934734715240276E-3</v>
      </c>
      <c r="AC94" s="970">
        <f t="shared" si="29"/>
        <v>449</v>
      </c>
      <c r="AD94" s="970"/>
      <c r="AE94" s="970">
        <f t="shared" si="44"/>
        <v>0</v>
      </c>
      <c r="AF94" s="971">
        <f t="shared" si="40"/>
        <v>26940</v>
      </c>
      <c r="AG94" s="857">
        <f t="shared" si="41"/>
        <v>0</v>
      </c>
      <c r="AH94" s="576">
        <v>0</v>
      </c>
      <c r="AI94" s="856">
        <f t="shared" si="43"/>
        <v>0.2657970561263393</v>
      </c>
      <c r="AJ94" s="859">
        <v>0</v>
      </c>
      <c r="AK94" s="583">
        <v>0</v>
      </c>
      <c r="AL94" s="971">
        <f t="shared" si="42"/>
        <v>0</v>
      </c>
      <c r="AM94" s="971">
        <f t="shared" si="30"/>
        <v>26940</v>
      </c>
      <c r="AN94" s="858">
        <f t="shared" si="31"/>
        <v>0</v>
      </c>
      <c r="AO94" s="857">
        <f t="shared" si="32"/>
        <v>0.99368852459016399</v>
      </c>
      <c r="AP94" s="973">
        <f t="shared" si="33"/>
        <v>0</v>
      </c>
      <c r="AQ94" s="855">
        <f t="shared" si="34"/>
        <v>0</v>
      </c>
      <c r="AR94" s="974">
        <f t="shared" si="45"/>
        <v>0.2657970561263393</v>
      </c>
      <c r="AS94" s="975"/>
      <c r="AT94" s="976"/>
      <c r="AU94" s="971"/>
      <c r="AV94" s="976"/>
      <c r="AW94" s="970"/>
      <c r="AX94" s="971"/>
      <c r="AY94" s="971"/>
      <c r="AZ94" s="977"/>
      <c r="BA94" s="972"/>
      <c r="BB94" s="971"/>
      <c r="BC94" s="973"/>
      <c r="BD94" s="973"/>
      <c r="BE94" s="855"/>
      <c r="BF94" s="975"/>
      <c r="BG94" s="975"/>
      <c r="BH94" s="971"/>
      <c r="BI94" s="970"/>
      <c r="BJ94" s="971"/>
      <c r="BK94" s="971"/>
      <c r="BL94" s="977"/>
      <c r="BM94" s="972"/>
      <c r="BN94" s="971"/>
      <c r="BO94" s="973"/>
      <c r="BP94" s="973"/>
      <c r="BQ94" s="855"/>
      <c r="BR94" s="975"/>
      <c r="BS94" s="975"/>
      <c r="BT94" s="978"/>
      <c r="BU94" s="978"/>
      <c r="BV94" s="978">
        <v>0.16</v>
      </c>
      <c r="BW94" s="978">
        <f t="shared" si="35"/>
        <v>0.2277970561263393</v>
      </c>
    </row>
    <row r="95" spans="1:75" hidden="1">
      <c r="A95" s="968">
        <v>2606</v>
      </c>
      <c r="B95" s="968" t="s">
        <v>211</v>
      </c>
      <c r="C95" s="969" t="s">
        <v>829</v>
      </c>
      <c r="D95" s="990" t="s">
        <v>213</v>
      </c>
      <c r="E95" s="955" t="s">
        <v>389</v>
      </c>
      <c r="F95" s="955"/>
      <c r="G95" s="955" t="str">
        <f>IFERROR(VLOOKUP(D95,[3]전용!E:J,6,0),"")</f>
        <v/>
      </c>
      <c r="H95" s="854">
        <v>27111.111111111109</v>
      </c>
      <c r="I95" s="955">
        <v>6</v>
      </c>
      <c r="J95" s="955" t="s">
        <v>286</v>
      </c>
      <c r="K95" s="955">
        <v>12</v>
      </c>
      <c r="L95" s="970">
        <v>749</v>
      </c>
      <c r="M95" s="971">
        <f t="shared" si="26"/>
        <v>53928</v>
      </c>
      <c r="N95" s="855">
        <v>0.15</v>
      </c>
      <c r="O95" s="855"/>
      <c r="P95" s="970">
        <v>449</v>
      </c>
      <c r="Q95" s="970">
        <f t="shared" si="27"/>
        <v>300</v>
      </c>
      <c r="R95" s="971">
        <f t="shared" si="25"/>
        <v>32328</v>
      </c>
      <c r="S95" s="856">
        <f t="shared" si="36"/>
        <v>0.2657970561263393</v>
      </c>
      <c r="T95" s="971"/>
      <c r="U95" s="971"/>
      <c r="V95" s="972">
        <v>0</v>
      </c>
      <c r="W95" s="971">
        <f t="shared" si="28"/>
        <v>0</v>
      </c>
      <c r="X95" s="971">
        <f t="shared" si="37"/>
        <v>32328</v>
      </c>
      <c r="Y95" s="858">
        <f t="shared" si="38"/>
        <v>0</v>
      </c>
      <c r="Z95" s="857">
        <f t="shared" si="39"/>
        <v>1.1924262295081969</v>
      </c>
      <c r="AA95" s="856">
        <v>0.2657970561263393</v>
      </c>
      <c r="AB95" s="856">
        <v>5.0934734715240276E-3</v>
      </c>
      <c r="AC95" s="970">
        <f t="shared" si="29"/>
        <v>449</v>
      </c>
      <c r="AD95" s="970"/>
      <c r="AE95" s="970">
        <f t="shared" si="44"/>
        <v>0</v>
      </c>
      <c r="AF95" s="971">
        <f t="shared" si="40"/>
        <v>32328</v>
      </c>
      <c r="AG95" s="857">
        <f t="shared" si="41"/>
        <v>0</v>
      </c>
      <c r="AH95" s="576">
        <v>0</v>
      </c>
      <c r="AI95" s="856">
        <f t="shared" si="43"/>
        <v>0.2657970561263393</v>
      </c>
      <c r="AJ95" s="859">
        <v>0</v>
      </c>
      <c r="AK95" s="583">
        <v>0</v>
      </c>
      <c r="AL95" s="971">
        <f t="shared" si="42"/>
        <v>0</v>
      </c>
      <c r="AM95" s="971">
        <f t="shared" si="30"/>
        <v>32328</v>
      </c>
      <c r="AN95" s="858">
        <f t="shared" si="31"/>
        <v>0</v>
      </c>
      <c r="AO95" s="857">
        <f t="shared" si="32"/>
        <v>1.1924262295081969</v>
      </c>
      <c r="AP95" s="973">
        <f t="shared" si="33"/>
        <v>0</v>
      </c>
      <c r="AQ95" s="855">
        <f t="shared" si="34"/>
        <v>0</v>
      </c>
      <c r="AR95" s="974">
        <f t="shared" si="45"/>
        <v>0.2657970561263393</v>
      </c>
      <c r="AS95" s="975"/>
      <c r="AT95" s="976"/>
      <c r="AU95" s="971"/>
      <c r="AV95" s="976"/>
      <c r="AW95" s="970"/>
      <c r="AX95" s="971"/>
      <c r="AY95" s="971"/>
      <c r="AZ95" s="977"/>
      <c r="BA95" s="972"/>
      <c r="BB95" s="971"/>
      <c r="BC95" s="973"/>
      <c r="BD95" s="973"/>
      <c r="BE95" s="855"/>
      <c r="BF95" s="975"/>
      <c r="BG95" s="975"/>
      <c r="BH95" s="971"/>
      <c r="BI95" s="970"/>
      <c r="BJ95" s="971"/>
      <c r="BK95" s="971"/>
      <c r="BL95" s="977"/>
      <c r="BM95" s="972"/>
      <c r="BN95" s="971"/>
      <c r="BO95" s="973"/>
      <c r="BP95" s="973"/>
      <c r="BQ95" s="855"/>
      <c r="BR95" s="975"/>
      <c r="BS95" s="975"/>
      <c r="BT95" s="978"/>
      <c r="BU95" s="978"/>
      <c r="BV95" s="978">
        <v>0.16</v>
      </c>
      <c r="BW95" s="978">
        <f t="shared" si="35"/>
        <v>0.2277970561263393</v>
      </c>
    </row>
    <row r="96" spans="1:75" hidden="1">
      <c r="A96" s="979">
        <v>2606</v>
      </c>
      <c r="B96" s="979" t="s">
        <v>211</v>
      </c>
      <c r="C96" s="980" t="s">
        <v>829</v>
      </c>
      <c r="D96" s="991" t="s">
        <v>213</v>
      </c>
      <c r="E96" s="955" t="s">
        <v>389</v>
      </c>
      <c r="F96" s="955"/>
      <c r="G96" s="955" t="str">
        <f>IFERROR(VLOOKUP(D96,[3]전용!E:J,6,0),"")</f>
        <v/>
      </c>
      <c r="H96" s="854">
        <v>27111.111111111109</v>
      </c>
      <c r="I96" s="955">
        <v>6</v>
      </c>
      <c r="J96" s="955" t="s">
        <v>288</v>
      </c>
      <c r="K96" s="955">
        <v>12</v>
      </c>
      <c r="L96" s="970">
        <v>649</v>
      </c>
      <c r="M96" s="971">
        <f t="shared" si="26"/>
        <v>46728</v>
      </c>
      <c r="N96" s="855">
        <v>0.15</v>
      </c>
      <c r="O96" s="855"/>
      <c r="P96" s="970">
        <v>399</v>
      </c>
      <c r="Q96" s="970">
        <f t="shared" si="27"/>
        <v>250</v>
      </c>
      <c r="R96" s="971">
        <f t="shared" si="25"/>
        <v>28728</v>
      </c>
      <c r="S96" s="856">
        <f t="shared" si="36"/>
        <v>0.2657970561263393</v>
      </c>
      <c r="T96" s="971"/>
      <c r="U96" s="971"/>
      <c r="V96" s="972">
        <v>0</v>
      </c>
      <c r="W96" s="971">
        <f t="shared" si="28"/>
        <v>0</v>
      </c>
      <c r="X96" s="971">
        <f t="shared" si="37"/>
        <v>28728</v>
      </c>
      <c r="Y96" s="858">
        <f t="shared" si="38"/>
        <v>0</v>
      </c>
      <c r="Z96" s="857">
        <f t="shared" si="39"/>
        <v>1.0596393442622951</v>
      </c>
      <c r="AA96" s="856">
        <v>0.2657970561263393</v>
      </c>
      <c r="AB96" s="856">
        <v>5.0934734715240276E-3</v>
      </c>
      <c r="AC96" s="970">
        <f t="shared" si="29"/>
        <v>399</v>
      </c>
      <c r="AD96" s="970"/>
      <c r="AE96" s="970">
        <f t="shared" si="44"/>
        <v>0</v>
      </c>
      <c r="AF96" s="971">
        <f t="shared" si="40"/>
        <v>28728</v>
      </c>
      <c r="AG96" s="857">
        <f t="shared" si="41"/>
        <v>0</v>
      </c>
      <c r="AH96" s="576">
        <v>0</v>
      </c>
      <c r="AI96" s="856">
        <f t="shared" si="43"/>
        <v>0.2657970561263393</v>
      </c>
      <c r="AJ96" s="859">
        <v>0</v>
      </c>
      <c r="AK96" s="583">
        <v>0</v>
      </c>
      <c r="AL96" s="971">
        <f t="shared" si="42"/>
        <v>0</v>
      </c>
      <c r="AM96" s="971">
        <f t="shared" si="30"/>
        <v>28728</v>
      </c>
      <c r="AN96" s="858">
        <f t="shared" si="31"/>
        <v>0</v>
      </c>
      <c r="AO96" s="857">
        <f t="shared" si="32"/>
        <v>1.0596393442622951</v>
      </c>
      <c r="AP96" s="973">
        <f t="shared" si="33"/>
        <v>0</v>
      </c>
      <c r="AQ96" s="855">
        <f t="shared" si="34"/>
        <v>0</v>
      </c>
      <c r="AR96" s="974">
        <f t="shared" si="45"/>
        <v>0.2657970561263393</v>
      </c>
      <c r="AS96" s="975"/>
      <c r="AT96" s="976"/>
      <c r="AU96" s="971"/>
      <c r="AV96" s="976"/>
      <c r="AW96" s="970"/>
      <c r="AX96" s="971"/>
      <c r="AY96" s="971"/>
      <c r="AZ96" s="977"/>
      <c r="BA96" s="972"/>
      <c r="BB96" s="971"/>
      <c r="BC96" s="973"/>
      <c r="BD96" s="973"/>
      <c r="BE96" s="855"/>
      <c r="BF96" s="975"/>
      <c r="BG96" s="975"/>
      <c r="BH96" s="971"/>
      <c r="BI96" s="970"/>
      <c r="BJ96" s="971"/>
      <c r="BK96" s="971"/>
      <c r="BL96" s="977"/>
      <c r="BM96" s="972"/>
      <c r="BN96" s="971"/>
      <c r="BO96" s="973"/>
      <c r="BP96" s="973"/>
      <c r="BQ96" s="855"/>
      <c r="BR96" s="975"/>
      <c r="BS96" s="975"/>
      <c r="BT96" s="978"/>
      <c r="BU96" s="978"/>
      <c r="BV96" s="978">
        <v>0.26579705612633936</v>
      </c>
      <c r="BW96" s="978">
        <f t="shared" si="35"/>
        <v>0.2277970561263393</v>
      </c>
    </row>
    <row r="97" spans="1:75" hidden="1">
      <c r="A97" s="968">
        <v>2606</v>
      </c>
      <c r="B97" s="968" t="s">
        <v>211</v>
      </c>
      <c r="C97" s="969" t="s">
        <v>829</v>
      </c>
      <c r="D97" s="969" t="s">
        <v>19</v>
      </c>
      <c r="E97" s="955" t="s">
        <v>389</v>
      </c>
      <c r="F97" s="955"/>
      <c r="G97" s="955" t="str">
        <f>IFERROR(VLOOKUP(D97,[3]전용!E:J,6,0),"")</f>
        <v/>
      </c>
      <c r="H97" s="854">
        <v>24300</v>
      </c>
      <c r="I97" s="955">
        <v>5</v>
      </c>
      <c r="J97" s="955" t="s">
        <v>286</v>
      </c>
      <c r="K97" s="955">
        <v>12</v>
      </c>
      <c r="L97" s="970">
        <v>749</v>
      </c>
      <c r="M97" s="971">
        <f t="shared" si="26"/>
        <v>44940</v>
      </c>
      <c r="N97" s="855">
        <v>0.35632358487813115</v>
      </c>
      <c r="O97" s="855"/>
      <c r="P97" s="970">
        <v>699</v>
      </c>
      <c r="Q97" s="970">
        <f t="shared" si="27"/>
        <v>50</v>
      </c>
      <c r="R97" s="971">
        <f t="shared" si="25"/>
        <v>41940</v>
      </c>
      <c r="S97" s="856">
        <f t="shared" si="36"/>
        <v>0.26896605566384635</v>
      </c>
      <c r="T97" s="971"/>
      <c r="U97" s="971"/>
      <c r="V97" s="972">
        <v>6</v>
      </c>
      <c r="W97" s="971">
        <f t="shared" si="28"/>
        <v>2097</v>
      </c>
      <c r="X97" s="971">
        <f t="shared" si="37"/>
        <v>39843</v>
      </c>
      <c r="Y97" s="858">
        <f t="shared" si="38"/>
        <v>-5.0000000000000044E-2</v>
      </c>
      <c r="Z97" s="857">
        <f t="shared" si="39"/>
        <v>1.6396296296296295</v>
      </c>
      <c r="AA97" s="856">
        <v>0.24396605566384635</v>
      </c>
      <c r="AB97" s="856">
        <v>6.5112074239466758E-2</v>
      </c>
      <c r="AC97" s="970">
        <f t="shared" si="29"/>
        <v>699</v>
      </c>
      <c r="AD97" s="970"/>
      <c r="AE97" s="970">
        <f t="shared" si="44"/>
        <v>0</v>
      </c>
      <c r="AF97" s="971">
        <f t="shared" si="40"/>
        <v>41940</v>
      </c>
      <c r="AG97" s="857">
        <f t="shared" si="41"/>
        <v>0</v>
      </c>
      <c r="AH97" s="576">
        <v>0</v>
      </c>
      <c r="AI97" s="856">
        <f t="shared" si="43"/>
        <v>0.21896605566384633</v>
      </c>
      <c r="AJ97" s="859">
        <v>0</v>
      </c>
      <c r="AK97" s="583">
        <v>6</v>
      </c>
      <c r="AL97" s="971">
        <f t="shared" si="42"/>
        <v>2097</v>
      </c>
      <c r="AM97" s="971">
        <f t="shared" si="30"/>
        <v>39843</v>
      </c>
      <c r="AN97" s="858">
        <f t="shared" si="31"/>
        <v>-5.0000000000000044E-2</v>
      </c>
      <c r="AO97" s="857">
        <f t="shared" si="32"/>
        <v>1.6396296296296295</v>
      </c>
      <c r="AP97" s="973">
        <f t="shared" si="33"/>
        <v>0</v>
      </c>
      <c r="AQ97" s="855">
        <f t="shared" si="34"/>
        <v>0</v>
      </c>
      <c r="AR97" s="974">
        <f t="shared" si="45"/>
        <v>0.24396605566384635</v>
      </c>
      <c r="AS97" s="975"/>
      <c r="AT97" s="976"/>
      <c r="AU97" s="971"/>
      <c r="AV97" s="976"/>
      <c r="AW97" s="970"/>
      <c r="AX97" s="971"/>
      <c r="AY97" s="971"/>
      <c r="AZ97" s="977"/>
      <c r="BA97" s="972"/>
      <c r="BB97" s="971"/>
      <c r="BC97" s="973"/>
      <c r="BD97" s="973"/>
      <c r="BE97" s="855"/>
      <c r="BF97" s="975"/>
      <c r="BG97" s="975"/>
      <c r="BH97" s="971"/>
      <c r="BI97" s="970"/>
      <c r="BJ97" s="971"/>
      <c r="BK97" s="971"/>
      <c r="BL97" s="977"/>
      <c r="BM97" s="972"/>
      <c r="BN97" s="971"/>
      <c r="BO97" s="973"/>
      <c r="BP97" s="973"/>
      <c r="BQ97" s="855"/>
      <c r="BR97" s="975"/>
      <c r="BS97" s="975"/>
      <c r="BT97" s="978"/>
      <c r="BU97" s="978"/>
      <c r="BV97" s="978">
        <v>0.24345987500855631</v>
      </c>
      <c r="BW97" s="978">
        <f t="shared" si="35"/>
        <v>0.20596605566384635</v>
      </c>
    </row>
    <row r="98" spans="1:75" hidden="1">
      <c r="A98" s="968">
        <v>2606</v>
      </c>
      <c r="B98" s="968" t="s">
        <v>211</v>
      </c>
      <c r="C98" s="969" t="s">
        <v>829</v>
      </c>
      <c r="D98" s="969" t="s">
        <v>19</v>
      </c>
      <c r="E98" s="955" t="s">
        <v>389</v>
      </c>
      <c r="F98" s="955"/>
      <c r="G98" s="955" t="str">
        <f>IFERROR(VLOOKUP(D98,[3]전용!E:J,6,0),"")</f>
        <v/>
      </c>
      <c r="H98" s="854">
        <v>24300</v>
      </c>
      <c r="I98" s="955">
        <v>5</v>
      </c>
      <c r="J98" s="955" t="s">
        <v>288</v>
      </c>
      <c r="K98" s="955">
        <v>12</v>
      </c>
      <c r="L98" s="970">
        <v>649</v>
      </c>
      <c r="M98" s="971">
        <f t="shared" si="26"/>
        <v>38940</v>
      </c>
      <c r="N98" s="855">
        <v>0.3730515315895841</v>
      </c>
      <c r="O98" s="855"/>
      <c r="P98" s="970">
        <v>599</v>
      </c>
      <c r="Q98" s="970">
        <f t="shared" si="27"/>
        <v>50</v>
      </c>
      <c r="R98" s="971">
        <f t="shared" si="25"/>
        <v>35940</v>
      </c>
      <c r="S98" s="856">
        <f t="shared" si="36"/>
        <v>0.26896605566384635</v>
      </c>
      <c r="T98" s="971"/>
      <c r="U98" s="971"/>
      <c r="V98" s="972">
        <v>6</v>
      </c>
      <c r="W98" s="971">
        <f t="shared" si="28"/>
        <v>1797</v>
      </c>
      <c r="X98" s="971">
        <f t="shared" si="37"/>
        <v>34143</v>
      </c>
      <c r="Y98" s="858">
        <f t="shared" si="38"/>
        <v>-5.0000000000000044E-2</v>
      </c>
      <c r="Z98" s="857">
        <f t="shared" si="39"/>
        <v>1.4050617283950617</v>
      </c>
      <c r="AA98" s="856">
        <v>0.24396605566384635</v>
      </c>
      <c r="AB98" s="856">
        <v>6.5112074239466758E-2</v>
      </c>
      <c r="AC98" s="970">
        <f t="shared" si="29"/>
        <v>599</v>
      </c>
      <c r="AD98" s="970"/>
      <c r="AE98" s="970">
        <f t="shared" si="44"/>
        <v>0</v>
      </c>
      <c r="AF98" s="971">
        <f t="shared" si="40"/>
        <v>35940</v>
      </c>
      <c r="AG98" s="857">
        <f t="shared" si="41"/>
        <v>0</v>
      </c>
      <c r="AH98" s="576">
        <v>0</v>
      </c>
      <c r="AI98" s="856">
        <f t="shared" si="43"/>
        <v>0.21896605566384633</v>
      </c>
      <c r="AJ98" s="859">
        <v>0</v>
      </c>
      <c r="AK98" s="583">
        <v>6</v>
      </c>
      <c r="AL98" s="971">
        <f t="shared" si="42"/>
        <v>1797</v>
      </c>
      <c r="AM98" s="971">
        <f t="shared" si="30"/>
        <v>34143</v>
      </c>
      <c r="AN98" s="858">
        <f t="shared" si="31"/>
        <v>-5.0000000000000044E-2</v>
      </c>
      <c r="AO98" s="857">
        <f t="shared" si="32"/>
        <v>1.4050617283950617</v>
      </c>
      <c r="AP98" s="973">
        <f t="shared" si="33"/>
        <v>0</v>
      </c>
      <c r="AQ98" s="855">
        <f t="shared" si="34"/>
        <v>0</v>
      </c>
      <c r="AR98" s="974">
        <f t="shared" si="45"/>
        <v>0.24396605566384635</v>
      </c>
      <c r="AS98" s="975"/>
      <c r="AT98" s="976"/>
      <c r="AU98" s="971"/>
      <c r="AV98" s="976"/>
      <c r="AW98" s="970"/>
      <c r="AX98" s="971"/>
      <c r="AY98" s="971"/>
      <c r="AZ98" s="977"/>
      <c r="BA98" s="972"/>
      <c r="BB98" s="971"/>
      <c r="BC98" s="973"/>
      <c r="BD98" s="973"/>
      <c r="BE98" s="855"/>
      <c r="BF98" s="975"/>
      <c r="BG98" s="975"/>
      <c r="BH98" s="971"/>
      <c r="BI98" s="970"/>
      <c r="BJ98" s="971"/>
      <c r="BK98" s="971"/>
      <c r="BL98" s="977"/>
      <c r="BM98" s="972"/>
      <c r="BN98" s="971"/>
      <c r="BO98" s="973"/>
      <c r="BP98" s="973"/>
      <c r="BQ98" s="855"/>
      <c r="BR98" s="975"/>
      <c r="BS98" s="975"/>
      <c r="BT98" s="978"/>
      <c r="BU98" s="978"/>
      <c r="BV98" s="978">
        <v>0.24345987500855631</v>
      </c>
      <c r="BW98" s="978">
        <f t="shared" si="35"/>
        <v>0.20596605566384635</v>
      </c>
    </row>
    <row r="99" spans="1:75" hidden="1">
      <c r="A99" s="968">
        <v>2606</v>
      </c>
      <c r="B99" s="968" t="s">
        <v>211</v>
      </c>
      <c r="C99" s="969" t="s">
        <v>829</v>
      </c>
      <c r="D99" s="969" t="s">
        <v>19</v>
      </c>
      <c r="E99" s="955" t="s">
        <v>389</v>
      </c>
      <c r="F99" s="955"/>
      <c r="G99" s="955" t="str">
        <f>IFERROR(VLOOKUP(D99,[3]전용!E:J,6,0),"")</f>
        <v/>
      </c>
      <c r="H99" s="854">
        <v>24300</v>
      </c>
      <c r="I99" s="955">
        <v>6</v>
      </c>
      <c r="J99" s="955" t="s">
        <v>286</v>
      </c>
      <c r="K99" s="955">
        <v>12</v>
      </c>
      <c r="L99" s="970">
        <v>1249</v>
      </c>
      <c r="M99" s="971">
        <f t="shared" si="26"/>
        <v>89928</v>
      </c>
      <c r="N99" s="855">
        <v>0.3730515315895841</v>
      </c>
      <c r="O99" s="855"/>
      <c r="P99" s="970">
        <v>599</v>
      </c>
      <c r="Q99" s="970">
        <f t="shared" si="27"/>
        <v>650</v>
      </c>
      <c r="R99" s="971">
        <f t="shared" si="25"/>
        <v>43128</v>
      </c>
      <c r="S99" s="856">
        <f t="shared" si="36"/>
        <v>0.2647993889971797</v>
      </c>
      <c r="T99" s="971"/>
      <c r="U99" s="971"/>
      <c r="V99" s="972">
        <v>6</v>
      </c>
      <c r="W99" s="971">
        <f t="shared" si="28"/>
        <v>1797</v>
      </c>
      <c r="X99" s="971">
        <f t="shared" si="37"/>
        <v>41331</v>
      </c>
      <c r="Y99" s="858">
        <f t="shared" si="38"/>
        <v>-4.166666666666663E-2</v>
      </c>
      <c r="Z99" s="857">
        <f t="shared" si="39"/>
        <v>1.7008641975308643</v>
      </c>
      <c r="AA99" s="856">
        <v>0.24396605566384635</v>
      </c>
      <c r="AB99" s="856">
        <v>6.5112074239466758E-2</v>
      </c>
      <c r="AC99" s="970">
        <f t="shared" si="29"/>
        <v>599</v>
      </c>
      <c r="AD99" s="970"/>
      <c r="AE99" s="970">
        <f t="shared" si="44"/>
        <v>0</v>
      </c>
      <c r="AF99" s="971">
        <f t="shared" si="40"/>
        <v>43128</v>
      </c>
      <c r="AG99" s="857">
        <f t="shared" si="41"/>
        <v>0</v>
      </c>
      <c r="AH99" s="576">
        <v>0</v>
      </c>
      <c r="AI99" s="856">
        <f t="shared" si="43"/>
        <v>0.22313272233051304</v>
      </c>
      <c r="AJ99" s="859">
        <v>0</v>
      </c>
      <c r="AK99" s="583">
        <v>6</v>
      </c>
      <c r="AL99" s="971">
        <f t="shared" si="42"/>
        <v>1797</v>
      </c>
      <c r="AM99" s="971">
        <f t="shared" si="30"/>
        <v>41331</v>
      </c>
      <c r="AN99" s="858">
        <f t="shared" si="31"/>
        <v>-4.166666666666663E-2</v>
      </c>
      <c r="AO99" s="857">
        <f t="shared" si="32"/>
        <v>1.7008641975308643</v>
      </c>
      <c r="AP99" s="973">
        <f t="shared" si="33"/>
        <v>0</v>
      </c>
      <c r="AQ99" s="855">
        <f t="shared" si="34"/>
        <v>0</v>
      </c>
      <c r="AR99" s="974">
        <f t="shared" si="45"/>
        <v>0.24396605566384635</v>
      </c>
      <c r="AS99" s="975"/>
      <c r="AT99" s="976"/>
      <c r="AU99" s="971"/>
      <c r="AV99" s="976"/>
      <c r="AW99" s="970"/>
      <c r="AX99" s="971"/>
      <c r="AY99" s="971"/>
      <c r="AZ99" s="977"/>
      <c r="BA99" s="972"/>
      <c r="BB99" s="971"/>
      <c r="BC99" s="973"/>
      <c r="BD99" s="973"/>
      <c r="BE99" s="855"/>
      <c r="BF99" s="975"/>
      <c r="BG99" s="975"/>
      <c r="BH99" s="971"/>
      <c r="BI99" s="970"/>
      <c r="BJ99" s="971"/>
      <c r="BK99" s="971"/>
      <c r="BL99" s="977"/>
      <c r="BM99" s="972"/>
      <c r="BN99" s="971"/>
      <c r="BO99" s="973"/>
      <c r="BP99" s="973"/>
      <c r="BQ99" s="855"/>
      <c r="BR99" s="975"/>
      <c r="BS99" s="975"/>
      <c r="BT99" s="978"/>
      <c r="BU99" s="978"/>
      <c r="BV99" s="978">
        <v>0.24345987500855631</v>
      </c>
      <c r="BW99" s="978">
        <f t="shared" si="35"/>
        <v>0.20596605566384635</v>
      </c>
    </row>
    <row r="100" spans="1:75" hidden="1">
      <c r="A100" s="979">
        <v>2606</v>
      </c>
      <c r="B100" s="979" t="s">
        <v>211</v>
      </c>
      <c r="C100" s="980" t="s">
        <v>829</v>
      </c>
      <c r="D100" s="980" t="s">
        <v>19</v>
      </c>
      <c r="E100" s="955" t="s">
        <v>389</v>
      </c>
      <c r="F100" s="955"/>
      <c r="G100" s="955" t="str">
        <f>IFERROR(VLOOKUP(D100,[3]전용!E:J,6,0),"")</f>
        <v/>
      </c>
      <c r="H100" s="854">
        <v>24300</v>
      </c>
      <c r="I100" s="955">
        <v>6</v>
      </c>
      <c r="J100" s="955" t="s">
        <v>288</v>
      </c>
      <c r="K100" s="955">
        <v>12</v>
      </c>
      <c r="L100" s="970">
        <v>1249</v>
      </c>
      <c r="M100" s="971">
        <f t="shared" si="26"/>
        <v>89928</v>
      </c>
      <c r="N100" s="855">
        <v>0.38420970539822591</v>
      </c>
      <c r="O100" s="855"/>
      <c r="P100" s="970">
        <v>549</v>
      </c>
      <c r="Q100" s="970">
        <f t="shared" si="27"/>
        <v>700</v>
      </c>
      <c r="R100" s="971">
        <f t="shared" si="25"/>
        <v>39528</v>
      </c>
      <c r="S100" s="856">
        <f t="shared" si="36"/>
        <v>0.2647993889971797</v>
      </c>
      <c r="T100" s="971"/>
      <c r="U100" s="971"/>
      <c r="V100" s="972">
        <v>6</v>
      </c>
      <c r="W100" s="971">
        <f t="shared" si="28"/>
        <v>1647</v>
      </c>
      <c r="X100" s="971">
        <f t="shared" si="37"/>
        <v>37881</v>
      </c>
      <c r="Y100" s="858">
        <f t="shared" si="38"/>
        <v>-4.166666666666663E-2</v>
      </c>
      <c r="Z100" s="857">
        <f t="shared" si="39"/>
        <v>1.558888888888889</v>
      </c>
      <c r="AA100" s="856">
        <v>0.24396605566384635</v>
      </c>
      <c r="AB100" s="856">
        <v>6.5112074239466758E-2</v>
      </c>
      <c r="AC100" s="970">
        <f t="shared" si="29"/>
        <v>549</v>
      </c>
      <c r="AD100" s="970"/>
      <c r="AE100" s="970">
        <f t="shared" si="44"/>
        <v>0</v>
      </c>
      <c r="AF100" s="971">
        <f t="shared" si="40"/>
        <v>39528</v>
      </c>
      <c r="AG100" s="857">
        <f t="shared" si="41"/>
        <v>0</v>
      </c>
      <c r="AH100" s="576">
        <v>0</v>
      </c>
      <c r="AI100" s="856">
        <f t="shared" si="43"/>
        <v>0.22313272233051304</v>
      </c>
      <c r="AJ100" s="859">
        <v>0</v>
      </c>
      <c r="AK100" s="583">
        <v>6</v>
      </c>
      <c r="AL100" s="971">
        <f t="shared" si="42"/>
        <v>1647</v>
      </c>
      <c r="AM100" s="971">
        <f t="shared" si="30"/>
        <v>37881</v>
      </c>
      <c r="AN100" s="858">
        <f t="shared" si="31"/>
        <v>-4.166666666666663E-2</v>
      </c>
      <c r="AO100" s="857">
        <f t="shared" si="32"/>
        <v>1.558888888888889</v>
      </c>
      <c r="AP100" s="973">
        <f t="shared" si="33"/>
        <v>0</v>
      </c>
      <c r="AQ100" s="855">
        <f t="shared" si="34"/>
        <v>0</v>
      </c>
      <c r="AR100" s="974">
        <f t="shared" si="45"/>
        <v>0.24396605566384635</v>
      </c>
      <c r="AS100" s="975"/>
      <c r="AT100" s="976"/>
      <c r="AU100" s="971"/>
      <c r="AV100" s="976"/>
      <c r="AW100" s="970"/>
      <c r="AX100" s="971"/>
      <c r="AY100" s="971"/>
      <c r="AZ100" s="977"/>
      <c r="BA100" s="972"/>
      <c r="BB100" s="971"/>
      <c r="BC100" s="973"/>
      <c r="BD100" s="973"/>
      <c r="BE100" s="855"/>
      <c r="BF100" s="975"/>
      <c r="BG100" s="975"/>
      <c r="BH100" s="971"/>
      <c r="BI100" s="970"/>
      <c r="BJ100" s="971"/>
      <c r="BK100" s="971"/>
      <c r="BL100" s="977"/>
      <c r="BM100" s="972"/>
      <c r="BN100" s="971"/>
      <c r="BO100" s="973"/>
      <c r="BP100" s="973"/>
      <c r="BQ100" s="855"/>
      <c r="BR100" s="975"/>
      <c r="BS100" s="975"/>
      <c r="BT100" s="978"/>
      <c r="BU100" s="978"/>
      <c r="BV100" s="978">
        <v>0.24345987500855631</v>
      </c>
      <c r="BW100" s="978">
        <f t="shared" si="35"/>
        <v>0.20596605566384635</v>
      </c>
    </row>
    <row r="101" spans="1:75" hidden="1">
      <c r="A101" s="968">
        <v>2606</v>
      </c>
      <c r="B101" s="968" t="s">
        <v>211</v>
      </c>
      <c r="C101" s="969" t="s">
        <v>829</v>
      </c>
      <c r="D101" s="969" t="s">
        <v>386</v>
      </c>
      <c r="E101" s="955" t="s">
        <v>389</v>
      </c>
      <c r="F101" s="955"/>
      <c r="G101" s="955" t="str">
        <f>IFERROR(VLOOKUP(D101,[3]전용!E:J,6,0),"")</f>
        <v/>
      </c>
      <c r="H101" s="854">
        <v>27500</v>
      </c>
      <c r="I101" s="955">
        <v>5</v>
      </c>
      <c r="J101" s="955" t="s">
        <v>286</v>
      </c>
      <c r="K101" s="955">
        <v>12</v>
      </c>
      <c r="L101" s="970">
        <v>649</v>
      </c>
      <c r="M101" s="971">
        <f t="shared" si="26"/>
        <v>38940</v>
      </c>
      <c r="N101" s="855">
        <v>0.15751376283369256</v>
      </c>
      <c r="O101" s="855"/>
      <c r="P101" s="970">
        <v>649</v>
      </c>
      <c r="Q101" s="970">
        <f t="shared" si="27"/>
        <v>0</v>
      </c>
      <c r="R101" s="971">
        <f t="shared" si="25"/>
        <v>38940</v>
      </c>
      <c r="S101" s="856">
        <f t="shared" si="36"/>
        <v>3.3335629492560477E-2</v>
      </c>
      <c r="T101" s="971"/>
      <c r="U101" s="971"/>
      <c r="V101" s="976">
        <v>0</v>
      </c>
      <c r="W101" s="971">
        <f t="shared" si="28"/>
        <v>0</v>
      </c>
      <c r="X101" s="971">
        <f t="shared" si="37"/>
        <v>38940</v>
      </c>
      <c r="Y101" s="858">
        <f t="shared" si="38"/>
        <v>0</v>
      </c>
      <c r="Z101" s="857">
        <f t="shared" si="39"/>
        <v>1.4159999999999999</v>
      </c>
      <c r="AA101" s="856">
        <v>3.3335629492560477E-2</v>
      </c>
      <c r="AB101" s="856">
        <v>7.1783232941023553E-2</v>
      </c>
      <c r="AC101" s="970">
        <f t="shared" si="29"/>
        <v>649</v>
      </c>
      <c r="AD101" s="970"/>
      <c r="AE101" s="970">
        <f t="shared" si="44"/>
        <v>48.674999999999997</v>
      </c>
      <c r="AF101" s="971">
        <f t="shared" si="40"/>
        <v>38940</v>
      </c>
      <c r="AG101" s="857">
        <f t="shared" si="41"/>
        <v>0</v>
      </c>
      <c r="AH101" s="576">
        <v>0</v>
      </c>
      <c r="AI101" s="856">
        <f t="shared" si="43"/>
        <v>3.3335629492560477E-2</v>
      </c>
      <c r="AJ101" s="859">
        <v>0</v>
      </c>
      <c r="AK101" s="583">
        <v>0</v>
      </c>
      <c r="AL101" s="971">
        <f t="shared" si="42"/>
        <v>0</v>
      </c>
      <c r="AM101" s="971">
        <f t="shared" si="30"/>
        <v>38940</v>
      </c>
      <c r="AN101" s="858">
        <f t="shared" si="31"/>
        <v>0</v>
      </c>
      <c r="AO101" s="857">
        <f t="shared" si="32"/>
        <v>1.4159999999999999</v>
      </c>
      <c r="AP101" s="973">
        <f t="shared" si="33"/>
        <v>0</v>
      </c>
      <c r="AQ101" s="855">
        <f t="shared" si="34"/>
        <v>0</v>
      </c>
      <c r="AR101" s="974">
        <f t="shared" si="45"/>
        <v>3.3335629492560477E-2</v>
      </c>
      <c r="AS101" s="975"/>
      <c r="AT101" s="976"/>
      <c r="AU101" s="971"/>
      <c r="AV101" s="976"/>
      <c r="AW101" s="970"/>
      <c r="AX101" s="971"/>
      <c r="AY101" s="971"/>
      <c r="AZ101" s="977"/>
      <c r="BA101" s="972"/>
      <c r="BB101" s="971"/>
      <c r="BC101" s="973"/>
      <c r="BD101" s="973"/>
      <c r="BE101" s="855"/>
      <c r="BF101" s="975"/>
      <c r="BG101" s="975"/>
      <c r="BH101" s="971"/>
      <c r="BI101" s="970"/>
      <c r="BJ101" s="971"/>
      <c r="BK101" s="971"/>
      <c r="BL101" s="977"/>
      <c r="BM101" s="972"/>
      <c r="BN101" s="971"/>
      <c r="BO101" s="973"/>
      <c r="BP101" s="973"/>
      <c r="BQ101" s="855"/>
      <c r="BR101" s="975"/>
      <c r="BS101" s="975"/>
      <c r="BT101" s="978"/>
      <c r="BU101" s="978"/>
      <c r="BV101" s="978">
        <v>0.10100000000000001</v>
      </c>
      <c r="BW101" s="978">
        <f t="shared" si="35"/>
        <v>3.3335629492560477E-2</v>
      </c>
    </row>
    <row r="102" spans="1:75" hidden="1">
      <c r="A102" s="968">
        <v>2606</v>
      </c>
      <c r="B102" s="968" t="s">
        <v>211</v>
      </c>
      <c r="C102" s="969" t="s">
        <v>829</v>
      </c>
      <c r="D102" s="969" t="s">
        <v>386</v>
      </c>
      <c r="E102" s="955" t="s">
        <v>389</v>
      </c>
      <c r="F102" s="955"/>
      <c r="G102" s="955" t="str">
        <f>IFERROR(VLOOKUP(D102,[3]전용!E:J,6,0),"")</f>
        <v/>
      </c>
      <c r="H102" s="854">
        <v>27500</v>
      </c>
      <c r="I102" s="955">
        <v>5</v>
      </c>
      <c r="J102" s="955" t="s">
        <v>288</v>
      </c>
      <c r="K102" s="955">
        <v>12</v>
      </c>
      <c r="L102" s="970">
        <v>599</v>
      </c>
      <c r="M102" s="971">
        <f t="shared" si="26"/>
        <v>35940</v>
      </c>
      <c r="N102" s="855">
        <v>0.16867193664233437</v>
      </c>
      <c r="O102" s="855"/>
      <c r="P102" s="970">
        <v>599</v>
      </c>
      <c r="Q102" s="970">
        <f t="shared" si="27"/>
        <v>0</v>
      </c>
      <c r="R102" s="971">
        <f t="shared" si="25"/>
        <v>35940</v>
      </c>
      <c r="S102" s="856">
        <f t="shared" si="36"/>
        <v>3.3335629492560477E-2</v>
      </c>
      <c r="T102" s="971"/>
      <c r="U102" s="971"/>
      <c r="V102" s="976">
        <v>0</v>
      </c>
      <c r="W102" s="971">
        <f t="shared" si="28"/>
        <v>0</v>
      </c>
      <c r="X102" s="971">
        <f t="shared" si="37"/>
        <v>35940</v>
      </c>
      <c r="Y102" s="858">
        <f t="shared" si="38"/>
        <v>0</v>
      </c>
      <c r="Z102" s="857">
        <f t="shared" si="39"/>
        <v>1.3069090909090908</v>
      </c>
      <c r="AA102" s="856">
        <v>3.3335629492560477E-2</v>
      </c>
      <c r="AB102" s="856">
        <v>7.1783232941023553E-2</v>
      </c>
      <c r="AC102" s="970">
        <f t="shared" si="29"/>
        <v>599</v>
      </c>
      <c r="AD102" s="970"/>
      <c r="AE102" s="970">
        <f t="shared" si="44"/>
        <v>44.924999999999997</v>
      </c>
      <c r="AF102" s="971">
        <f t="shared" si="40"/>
        <v>35940</v>
      </c>
      <c r="AG102" s="857">
        <f t="shared" si="41"/>
        <v>0</v>
      </c>
      <c r="AH102" s="576">
        <v>0</v>
      </c>
      <c r="AI102" s="856">
        <f t="shared" si="43"/>
        <v>3.3335629492560477E-2</v>
      </c>
      <c r="AJ102" s="859">
        <v>0</v>
      </c>
      <c r="AK102" s="583">
        <v>0</v>
      </c>
      <c r="AL102" s="971">
        <f t="shared" si="42"/>
        <v>0</v>
      </c>
      <c r="AM102" s="971">
        <f t="shared" si="30"/>
        <v>35940</v>
      </c>
      <c r="AN102" s="858">
        <f t="shared" si="31"/>
        <v>0</v>
      </c>
      <c r="AO102" s="857">
        <f t="shared" si="32"/>
        <v>1.3069090909090908</v>
      </c>
      <c r="AP102" s="973">
        <f t="shared" si="33"/>
        <v>0</v>
      </c>
      <c r="AQ102" s="855">
        <f t="shared" si="34"/>
        <v>0</v>
      </c>
      <c r="AR102" s="974">
        <f t="shared" si="45"/>
        <v>3.3335629492560477E-2</v>
      </c>
      <c r="AS102" s="975"/>
      <c r="AT102" s="976"/>
      <c r="AU102" s="971"/>
      <c r="AV102" s="976"/>
      <c r="AW102" s="970"/>
      <c r="AX102" s="971"/>
      <c r="AY102" s="971"/>
      <c r="AZ102" s="977"/>
      <c r="BA102" s="972"/>
      <c r="BB102" s="971"/>
      <c r="BC102" s="973"/>
      <c r="BD102" s="973"/>
      <c r="BE102" s="855"/>
      <c r="BF102" s="975"/>
      <c r="BG102" s="975"/>
      <c r="BH102" s="971"/>
      <c r="BI102" s="970"/>
      <c r="BJ102" s="971"/>
      <c r="BK102" s="971"/>
      <c r="BL102" s="977"/>
      <c r="BM102" s="972"/>
      <c r="BN102" s="971"/>
      <c r="BO102" s="973"/>
      <c r="BP102" s="973"/>
      <c r="BQ102" s="855"/>
      <c r="BR102" s="975"/>
      <c r="BS102" s="975"/>
      <c r="BT102" s="978"/>
      <c r="BU102" s="978"/>
      <c r="BV102" s="978">
        <v>0.10100000000000001</v>
      </c>
      <c r="BW102" s="978">
        <f t="shared" si="35"/>
        <v>3.3335629492560477E-2</v>
      </c>
    </row>
    <row r="103" spans="1:75" hidden="1">
      <c r="A103" s="968">
        <v>2606</v>
      </c>
      <c r="B103" s="968" t="s">
        <v>211</v>
      </c>
      <c r="C103" s="969" t="s">
        <v>829</v>
      </c>
      <c r="D103" s="969" t="s">
        <v>386</v>
      </c>
      <c r="E103" s="955" t="s">
        <v>389</v>
      </c>
      <c r="F103" s="955"/>
      <c r="G103" s="955" t="str">
        <f>IFERROR(VLOOKUP(D103,[3]전용!E:J,6,0),"")</f>
        <v/>
      </c>
      <c r="H103" s="854">
        <v>27500</v>
      </c>
      <c r="I103" s="955">
        <v>6</v>
      </c>
      <c r="J103" s="955" t="s">
        <v>286</v>
      </c>
      <c r="K103" s="955">
        <v>12</v>
      </c>
      <c r="L103" s="970">
        <v>599</v>
      </c>
      <c r="M103" s="971">
        <f t="shared" si="26"/>
        <v>43128</v>
      </c>
      <c r="N103" s="855">
        <v>0.16867193664233437</v>
      </c>
      <c r="O103" s="855"/>
      <c r="P103" s="970">
        <v>599</v>
      </c>
      <c r="Q103" s="970">
        <f t="shared" si="27"/>
        <v>0</v>
      </c>
      <c r="R103" s="971">
        <f t="shared" si="25"/>
        <v>43128</v>
      </c>
      <c r="S103" s="856">
        <f t="shared" si="36"/>
        <v>3.3335629492560477E-2</v>
      </c>
      <c r="T103" s="971"/>
      <c r="U103" s="971"/>
      <c r="V103" s="976">
        <v>0</v>
      </c>
      <c r="W103" s="971">
        <f t="shared" si="28"/>
        <v>0</v>
      </c>
      <c r="X103" s="971">
        <f t="shared" si="37"/>
        <v>43128</v>
      </c>
      <c r="Y103" s="858">
        <f t="shared" si="38"/>
        <v>0</v>
      </c>
      <c r="Z103" s="857">
        <f t="shared" si="39"/>
        <v>1.5682909090909092</v>
      </c>
      <c r="AA103" s="856">
        <v>3.3335629492560477E-2</v>
      </c>
      <c r="AB103" s="856">
        <v>7.1783232941023553E-2</v>
      </c>
      <c r="AC103" s="970">
        <f t="shared" si="29"/>
        <v>599</v>
      </c>
      <c r="AD103" s="970"/>
      <c r="AE103" s="970">
        <f>IF(AA103&gt;10%,0,IF(AA103&gt;5%,P103*0.04,IF(AA103&gt;0%,P103*0.075, P103*0.1)))</f>
        <v>44.924999999999997</v>
      </c>
      <c r="AF103" s="971">
        <f t="shared" si="40"/>
        <v>43128</v>
      </c>
      <c r="AG103" s="857">
        <f t="shared" si="41"/>
        <v>0</v>
      </c>
      <c r="AH103" s="576">
        <v>0</v>
      </c>
      <c r="AI103" s="856">
        <f t="shared" si="43"/>
        <v>3.3335629492560477E-2</v>
      </c>
      <c r="AJ103" s="859">
        <v>0</v>
      </c>
      <c r="AK103" s="583">
        <v>0</v>
      </c>
      <c r="AL103" s="971">
        <f t="shared" si="42"/>
        <v>0</v>
      </c>
      <c r="AM103" s="971">
        <f t="shared" si="30"/>
        <v>43128</v>
      </c>
      <c r="AN103" s="858">
        <f t="shared" si="31"/>
        <v>0</v>
      </c>
      <c r="AO103" s="857">
        <f t="shared" si="32"/>
        <v>1.5682909090909092</v>
      </c>
      <c r="AP103" s="973">
        <f t="shared" si="33"/>
        <v>0</v>
      </c>
      <c r="AQ103" s="855">
        <f t="shared" si="34"/>
        <v>0</v>
      </c>
      <c r="AR103" s="974">
        <f t="shared" si="45"/>
        <v>3.3335629492560477E-2</v>
      </c>
      <c r="AS103" s="975"/>
      <c r="AT103" s="976"/>
      <c r="AU103" s="971"/>
      <c r="AV103" s="976"/>
      <c r="AW103" s="970"/>
      <c r="AX103" s="971"/>
      <c r="AY103" s="971"/>
      <c r="AZ103" s="977"/>
      <c r="BA103" s="972"/>
      <c r="BB103" s="971"/>
      <c r="BC103" s="973"/>
      <c r="BD103" s="973"/>
      <c r="BE103" s="855"/>
      <c r="BF103" s="975"/>
      <c r="BG103" s="975"/>
      <c r="BH103" s="971"/>
      <c r="BI103" s="970"/>
      <c r="BJ103" s="971"/>
      <c r="BK103" s="971"/>
      <c r="BL103" s="977"/>
      <c r="BM103" s="972"/>
      <c r="BN103" s="971"/>
      <c r="BO103" s="973"/>
      <c r="BP103" s="973"/>
      <c r="BQ103" s="855"/>
      <c r="BR103" s="975"/>
      <c r="BS103" s="975"/>
      <c r="BT103" s="978"/>
      <c r="BU103" s="978"/>
      <c r="BV103" s="978">
        <v>0.10100000000000001</v>
      </c>
      <c r="BW103" s="978">
        <f t="shared" si="35"/>
        <v>3.3335629492560477E-2</v>
      </c>
    </row>
    <row r="104" spans="1:75" hidden="1">
      <c r="A104" s="979">
        <v>2606</v>
      </c>
      <c r="B104" s="979" t="s">
        <v>211</v>
      </c>
      <c r="C104" s="980" t="s">
        <v>829</v>
      </c>
      <c r="D104" s="980" t="s">
        <v>386</v>
      </c>
      <c r="E104" s="955" t="s">
        <v>389</v>
      </c>
      <c r="F104" s="955"/>
      <c r="G104" s="955" t="str">
        <f>IFERROR(VLOOKUP(D104,[3]전용!E:J,6,0),"")</f>
        <v/>
      </c>
      <c r="H104" s="854">
        <v>27500</v>
      </c>
      <c r="I104" s="955">
        <v>6</v>
      </c>
      <c r="J104" s="955" t="s">
        <v>288</v>
      </c>
      <c r="K104" s="955">
        <v>12</v>
      </c>
      <c r="L104" s="970">
        <v>549</v>
      </c>
      <c r="M104" s="971">
        <f t="shared" si="26"/>
        <v>39528</v>
      </c>
      <c r="N104" s="855">
        <v>0.18262664524010941</v>
      </c>
      <c r="O104" s="855"/>
      <c r="P104" s="970">
        <v>549</v>
      </c>
      <c r="Q104" s="970">
        <f t="shared" si="27"/>
        <v>0</v>
      </c>
      <c r="R104" s="971">
        <f t="shared" si="25"/>
        <v>39528</v>
      </c>
      <c r="S104" s="856">
        <f t="shared" si="36"/>
        <v>3.3335629492560477E-2</v>
      </c>
      <c r="T104" s="971"/>
      <c r="U104" s="971"/>
      <c r="V104" s="976">
        <v>0</v>
      </c>
      <c r="W104" s="971">
        <f t="shared" si="28"/>
        <v>0</v>
      </c>
      <c r="X104" s="971">
        <f t="shared" si="37"/>
        <v>39528</v>
      </c>
      <c r="Y104" s="858">
        <f t="shared" si="38"/>
        <v>0</v>
      </c>
      <c r="Z104" s="857">
        <f t="shared" si="39"/>
        <v>1.4373818181818181</v>
      </c>
      <c r="AA104" s="856">
        <v>3.3335629492560477E-2</v>
      </c>
      <c r="AB104" s="856">
        <v>7.1783232941023553E-2</v>
      </c>
      <c r="AC104" s="970">
        <f t="shared" si="29"/>
        <v>549</v>
      </c>
      <c r="AD104" s="970"/>
      <c r="AE104" s="970">
        <f t="shared" ref="AE104:AE167" si="46">IF(AA104&gt;10%,0,IF(AA104&gt;5%,P104*0.04,IF(AA104&gt;0%,P104*0.075, P104*0.1)))</f>
        <v>41.174999999999997</v>
      </c>
      <c r="AF104" s="971">
        <f t="shared" si="40"/>
        <v>39528</v>
      </c>
      <c r="AG104" s="857">
        <f t="shared" si="41"/>
        <v>0</v>
      </c>
      <c r="AH104" s="576">
        <v>0</v>
      </c>
      <c r="AI104" s="856">
        <f t="shared" si="43"/>
        <v>3.3335629492560477E-2</v>
      </c>
      <c r="AJ104" s="859">
        <v>0</v>
      </c>
      <c r="AK104" s="583">
        <v>0</v>
      </c>
      <c r="AL104" s="971">
        <f t="shared" si="42"/>
        <v>0</v>
      </c>
      <c r="AM104" s="971">
        <f t="shared" si="30"/>
        <v>39528</v>
      </c>
      <c r="AN104" s="858">
        <f t="shared" si="31"/>
        <v>0</v>
      </c>
      <c r="AO104" s="857">
        <f t="shared" si="32"/>
        <v>1.4373818181818181</v>
      </c>
      <c r="AP104" s="973">
        <f t="shared" si="33"/>
        <v>0</v>
      </c>
      <c r="AQ104" s="855">
        <f t="shared" si="34"/>
        <v>0</v>
      </c>
      <c r="AR104" s="974">
        <f t="shared" si="45"/>
        <v>3.3335629492560477E-2</v>
      </c>
      <c r="AS104" s="975"/>
      <c r="AT104" s="976"/>
      <c r="AU104" s="971"/>
      <c r="AV104" s="976"/>
      <c r="AW104" s="970"/>
      <c r="AX104" s="971"/>
      <c r="AY104" s="971"/>
      <c r="AZ104" s="977"/>
      <c r="BA104" s="972"/>
      <c r="BB104" s="971"/>
      <c r="BC104" s="973"/>
      <c r="BD104" s="973"/>
      <c r="BE104" s="855"/>
      <c r="BF104" s="975"/>
      <c r="BG104" s="975"/>
      <c r="BH104" s="971"/>
      <c r="BI104" s="970"/>
      <c r="BJ104" s="971"/>
      <c r="BK104" s="971"/>
      <c r="BL104" s="977"/>
      <c r="BM104" s="972"/>
      <c r="BN104" s="971"/>
      <c r="BO104" s="973"/>
      <c r="BP104" s="973"/>
      <c r="BQ104" s="855"/>
      <c r="BR104" s="975"/>
      <c r="BS104" s="975"/>
      <c r="BT104" s="978"/>
      <c r="BU104" s="978"/>
      <c r="BV104" s="978">
        <v>0.10100000000000001</v>
      </c>
      <c r="BW104" s="978">
        <f t="shared" si="35"/>
        <v>3.3335629492560477E-2</v>
      </c>
    </row>
    <row r="105" spans="1:75" hidden="1">
      <c r="A105" s="968">
        <v>2606</v>
      </c>
      <c r="B105" s="968" t="s">
        <v>211</v>
      </c>
      <c r="C105" s="969" t="s">
        <v>829</v>
      </c>
      <c r="D105" s="981" t="s">
        <v>366</v>
      </c>
      <c r="E105" s="955" t="s">
        <v>389</v>
      </c>
      <c r="F105" s="955"/>
      <c r="G105" s="955" t="str">
        <f>IFERROR(VLOOKUP(D105,[3]전용!E:J,6,0),"")</f>
        <v/>
      </c>
      <c r="H105" s="854">
        <v>15100</v>
      </c>
      <c r="I105" s="955">
        <v>5</v>
      </c>
      <c r="J105" s="955" t="s">
        <v>286</v>
      </c>
      <c r="K105" s="955">
        <v>12</v>
      </c>
      <c r="L105" s="970">
        <v>549</v>
      </c>
      <c r="M105" s="971">
        <f t="shared" si="26"/>
        <v>32940</v>
      </c>
      <c r="N105" s="855">
        <v>0.16</v>
      </c>
      <c r="O105" s="855"/>
      <c r="P105" s="970">
        <v>549</v>
      </c>
      <c r="Q105" s="970">
        <f t="shared" si="27"/>
        <v>0</v>
      </c>
      <c r="R105" s="971">
        <f t="shared" si="25"/>
        <v>32940</v>
      </c>
      <c r="S105" s="856">
        <f t="shared" si="36"/>
        <v>-1.7548365349860078E-2</v>
      </c>
      <c r="T105" s="971"/>
      <c r="U105" s="971"/>
      <c r="V105" s="972">
        <v>0</v>
      </c>
      <c r="W105" s="971">
        <f t="shared" si="28"/>
        <v>0</v>
      </c>
      <c r="X105" s="971">
        <f t="shared" si="37"/>
        <v>32940</v>
      </c>
      <c r="Y105" s="858">
        <f t="shared" si="38"/>
        <v>0</v>
      </c>
      <c r="Z105" s="857">
        <f t="shared" si="39"/>
        <v>2.181456953642384</v>
      </c>
      <c r="AA105" s="856">
        <v>-1.7548365349860078E-2</v>
      </c>
      <c r="AB105" s="856">
        <v>1.8854597419833926E-3</v>
      </c>
      <c r="AC105" s="970">
        <f t="shared" si="29"/>
        <v>549</v>
      </c>
      <c r="AD105" s="970"/>
      <c r="AE105" s="970">
        <f t="shared" si="46"/>
        <v>54.900000000000006</v>
      </c>
      <c r="AF105" s="971">
        <f t="shared" si="40"/>
        <v>32940</v>
      </c>
      <c r="AG105" s="857">
        <f t="shared" si="41"/>
        <v>0</v>
      </c>
      <c r="AH105" s="576">
        <v>0</v>
      </c>
      <c r="AI105" s="856">
        <f t="shared" si="43"/>
        <v>5.4084872472489456E-2</v>
      </c>
      <c r="AJ105" s="859">
        <v>0</v>
      </c>
      <c r="AK105" s="583">
        <v>0</v>
      </c>
      <c r="AL105" s="971">
        <f t="shared" si="42"/>
        <v>0</v>
      </c>
      <c r="AM105" s="971">
        <f t="shared" si="30"/>
        <v>32940</v>
      </c>
      <c r="AN105" s="858">
        <f t="shared" si="31"/>
        <v>0</v>
      </c>
      <c r="AO105" s="857">
        <f t="shared" si="32"/>
        <v>2.181456953642384</v>
      </c>
      <c r="AP105" s="973"/>
      <c r="AQ105" s="855"/>
      <c r="AR105" s="974">
        <f>AR108</f>
        <v>5.4084872472489456E-2</v>
      </c>
      <c r="AS105" s="975"/>
      <c r="AT105" s="976"/>
      <c r="AU105" s="971"/>
      <c r="AV105" s="976"/>
      <c r="AW105" s="970"/>
      <c r="AX105" s="971"/>
      <c r="AY105" s="971"/>
      <c r="AZ105" s="977"/>
      <c r="BA105" s="972"/>
      <c r="BB105" s="971"/>
      <c r="BC105" s="973"/>
      <c r="BD105" s="973"/>
      <c r="BE105" s="855"/>
      <c r="BF105" s="975"/>
      <c r="BG105" s="975"/>
      <c r="BH105" s="971"/>
      <c r="BI105" s="970"/>
      <c r="BJ105" s="971"/>
      <c r="BK105" s="971"/>
      <c r="BL105" s="977"/>
      <c r="BM105" s="972"/>
      <c r="BN105" s="971"/>
      <c r="BO105" s="973"/>
      <c r="BP105" s="973"/>
      <c r="BQ105" s="855"/>
      <c r="BR105" s="975"/>
      <c r="BS105" s="975"/>
      <c r="BT105" s="978"/>
      <c r="BU105" s="978"/>
      <c r="BV105" s="978">
        <v>0.10249999999999999</v>
      </c>
      <c r="BW105" s="978">
        <f t="shared" si="35"/>
        <v>-1.7548365349860078E-2</v>
      </c>
    </row>
    <row r="106" spans="1:75" hidden="1">
      <c r="A106" s="968">
        <v>2606</v>
      </c>
      <c r="B106" s="968" t="s">
        <v>211</v>
      </c>
      <c r="C106" s="969" t="s">
        <v>829</v>
      </c>
      <c r="D106" s="981" t="s">
        <v>366</v>
      </c>
      <c r="E106" s="955" t="s">
        <v>389</v>
      </c>
      <c r="F106" s="955"/>
      <c r="G106" s="955" t="str">
        <f>IFERROR(VLOOKUP(D106,[3]전용!E:J,6,0),"")</f>
        <v/>
      </c>
      <c r="H106" s="854">
        <v>15100</v>
      </c>
      <c r="I106" s="955">
        <v>5</v>
      </c>
      <c r="J106" s="955" t="s">
        <v>288</v>
      </c>
      <c r="K106" s="955">
        <v>12</v>
      </c>
      <c r="L106" s="970">
        <v>449</v>
      </c>
      <c r="M106" s="971">
        <f t="shared" si="26"/>
        <v>26940</v>
      </c>
      <c r="N106" s="855">
        <v>0.17</v>
      </c>
      <c r="O106" s="855"/>
      <c r="P106" s="970">
        <v>449</v>
      </c>
      <c r="Q106" s="970">
        <f t="shared" si="27"/>
        <v>0</v>
      </c>
      <c r="R106" s="971">
        <f t="shared" si="25"/>
        <v>26940</v>
      </c>
      <c r="S106" s="856">
        <f t="shared" si="36"/>
        <v>-1.7548365349860078E-2</v>
      </c>
      <c r="T106" s="971"/>
      <c r="U106" s="971"/>
      <c r="V106" s="972">
        <v>0</v>
      </c>
      <c r="W106" s="971">
        <f t="shared" si="28"/>
        <v>0</v>
      </c>
      <c r="X106" s="971">
        <f t="shared" si="37"/>
        <v>26940</v>
      </c>
      <c r="Y106" s="858">
        <f t="shared" si="38"/>
        <v>0</v>
      </c>
      <c r="Z106" s="857">
        <f t="shared" si="39"/>
        <v>1.7841059602649008</v>
      </c>
      <c r="AA106" s="856">
        <v>-1.7548365349860078E-2</v>
      </c>
      <c r="AB106" s="856">
        <v>1.8854597419833926E-3</v>
      </c>
      <c r="AC106" s="970">
        <f t="shared" si="29"/>
        <v>449</v>
      </c>
      <c r="AD106" s="970"/>
      <c r="AE106" s="970">
        <f t="shared" si="46"/>
        <v>44.900000000000006</v>
      </c>
      <c r="AF106" s="971">
        <f t="shared" si="40"/>
        <v>26940</v>
      </c>
      <c r="AG106" s="857">
        <f t="shared" si="41"/>
        <v>0</v>
      </c>
      <c r="AH106" s="576">
        <v>0</v>
      </c>
      <c r="AI106" s="856">
        <f t="shared" si="43"/>
        <v>5.4084872472489456E-2</v>
      </c>
      <c r="AJ106" s="859">
        <v>0</v>
      </c>
      <c r="AK106" s="583">
        <v>0</v>
      </c>
      <c r="AL106" s="971">
        <f t="shared" si="42"/>
        <v>0</v>
      </c>
      <c r="AM106" s="971">
        <f t="shared" si="30"/>
        <v>26940</v>
      </c>
      <c r="AN106" s="858">
        <f t="shared" si="31"/>
        <v>0</v>
      </c>
      <c r="AO106" s="857">
        <f t="shared" si="32"/>
        <v>1.7841059602649008</v>
      </c>
      <c r="AP106" s="973"/>
      <c r="AQ106" s="855"/>
      <c r="AR106" s="974">
        <f>AR108</f>
        <v>5.4084872472489456E-2</v>
      </c>
      <c r="AS106" s="975"/>
      <c r="AT106" s="976"/>
      <c r="AU106" s="971"/>
      <c r="AV106" s="976"/>
      <c r="AW106" s="970"/>
      <c r="AX106" s="971"/>
      <c r="AY106" s="971"/>
      <c r="AZ106" s="977"/>
      <c r="BA106" s="972"/>
      <c r="BB106" s="971"/>
      <c r="BC106" s="973"/>
      <c r="BD106" s="973"/>
      <c r="BE106" s="855"/>
      <c r="BF106" s="975"/>
      <c r="BG106" s="975"/>
      <c r="BH106" s="971"/>
      <c r="BI106" s="970"/>
      <c r="BJ106" s="971"/>
      <c r="BK106" s="971"/>
      <c r="BL106" s="977"/>
      <c r="BM106" s="972"/>
      <c r="BN106" s="971"/>
      <c r="BO106" s="973"/>
      <c r="BP106" s="973"/>
      <c r="BQ106" s="855"/>
      <c r="BR106" s="975"/>
      <c r="BS106" s="975"/>
      <c r="BT106" s="978"/>
      <c r="BU106" s="978"/>
      <c r="BV106" s="978">
        <v>0.10249999999999999</v>
      </c>
      <c r="BW106" s="978">
        <f t="shared" si="35"/>
        <v>-1.7548365349860078E-2</v>
      </c>
    </row>
    <row r="107" spans="1:75" hidden="1">
      <c r="A107" s="968">
        <v>2606</v>
      </c>
      <c r="B107" s="968" t="s">
        <v>211</v>
      </c>
      <c r="C107" s="969" t="s">
        <v>829</v>
      </c>
      <c r="D107" s="981" t="s">
        <v>366</v>
      </c>
      <c r="E107" s="955" t="s">
        <v>389</v>
      </c>
      <c r="F107" s="955"/>
      <c r="G107" s="955" t="str">
        <f>IFERROR(VLOOKUP(D107,[3]전용!E:J,6,0),"")</f>
        <v/>
      </c>
      <c r="H107" s="854">
        <v>15100</v>
      </c>
      <c r="I107" s="955">
        <v>6</v>
      </c>
      <c r="J107" s="955" t="s">
        <v>286</v>
      </c>
      <c r="K107" s="955">
        <v>12</v>
      </c>
      <c r="L107" s="970">
        <v>449</v>
      </c>
      <c r="M107" s="971">
        <f t="shared" si="26"/>
        <v>32328</v>
      </c>
      <c r="N107" s="855">
        <v>0.12</v>
      </c>
      <c r="O107" s="855"/>
      <c r="P107" s="970">
        <v>449</v>
      </c>
      <c r="Q107" s="970">
        <f t="shared" si="27"/>
        <v>0</v>
      </c>
      <c r="R107" s="971">
        <f t="shared" si="25"/>
        <v>32328</v>
      </c>
      <c r="S107" s="856">
        <f t="shared" si="36"/>
        <v>-1.7548365349860078E-2</v>
      </c>
      <c r="T107" s="971"/>
      <c r="U107" s="971"/>
      <c r="V107" s="972">
        <v>0</v>
      </c>
      <c r="W107" s="971">
        <f t="shared" si="28"/>
        <v>0</v>
      </c>
      <c r="X107" s="971">
        <f t="shared" si="37"/>
        <v>32328</v>
      </c>
      <c r="Y107" s="858">
        <f t="shared" si="38"/>
        <v>0</v>
      </c>
      <c r="Z107" s="857">
        <f t="shared" si="39"/>
        <v>2.140927152317881</v>
      </c>
      <c r="AA107" s="856">
        <v>-1.7548365349860078E-2</v>
      </c>
      <c r="AB107" s="856">
        <v>1.8854597419833926E-3</v>
      </c>
      <c r="AC107" s="970">
        <f t="shared" si="29"/>
        <v>499</v>
      </c>
      <c r="AD107" s="970">
        <v>50</v>
      </c>
      <c r="AE107" s="970">
        <f t="shared" si="46"/>
        <v>44.900000000000006</v>
      </c>
      <c r="AF107" s="971">
        <f t="shared" si="40"/>
        <v>35928</v>
      </c>
      <c r="AG107" s="857">
        <f t="shared" si="41"/>
        <v>0.11135857461024501</v>
      </c>
      <c r="AH107" s="576">
        <v>0</v>
      </c>
      <c r="AI107" s="856">
        <f t="shared" si="43"/>
        <v>3.8130921955262423E-2</v>
      </c>
      <c r="AJ107" s="859">
        <v>0</v>
      </c>
      <c r="AK107" s="583">
        <v>0</v>
      </c>
      <c r="AL107" s="971">
        <f t="shared" si="42"/>
        <v>0</v>
      </c>
      <c r="AM107" s="971">
        <f t="shared" si="30"/>
        <v>35928</v>
      </c>
      <c r="AN107" s="858">
        <f t="shared" si="31"/>
        <v>0</v>
      </c>
      <c r="AO107" s="857">
        <f t="shared" si="32"/>
        <v>2.379337748344371</v>
      </c>
      <c r="AP107" s="973">
        <f t="shared" si="33"/>
        <v>3600</v>
      </c>
      <c r="AQ107" s="855">
        <f t="shared" si="34"/>
        <v>0.11135857461024501</v>
      </c>
      <c r="AR107" s="974">
        <f t="shared" si="45"/>
        <v>3.8130921955262423E-2</v>
      </c>
      <c r="AS107" s="975"/>
      <c r="AT107" s="976"/>
      <c r="AU107" s="971"/>
      <c r="AV107" s="976"/>
      <c r="AW107" s="970"/>
      <c r="AX107" s="971"/>
      <c r="AY107" s="971"/>
      <c r="AZ107" s="977"/>
      <c r="BA107" s="972"/>
      <c r="BB107" s="971"/>
      <c r="BC107" s="973"/>
      <c r="BD107" s="973"/>
      <c r="BE107" s="855"/>
      <c r="BF107" s="975"/>
      <c r="BG107" s="975"/>
      <c r="BH107" s="971"/>
      <c r="BI107" s="970"/>
      <c r="BJ107" s="971"/>
      <c r="BK107" s="971"/>
      <c r="BL107" s="977"/>
      <c r="BM107" s="972"/>
      <c r="BN107" s="971"/>
      <c r="BO107" s="973"/>
      <c r="BP107" s="973"/>
      <c r="BQ107" s="855"/>
      <c r="BR107" s="975"/>
      <c r="BS107" s="975"/>
      <c r="BT107" s="978"/>
      <c r="BU107" s="978"/>
      <c r="BV107" s="978">
        <v>0.10249999999999999</v>
      </c>
      <c r="BW107" s="978">
        <f t="shared" si="35"/>
        <v>-1.7548365349860078E-2</v>
      </c>
    </row>
    <row r="108" spans="1:75" hidden="1">
      <c r="A108" s="979">
        <v>2606</v>
      </c>
      <c r="B108" s="979" t="s">
        <v>211</v>
      </c>
      <c r="C108" s="980" t="s">
        <v>829</v>
      </c>
      <c r="D108" s="983" t="s">
        <v>366</v>
      </c>
      <c r="E108" s="955" t="s">
        <v>389</v>
      </c>
      <c r="F108" s="955"/>
      <c r="G108" s="955" t="str">
        <f>IFERROR(VLOOKUP(D108,[3]전용!E:J,6,0),"")</f>
        <v/>
      </c>
      <c r="H108" s="854">
        <v>15100</v>
      </c>
      <c r="I108" s="955">
        <v>6</v>
      </c>
      <c r="J108" s="955" t="s">
        <v>288</v>
      </c>
      <c r="K108" s="955">
        <v>12</v>
      </c>
      <c r="L108" s="970">
        <v>349</v>
      </c>
      <c r="M108" s="971">
        <f t="shared" si="26"/>
        <v>25128</v>
      </c>
      <c r="N108" s="855">
        <v>0.12</v>
      </c>
      <c r="O108" s="855"/>
      <c r="P108" s="970">
        <v>349</v>
      </c>
      <c r="Q108" s="970">
        <f t="shared" si="27"/>
        <v>0</v>
      </c>
      <c r="R108" s="971">
        <f t="shared" si="25"/>
        <v>25128</v>
      </c>
      <c r="S108" s="856">
        <f t="shared" si="36"/>
        <v>-1.7548365349860078E-2</v>
      </c>
      <c r="T108" s="971"/>
      <c r="U108" s="971"/>
      <c r="V108" s="972">
        <v>0</v>
      </c>
      <c r="W108" s="971">
        <f t="shared" si="28"/>
        <v>0</v>
      </c>
      <c r="X108" s="971">
        <f t="shared" si="37"/>
        <v>25128</v>
      </c>
      <c r="Y108" s="858">
        <f t="shared" si="38"/>
        <v>0</v>
      </c>
      <c r="Z108" s="857">
        <f t="shared" si="39"/>
        <v>1.6641059602649007</v>
      </c>
      <c r="AA108" s="856">
        <v>-1.7548365349860078E-2</v>
      </c>
      <c r="AB108" s="856">
        <v>1.8854597419833926E-3</v>
      </c>
      <c r="AC108" s="970">
        <f t="shared" si="29"/>
        <v>399</v>
      </c>
      <c r="AD108" s="970">
        <v>50</v>
      </c>
      <c r="AE108" s="970">
        <f t="shared" si="46"/>
        <v>34.9</v>
      </c>
      <c r="AF108" s="971">
        <f t="shared" si="40"/>
        <v>28728</v>
      </c>
      <c r="AG108" s="857">
        <f t="shared" si="41"/>
        <v>0.14326647564469908</v>
      </c>
      <c r="AH108" s="576">
        <v>0</v>
      </c>
      <c r="AI108" s="856">
        <f t="shared" si="43"/>
        <v>5.4084872472489456E-2</v>
      </c>
      <c r="AJ108" s="859">
        <v>0</v>
      </c>
      <c r="AK108" s="583">
        <v>0</v>
      </c>
      <c r="AL108" s="971">
        <f t="shared" si="42"/>
        <v>0</v>
      </c>
      <c r="AM108" s="971">
        <f t="shared" si="30"/>
        <v>28728</v>
      </c>
      <c r="AN108" s="858">
        <f t="shared" si="31"/>
        <v>0</v>
      </c>
      <c r="AO108" s="857">
        <f t="shared" si="32"/>
        <v>1.9025165562913908</v>
      </c>
      <c r="AP108" s="973">
        <f t="shared" si="33"/>
        <v>3600</v>
      </c>
      <c r="AQ108" s="855">
        <f t="shared" si="34"/>
        <v>0.14326647564469908</v>
      </c>
      <c r="AR108" s="974">
        <f t="shared" si="45"/>
        <v>5.4084872472489456E-2</v>
      </c>
      <c r="AS108" s="975"/>
      <c r="AT108" s="976"/>
      <c r="AU108" s="971"/>
      <c r="AV108" s="976"/>
      <c r="AW108" s="970"/>
      <c r="AX108" s="971"/>
      <c r="AY108" s="971"/>
      <c r="AZ108" s="977"/>
      <c r="BA108" s="972"/>
      <c r="BB108" s="971"/>
      <c r="BC108" s="973"/>
      <c r="BD108" s="973"/>
      <c r="BE108" s="855"/>
      <c r="BF108" s="975"/>
      <c r="BG108" s="975"/>
      <c r="BH108" s="971"/>
      <c r="BI108" s="970"/>
      <c r="BJ108" s="971"/>
      <c r="BK108" s="971"/>
      <c r="BL108" s="977"/>
      <c r="BM108" s="972"/>
      <c r="BN108" s="971"/>
      <c r="BO108" s="973"/>
      <c r="BP108" s="973"/>
      <c r="BQ108" s="855"/>
      <c r="BR108" s="975"/>
      <c r="BS108" s="975"/>
      <c r="BT108" s="978"/>
      <c r="BU108" s="978"/>
      <c r="BV108" s="978">
        <v>0.10249999999999999</v>
      </c>
      <c r="BW108" s="978">
        <f t="shared" si="35"/>
        <v>-1.7548365349860078E-2</v>
      </c>
    </row>
    <row r="109" spans="1:75" hidden="1">
      <c r="A109" s="968">
        <v>2606</v>
      </c>
      <c r="B109" s="968" t="s">
        <v>211</v>
      </c>
      <c r="C109" s="969" t="s">
        <v>829</v>
      </c>
      <c r="D109" s="969" t="s">
        <v>52</v>
      </c>
      <c r="E109" s="955" t="s">
        <v>389</v>
      </c>
      <c r="F109" s="955"/>
      <c r="G109" s="955" t="str">
        <f>IFERROR(VLOOKUP(D109,[3]전용!E:J,6,0),"")</f>
        <v/>
      </c>
      <c r="H109" s="854">
        <v>33900</v>
      </c>
      <c r="I109" s="955">
        <v>5</v>
      </c>
      <c r="J109" s="955" t="s">
        <v>286</v>
      </c>
      <c r="K109" s="955">
        <v>12</v>
      </c>
      <c r="L109" s="970">
        <v>849</v>
      </c>
      <c r="M109" s="971">
        <f t="shared" si="26"/>
        <v>50940</v>
      </c>
      <c r="N109" s="855">
        <v>0.19780379705639237</v>
      </c>
      <c r="O109" s="855"/>
      <c r="P109" s="970">
        <v>849</v>
      </c>
      <c r="Q109" s="970">
        <f t="shared" si="27"/>
        <v>0</v>
      </c>
      <c r="R109" s="971">
        <f t="shared" si="25"/>
        <v>50940</v>
      </c>
      <c r="S109" s="856">
        <f t="shared" si="36"/>
        <v>0.19010443928845455</v>
      </c>
      <c r="T109" s="971"/>
      <c r="U109" s="971"/>
      <c r="V109" s="972">
        <v>6</v>
      </c>
      <c r="W109" s="971">
        <f t="shared" si="28"/>
        <v>2547</v>
      </c>
      <c r="X109" s="971">
        <f t="shared" si="37"/>
        <v>48393</v>
      </c>
      <c r="Y109" s="858">
        <f t="shared" si="38"/>
        <v>-5.0000000000000044E-2</v>
      </c>
      <c r="Z109" s="857">
        <f t="shared" si="39"/>
        <v>1.4275221238938054</v>
      </c>
      <c r="AA109" s="856">
        <v>0.16510443928845453</v>
      </c>
      <c r="AB109" s="856">
        <v>7.3072937788596568E-2</v>
      </c>
      <c r="AC109" s="970">
        <f t="shared" si="29"/>
        <v>849</v>
      </c>
      <c r="AD109" s="970"/>
      <c r="AE109" s="970">
        <f t="shared" si="46"/>
        <v>0</v>
      </c>
      <c r="AF109" s="971">
        <f t="shared" si="40"/>
        <v>50940</v>
      </c>
      <c r="AG109" s="857">
        <f t="shared" si="41"/>
        <v>0</v>
      </c>
      <c r="AH109" s="576">
        <v>0</v>
      </c>
      <c r="AI109" s="856">
        <f t="shared" si="43"/>
        <v>0.14010443928845451</v>
      </c>
      <c r="AJ109" s="859">
        <v>0</v>
      </c>
      <c r="AK109" s="583">
        <v>6</v>
      </c>
      <c r="AL109" s="971">
        <f t="shared" si="42"/>
        <v>2547</v>
      </c>
      <c r="AM109" s="971">
        <f t="shared" si="30"/>
        <v>48393</v>
      </c>
      <c r="AN109" s="858">
        <f t="shared" si="31"/>
        <v>-5.0000000000000044E-2</v>
      </c>
      <c r="AO109" s="857">
        <f t="shared" si="32"/>
        <v>1.4275221238938054</v>
      </c>
      <c r="AP109" s="973">
        <f t="shared" si="33"/>
        <v>0</v>
      </c>
      <c r="AQ109" s="855">
        <f t="shared" si="34"/>
        <v>0</v>
      </c>
      <c r="AR109" s="974">
        <f t="shared" si="45"/>
        <v>0.16510443928845453</v>
      </c>
      <c r="AS109" s="975"/>
      <c r="AT109" s="976"/>
      <c r="AU109" s="971"/>
      <c r="AV109" s="976"/>
      <c r="AW109" s="970"/>
      <c r="AX109" s="971"/>
      <c r="AY109" s="971"/>
      <c r="AZ109" s="977"/>
      <c r="BA109" s="972"/>
      <c r="BB109" s="971"/>
      <c r="BC109" s="973"/>
      <c r="BD109" s="973"/>
      <c r="BE109" s="855"/>
      <c r="BF109" s="975"/>
      <c r="BG109" s="975"/>
      <c r="BH109" s="971"/>
      <c r="BI109" s="970"/>
      <c r="BJ109" s="971"/>
      <c r="BK109" s="971"/>
      <c r="BL109" s="977"/>
      <c r="BM109" s="972"/>
      <c r="BN109" s="971"/>
      <c r="BO109" s="973"/>
      <c r="BP109" s="973"/>
      <c r="BQ109" s="855"/>
      <c r="BR109" s="975"/>
      <c r="BS109" s="975"/>
      <c r="BT109" s="978"/>
      <c r="BU109" s="978"/>
      <c r="BV109" s="978">
        <v>0.16501166743847692</v>
      </c>
      <c r="BW109" s="978">
        <f t="shared" si="35"/>
        <v>0.16510443928845453</v>
      </c>
    </row>
    <row r="110" spans="1:75" hidden="1">
      <c r="A110" s="968">
        <v>2606</v>
      </c>
      <c r="B110" s="968" t="s">
        <v>211</v>
      </c>
      <c r="C110" s="969" t="s">
        <v>829</v>
      </c>
      <c r="D110" s="969" t="s">
        <v>52</v>
      </c>
      <c r="E110" s="955" t="s">
        <v>389</v>
      </c>
      <c r="F110" s="955"/>
      <c r="G110" s="955" t="str">
        <f>IFERROR(VLOOKUP(D110,[3]전용!E:J,6,0),"")</f>
        <v/>
      </c>
      <c r="H110" s="854">
        <v>33900</v>
      </c>
      <c r="I110" s="955">
        <v>5</v>
      </c>
      <c r="J110" s="955" t="s">
        <v>288</v>
      </c>
      <c r="K110" s="955">
        <v>12</v>
      </c>
      <c r="L110" s="970">
        <v>749</v>
      </c>
      <c r="M110" s="971">
        <f t="shared" si="26"/>
        <v>44940</v>
      </c>
      <c r="N110" s="855">
        <v>0.20228006478017443</v>
      </c>
      <c r="O110" s="855"/>
      <c r="P110" s="970">
        <v>749</v>
      </c>
      <c r="Q110" s="970">
        <f t="shared" si="27"/>
        <v>0</v>
      </c>
      <c r="R110" s="971">
        <f t="shared" si="25"/>
        <v>44940</v>
      </c>
      <c r="S110" s="856">
        <f t="shared" si="36"/>
        <v>0.19010443928845455</v>
      </c>
      <c r="T110" s="971"/>
      <c r="U110" s="971"/>
      <c r="V110" s="972">
        <v>6</v>
      </c>
      <c r="W110" s="971">
        <f t="shared" si="28"/>
        <v>2247</v>
      </c>
      <c r="X110" s="971">
        <f t="shared" si="37"/>
        <v>42693</v>
      </c>
      <c r="Y110" s="858">
        <f t="shared" si="38"/>
        <v>-5.0000000000000044E-2</v>
      </c>
      <c r="Z110" s="857">
        <f t="shared" si="39"/>
        <v>1.2593805309734514</v>
      </c>
      <c r="AA110" s="856">
        <v>0.16510443928845453</v>
      </c>
      <c r="AB110" s="856">
        <v>7.3072937788596568E-2</v>
      </c>
      <c r="AC110" s="970">
        <f t="shared" si="29"/>
        <v>749</v>
      </c>
      <c r="AD110" s="970"/>
      <c r="AE110" s="970">
        <f t="shared" si="46"/>
        <v>0</v>
      </c>
      <c r="AF110" s="971">
        <f t="shared" si="40"/>
        <v>44940</v>
      </c>
      <c r="AG110" s="857">
        <f t="shared" si="41"/>
        <v>0</v>
      </c>
      <c r="AH110" s="576">
        <v>0</v>
      </c>
      <c r="AI110" s="856">
        <f t="shared" si="43"/>
        <v>0.14010443928845451</v>
      </c>
      <c r="AJ110" s="859">
        <v>0</v>
      </c>
      <c r="AK110" s="583">
        <v>6</v>
      </c>
      <c r="AL110" s="971">
        <f t="shared" si="42"/>
        <v>2247</v>
      </c>
      <c r="AM110" s="971">
        <f t="shared" si="30"/>
        <v>42693</v>
      </c>
      <c r="AN110" s="858">
        <f t="shared" si="31"/>
        <v>-5.0000000000000044E-2</v>
      </c>
      <c r="AO110" s="857">
        <f t="shared" si="32"/>
        <v>1.2593805309734514</v>
      </c>
      <c r="AP110" s="973">
        <f t="shared" si="33"/>
        <v>0</v>
      </c>
      <c r="AQ110" s="855">
        <f t="shared" si="34"/>
        <v>0</v>
      </c>
      <c r="AR110" s="974">
        <f t="shared" si="45"/>
        <v>0.16510443928845453</v>
      </c>
      <c r="AS110" s="975"/>
      <c r="AT110" s="976"/>
      <c r="AU110" s="971"/>
      <c r="AV110" s="976"/>
      <c r="AW110" s="970"/>
      <c r="AX110" s="971"/>
      <c r="AY110" s="971"/>
      <c r="AZ110" s="977"/>
      <c r="BA110" s="972"/>
      <c r="BB110" s="971"/>
      <c r="BC110" s="973"/>
      <c r="BD110" s="973"/>
      <c r="BE110" s="855"/>
      <c r="BF110" s="975"/>
      <c r="BG110" s="975"/>
      <c r="BH110" s="971"/>
      <c r="BI110" s="970"/>
      <c r="BJ110" s="971"/>
      <c r="BK110" s="971"/>
      <c r="BL110" s="977"/>
      <c r="BM110" s="972"/>
      <c r="BN110" s="971"/>
      <c r="BO110" s="973"/>
      <c r="BP110" s="973"/>
      <c r="BQ110" s="855"/>
      <c r="BR110" s="975"/>
      <c r="BS110" s="975"/>
      <c r="BT110" s="978"/>
      <c r="BU110" s="978"/>
      <c r="BV110" s="978">
        <v>0.16501166743847692</v>
      </c>
      <c r="BW110" s="978">
        <f t="shared" si="35"/>
        <v>0.16510443928845453</v>
      </c>
    </row>
    <row r="111" spans="1:75" hidden="1">
      <c r="A111" s="968">
        <v>2606</v>
      </c>
      <c r="B111" s="968" t="s">
        <v>211</v>
      </c>
      <c r="C111" s="969" t="s">
        <v>829</v>
      </c>
      <c r="D111" s="969" t="s">
        <v>52</v>
      </c>
      <c r="E111" s="955" t="s">
        <v>389</v>
      </c>
      <c r="F111" s="955"/>
      <c r="G111" s="955" t="str">
        <f>IFERROR(VLOOKUP(D111,[3]전용!E:J,6,0),"")</f>
        <v/>
      </c>
      <c r="H111" s="854">
        <v>33900</v>
      </c>
      <c r="I111" s="955">
        <v>6</v>
      </c>
      <c r="J111" s="955" t="s">
        <v>286</v>
      </c>
      <c r="K111" s="955">
        <v>12</v>
      </c>
      <c r="L111" s="970">
        <v>749</v>
      </c>
      <c r="M111" s="971">
        <f t="shared" si="26"/>
        <v>53928</v>
      </c>
      <c r="N111" s="855">
        <v>0.29172336680238131</v>
      </c>
      <c r="O111" s="855"/>
      <c r="P111" s="970">
        <v>749</v>
      </c>
      <c r="Q111" s="970">
        <f t="shared" si="27"/>
        <v>0</v>
      </c>
      <c r="R111" s="971">
        <f t="shared" si="25"/>
        <v>53928</v>
      </c>
      <c r="S111" s="856">
        <f t="shared" si="36"/>
        <v>0.18593777262178784</v>
      </c>
      <c r="T111" s="971"/>
      <c r="U111" s="971"/>
      <c r="V111" s="972">
        <v>6</v>
      </c>
      <c r="W111" s="971">
        <f t="shared" si="28"/>
        <v>2247</v>
      </c>
      <c r="X111" s="971">
        <f t="shared" si="37"/>
        <v>51681</v>
      </c>
      <c r="Y111" s="858">
        <f t="shared" si="38"/>
        <v>-4.166666666666663E-2</v>
      </c>
      <c r="Z111" s="857">
        <f t="shared" si="39"/>
        <v>1.5245132743362833</v>
      </c>
      <c r="AA111" s="856">
        <v>0.16510443928845453</v>
      </c>
      <c r="AB111" s="856">
        <v>7.3072937788596568E-2</v>
      </c>
      <c r="AC111" s="970">
        <f t="shared" si="29"/>
        <v>749</v>
      </c>
      <c r="AD111" s="970"/>
      <c r="AE111" s="970">
        <f t="shared" si="46"/>
        <v>0</v>
      </c>
      <c r="AF111" s="971">
        <f t="shared" si="40"/>
        <v>53928</v>
      </c>
      <c r="AG111" s="857">
        <f t="shared" si="41"/>
        <v>0</v>
      </c>
      <c r="AH111" s="576">
        <v>0</v>
      </c>
      <c r="AI111" s="856">
        <f t="shared" si="43"/>
        <v>0.14427110595512121</v>
      </c>
      <c r="AJ111" s="859">
        <v>0</v>
      </c>
      <c r="AK111" s="583">
        <v>6</v>
      </c>
      <c r="AL111" s="971">
        <f t="shared" si="42"/>
        <v>2247</v>
      </c>
      <c r="AM111" s="971">
        <f t="shared" si="30"/>
        <v>51681</v>
      </c>
      <c r="AN111" s="858">
        <f t="shared" si="31"/>
        <v>-4.166666666666663E-2</v>
      </c>
      <c r="AO111" s="857">
        <f t="shared" si="32"/>
        <v>1.5245132743362833</v>
      </c>
      <c r="AP111" s="973">
        <f t="shared" si="33"/>
        <v>0</v>
      </c>
      <c r="AQ111" s="855">
        <f t="shared" si="34"/>
        <v>0</v>
      </c>
      <c r="AR111" s="974">
        <f t="shared" si="45"/>
        <v>0.16510443928845453</v>
      </c>
      <c r="AS111" s="975"/>
      <c r="AT111" s="976"/>
      <c r="AU111" s="971"/>
      <c r="AV111" s="976"/>
      <c r="AW111" s="970"/>
      <c r="AX111" s="971"/>
      <c r="AY111" s="971"/>
      <c r="AZ111" s="977"/>
      <c r="BA111" s="972"/>
      <c r="BB111" s="971"/>
      <c r="BC111" s="973"/>
      <c r="BD111" s="973"/>
      <c r="BE111" s="855"/>
      <c r="BF111" s="975"/>
      <c r="BG111" s="975"/>
      <c r="BH111" s="971"/>
      <c r="BI111" s="970"/>
      <c r="BJ111" s="971"/>
      <c r="BK111" s="971"/>
      <c r="BL111" s="977"/>
      <c r="BM111" s="972"/>
      <c r="BN111" s="971"/>
      <c r="BO111" s="973"/>
      <c r="BP111" s="973"/>
      <c r="BQ111" s="855"/>
      <c r="BR111" s="975"/>
      <c r="BS111" s="975"/>
      <c r="BT111" s="978"/>
      <c r="BU111" s="978"/>
      <c r="BV111" s="978">
        <v>0.16501166743847692</v>
      </c>
      <c r="BW111" s="978">
        <f t="shared" si="35"/>
        <v>0.16510443928845453</v>
      </c>
    </row>
    <row r="112" spans="1:75" hidden="1">
      <c r="A112" s="979">
        <v>2606</v>
      </c>
      <c r="B112" s="979" t="s">
        <v>211</v>
      </c>
      <c r="C112" s="980" t="s">
        <v>829</v>
      </c>
      <c r="D112" s="980" t="s">
        <v>52</v>
      </c>
      <c r="E112" s="955" t="s">
        <v>389</v>
      </c>
      <c r="F112" s="955"/>
      <c r="G112" s="955" t="str">
        <f>IFERROR(VLOOKUP(D112,[3]전용!E:J,6,0),"")</f>
        <v/>
      </c>
      <c r="H112" s="854">
        <v>33900</v>
      </c>
      <c r="I112" s="955">
        <v>6</v>
      </c>
      <c r="J112" s="955" t="s">
        <v>288</v>
      </c>
      <c r="K112" s="955">
        <v>12</v>
      </c>
      <c r="L112" s="970">
        <v>649</v>
      </c>
      <c r="M112" s="971">
        <f t="shared" si="26"/>
        <v>46728</v>
      </c>
      <c r="N112" s="855">
        <v>0.31681528686956073</v>
      </c>
      <c r="O112" s="855"/>
      <c r="P112" s="970">
        <v>649</v>
      </c>
      <c r="Q112" s="970">
        <f t="shared" si="27"/>
        <v>0</v>
      </c>
      <c r="R112" s="971">
        <f t="shared" si="25"/>
        <v>46728</v>
      </c>
      <c r="S112" s="856">
        <f t="shared" si="36"/>
        <v>0.18593777262178784</v>
      </c>
      <c r="T112" s="971"/>
      <c r="U112" s="971"/>
      <c r="V112" s="972">
        <v>6</v>
      </c>
      <c r="W112" s="971">
        <f t="shared" si="28"/>
        <v>1947</v>
      </c>
      <c r="X112" s="971">
        <f t="shared" si="37"/>
        <v>44781</v>
      </c>
      <c r="Y112" s="858">
        <f t="shared" si="38"/>
        <v>-4.166666666666663E-2</v>
      </c>
      <c r="Z112" s="857">
        <f t="shared" si="39"/>
        <v>1.3209734513274336</v>
      </c>
      <c r="AA112" s="856">
        <v>0.16510443928845453</v>
      </c>
      <c r="AB112" s="856">
        <v>7.3072937788596568E-2</v>
      </c>
      <c r="AC112" s="970">
        <f t="shared" si="29"/>
        <v>649</v>
      </c>
      <c r="AD112" s="970"/>
      <c r="AE112" s="970">
        <f t="shared" si="46"/>
        <v>0</v>
      </c>
      <c r="AF112" s="971">
        <f t="shared" si="40"/>
        <v>46728</v>
      </c>
      <c r="AG112" s="857">
        <f t="shared" si="41"/>
        <v>0</v>
      </c>
      <c r="AH112" s="576">
        <v>0</v>
      </c>
      <c r="AI112" s="856">
        <f t="shared" si="43"/>
        <v>0.14427110595512121</v>
      </c>
      <c r="AJ112" s="859">
        <v>0</v>
      </c>
      <c r="AK112" s="583">
        <v>6</v>
      </c>
      <c r="AL112" s="971">
        <f t="shared" si="42"/>
        <v>1947</v>
      </c>
      <c r="AM112" s="971">
        <f t="shared" si="30"/>
        <v>44781</v>
      </c>
      <c r="AN112" s="858">
        <f t="shared" si="31"/>
        <v>-4.166666666666663E-2</v>
      </c>
      <c r="AO112" s="857">
        <f t="shared" si="32"/>
        <v>1.3209734513274336</v>
      </c>
      <c r="AP112" s="973">
        <f t="shared" si="33"/>
        <v>0</v>
      </c>
      <c r="AQ112" s="855">
        <f t="shared" si="34"/>
        <v>0</v>
      </c>
      <c r="AR112" s="974">
        <f t="shared" si="45"/>
        <v>0.16510443928845453</v>
      </c>
      <c r="AS112" s="975"/>
      <c r="AT112" s="976"/>
      <c r="AU112" s="971"/>
      <c r="AV112" s="976"/>
      <c r="AW112" s="970"/>
      <c r="AX112" s="971"/>
      <c r="AY112" s="971"/>
      <c r="AZ112" s="977"/>
      <c r="BA112" s="972"/>
      <c r="BB112" s="971"/>
      <c r="BC112" s="973"/>
      <c r="BD112" s="973"/>
      <c r="BE112" s="855"/>
      <c r="BF112" s="975"/>
      <c r="BG112" s="975"/>
      <c r="BH112" s="971"/>
      <c r="BI112" s="970"/>
      <c r="BJ112" s="971"/>
      <c r="BK112" s="971"/>
      <c r="BL112" s="977"/>
      <c r="BM112" s="972"/>
      <c r="BN112" s="971"/>
      <c r="BO112" s="973"/>
      <c r="BP112" s="973"/>
      <c r="BQ112" s="855"/>
      <c r="BR112" s="975"/>
      <c r="BS112" s="975"/>
      <c r="BT112" s="978"/>
      <c r="BU112" s="978"/>
      <c r="BV112" s="978">
        <v>0.16501166743847692</v>
      </c>
      <c r="BW112" s="978">
        <f t="shared" si="35"/>
        <v>0.16510443928845453</v>
      </c>
    </row>
    <row r="113" spans="1:75" hidden="1">
      <c r="A113" s="968">
        <v>2606</v>
      </c>
      <c r="B113" s="968" t="s">
        <v>211</v>
      </c>
      <c r="C113" s="969" t="s">
        <v>829</v>
      </c>
      <c r="D113" s="969" t="s">
        <v>255</v>
      </c>
      <c r="E113" s="955" t="s">
        <v>389</v>
      </c>
      <c r="F113" s="955"/>
      <c r="G113" s="955" t="str">
        <f>IFERROR(VLOOKUP(D113,[3]전용!E:J,6,0),"")</f>
        <v/>
      </c>
      <c r="H113" s="854">
        <v>39900</v>
      </c>
      <c r="I113" s="955">
        <v>5</v>
      </c>
      <c r="J113" s="955" t="s">
        <v>288</v>
      </c>
      <c r="K113" s="955">
        <v>12</v>
      </c>
      <c r="L113" s="970">
        <v>899</v>
      </c>
      <c r="M113" s="971">
        <f t="shared" si="26"/>
        <v>53940</v>
      </c>
      <c r="N113" s="855">
        <v>0.15</v>
      </c>
      <c r="O113" s="855"/>
      <c r="P113" s="970">
        <v>899</v>
      </c>
      <c r="Q113" s="970">
        <f t="shared" si="27"/>
        <v>0</v>
      </c>
      <c r="R113" s="971">
        <f t="shared" si="25"/>
        <v>53940</v>
      </c>
      <c r="S113" s="856">
        <f t="shared" si="36"/>
        <v>0.10270913787009613</v>
      </c>
      <c r="T113" s="971"/>
      <c r="U113" s="971"/>
      <c r="V113" s="972">
        <v>12</v>
      </c>
      <c r="W113" s="971">
        <f t="shared" si="28"/>
        <v>5394</v>
      </c>
      <c r="X113" s="971">
        <f t="shared" si="37"/>
        <v>48546</v>
      </c>
      <c r="Y113" s="858">
        <f t="shared" si="38"/>
        <v>-9.9999999999999978E-2</v>
      </c>
      <c r="Z113" s="857">
        <f t="shared" si="39"/>
        <v>1.2166917293233084</v>
      </c>
      <c r="AA113" s="856">
        <v>5.2709137870096137E-2</v>
      </c>
      <c r="AB113" s="856">
        <v>1.0059707652829054E-2</v>
      </c>
      <c r="AC113" s="970">
        <f t="shared" si="29"/>
        <v>899</v>
      </c>
      <c r="AD113" s="970"/>
      <c r="AE113" s="970">
        <f t="shared" si="46"/>
        <v>35.96</v>
      </c>
      <c r="AF113" s="971">
        <f t="shared" si="40"/>
        <v>53940</v>
      </c>
      <c r="AG113" s="857">
        <f t="shared" si="41"/>
        <v>0</v>
      </c>
      <c r="AH113" s="576">
        <v>0</v>
      </c>
      <c r="AI113" s="856">
        <f t="shared" si="43"/>
        <v>2.7091378700961483E-3</v>
      </c>
      <c r="AJ113" s="859">
        <v>0</v>
      </c>
      <c r="AK113" s="583">
        <v>12</v>
      </c>
      <c r="AL113" s="971">
        <f t="shared" si="42"/>
        <v>5394</v>
      </c>
      <c r="AM113" s="971">
        <f t="shared" si="30"/>
        <v>48546</v>
      </c>
      <c r="AN113" s="858">
        <f t="shared" si="31"/>
        <v>-9.9999999999999978E-2</v>
      </c>
      <c r="AO113" s="857">
        <f t="shared" si="32"/>
        <v>1.2166917293233084</v>
      </c>
      <c r="AP113" s="973">
        <f t="shared" si="33"/>
        <v>0</v>
      </c>
      <c r="AQ113" s="855">
        <f t="shared" si="34"/>
        <v>0</v>
      </c>
      <c r="AR113" s="974">
        <f t="shared" si="45"/>
        <v>5.2709137870096137E-2</v>
      </c>
      <c r="AS113" s="975"/>
      <c r="AT113" s="976"/>
      <c r="AU113" s="971"/>
      <c r="AV113" s="976"/>
      <c r="AW113" s="970"/>
      <c r="AX113" s="971"/>
      <c r="AY113" s="971"/>
      <c r="AZ113" s="977"/>
      <c r="BA113" s="972"/>
      <c r="BB113" s="971"/>
      <c r="BC113" s="973"/>
      <c r="BD113" s="973"/>
      <c r="BE113" s="855"/>
      <c r="BF113" s="975"/>
      <c r="BG113" s="975"/>
      <c r="BH113" s="971"/>
      <c r="BI113" s="970"/>
      <c r="BJ113" s="971"/>
      <c r="BK113" s="971"/>
      <c r="BL113" s="977"/>
      <c r="BM113" s="972"/>
      <c r="BN113" s="971"/>
      <c r="BO113" s="973"/>
      <c r="BP113" s="973"/>
      <c r="BQ113" s="855"/>
      <c r="BR113" s="975"/>
      <c r="BS113" s="975"/>
      <c r="BT113" s="978"/>
      <c r="BU113" s="978"/>
      <c r="BV113" s="978">
        <v>7.4001689665379095E-2</v>
      </c>
      <c r="BW113" s="978">
        <f t="shared" si="35"/>
        <v>5.2709137870096137E-2</v>
      </c>
    </row>
    <row r="114" spans="1:75" hidden="1">
      <c r="A114" s="979">
        <v>2606</v>
      </c>
      <c r="B114" s="979" t="s">
        <v>211</v>
      </c>
      <c r="C114" s="980" t="s">
        <v>829</v>
      </c>
      <c r="D114" s="980" t="s">
        <v>255</v>
      </c>
      <c r="E114" s="955" t="s">
        <v>389</v>
      </c>
      <c r="F114" s="955"/>
      <c r="G114" s="955" t="str">
        <f>IFERROR(VLOOKUP(D114,[3]전용!E:J,6,0),"")</f>
        <v/>
      </c>
      <c r="H114" s="854">
        <v>39900</v>
      </c>
      <c r="I114" s="955">
        <v>6</v>
      </c>
      <c r="J114" s="955" t="s">
        <v>288</v>
      </c>
      <c r="K114" s="955">
        <v>12</v>
      </c>
      <c r="L114" s="970">
        <v>899</v>
      </c>
      <c r="M114" s="971">
        <f t="shared" si="26"/>
        <v>64728</v>
      </c>
      <c r="N114" s="855">
        <v>0.15</v>
      </c>
      <c r="O114" s="855"/>
      <c r="P114" s="970">
        <v>799</v>
      </c>
      <c r="Q114" s="970">
        <f t="shared" si="27"/>
        <v>100</v>
      </c>
      <c r="R114" s="971">
        <f t="shared" si="25"/>
        <v>57528</v>
      </c>
      <c r="S114" s="856">
        <f t="shared" si="36"/>
        <v>9.4375804536762822E-2</v>
      </c>
      <c r="T114" s="971"/>
      <c r="U114" s="971"/>
      <c r="V114" s="972">
        <v>12</v>
      </c>
      <c r="W114" s="971">
        <f t="shared" si="28"/>
        <v>4794</v>
      </c>
      <c r="X114" s="971">
        <f t="shared" si="37"/>
        <v>52734</v>
      </c>
      <c r="Y114" s="858">
        <f t="shared" si="38"/>
        <v>-8.333333333333337E-2</v>
      </c>
      <c r="Z114" s="857">
        <f t="shared" si="39"/>
        <v>1.321654135338346</v>
      </c>
      <c r="AA114" s="856">
        <v>5.2709137870096137E-2</v>
      </c>
      <c r="AB114" s="856">
        <v>1.0059707652829054E-2</v>
      </c>
      <c r="AC114" s="970">
        <f t="shared" si="29"/>
        <v>799</v>
      </c>
      <c r="AD114" s="970"/>
      <c r="AE114" s="970">
        <f t="shared" si="46"/>
        <v>31.96</v>
      </c>
      <c r="AF114" s="971">
        <f t="shared" si="40"/>
        <v>57528</v>
      </c>
      <c r="AG114" s="857">
        <f t="shared" si="41"/>
        <v>0</v>
      </c>
      <c r="AH114" s="576">
        <v>0</v>
      </c>
      <c r="AI114" s="856">
        <f t="shared" si="43"/>
        <v>1.1042471203429452E-2</v>
      </c>
      <c r="AJ114" s="859">
        <v>0</v>
      </c>
      <c r="AK114" s="583">
        <v>12</v>
      </c>
      <c r="AL114" s="971">
        <f t="shared" si="42"/>
        <v>4794</v>
      </c>
      <c r="AM114" s="971">
        <f t="shared" si="30"/>
        <v>52734</v>
      </c>
      <c r="AN114" s="858">
        <f t="shared" si="31"/>
        <v>-8.333333333333337E-2</v>
      </c>
      <c r="AO114" s="857">
        <f t="shared" si="32"/>
        <v>1.321654135338346</v>
      </c>
      <c r="AP114" s="973">
        <f t="shared" si="33"/>
        <v>0</v>
      </c>
      <c r="AQ114" s="855">
        <f t="shared" si="34"/>
        <v>0</v>
      </c>
      <c r="AR114" s="974">
        <f t="shared" si="45"/>
        <v>5.2709137870096137E-2</v>
      </c>
      <c r="AS114" s="975"/>
      <c r="AT114" s="976"/>
      <c r="AU114" s="971"/>
      <c r="AV114" s="976"/>
      <c r="AW114" s="970"/>
      <c r="AX114" s="971"/>
      <c r="AY114" s="971"/>
      <c r="AZ114" s="977"/>
      <c r="BA114" s="972"/>
      <c r="BB114" s="971"/>
      <c r="BC114" s="973"/>
      <c r="BD114" s="973"/>
      <c r="BE114" s="855"/>
      <c r="BF114" s="975"/>
      <c r="BG114" s="975"/>
      <c r="BH114" s="971"/>
      <c r="BI114" s="970"/>
      <c r="BJ114" s="971"/>
      <c r="BK114" s="971"/>
      <c r="BL114" s="977"/>
      <c r="BM114" s="972"/>
      <c r="BN114" s="971"/>
      <c r="BO114" s="973"/>
      <c r="BP114" s="973"/>
      <c r="BQ114" s="855"/>
      <c r="BR114" s="975"/>
      <c r="BS114" s="975"/>
      <c r="BT114" s="978"/>
      <c r="BU114" s="978"/>
      <c r="BV114" s="978">
        <v>7.4001689665379095E-2</v>
      </c>
      <c r="BW114" s="978">
        <f t="shared" si="35"/>
        <v>5.2709137870096137E-2</v>
      </c>
    </row>
    <row r="115" spans="1:75" hidden="1">
      <c r="A115" s="979">
        <v>2606</v>
      </c>
      <c r="B115" s="979" t="s">
        <v>22</v>
      </c>
      <c r="C115" s="980" t="s">
        <v>829</v>
      </c>
      <c r="D115" s="980" t="s">
        <v>54</v>
      </c>
      <c r="E115" s="955" t="s">
        <v>389</v>
      </c>
      <c r="F115" s="955"/>
      <c r="G115" s="955" t="str">
        <f>IFERROR(VLOOKUP(D115,[3]전용!E:J,6,0),"")</f>
        <v/>
      </c>
      <c r="H115" s="854">
        <v>30900</v>
      </c>
      <c r="I115" s="955">
        <v>5</v>
      </c>
      <c r="J115" s="955" t="s">
        <v>288</v>
      </c>
      <c r="K115" s="955">
        <v>12</v>
      </c>
      <c r="L115" s="970">
        <v>699</v>
      </c>
      <c r="M115" s="971">
        <f t="shared" si="26"/>
        <v>41940</v>
      </c>
      <c r="N115" s="855">
        <v>0.20056738068298957</v>
      </c>
      <c r="O115" s="855"/>
      <c r="P115" s="970">
        <v>699</v>
      </c>
      <c r="Q115" s="970">
        <f t="shared" si="27"/>
        <v>0</v>
      </c>
      <c r="R115" s="971">
        <f t="shared" si="25"/>
        <v>41940</v>
      </c>
      <c r="S115" s="856">
        <f t="shared" si="36"/>
        <v>4.0311772573133557E-2</v>
      </c>
      <c r="T115" s="971"/>
      <c r="U115" s="971"/>
      <c r="V115" s="972">
        <v>3</v>
      </c>
      <c r="W115" s="971">
        <f t="shared" si="28"/>
        <v>1048.5</v>
      </c>
      <c r="X115" s="971">
        <f t="shared" si="37"/>
        <v>40891.5</v>
      </c>
      <c r="Y115" s="858">
        <f t="shared" si="38"/>
        <v>-2.5000000000000022E-2</v>
      </c>
      <c r="Z115" s="857">
        <f t="shared" si="39"/>
        <v>1.3233495145631069</v>
      </c>
      <c r="AA115" s="856">
        <v>2.7811772573133546E-2</v>
      </c>
      <c r="AB115" s="856">
        <v>5.0780204892870329E-2</v>
      </c>
      <c r="AC115" s="970">
        <f t="shared" si="29"/>
        <v>749</v>
      </c>
      <c r="AD115" s="970">
        <v>50</v>
      </c>
      <c r="AE115" s="970">
        <f t="shared" si="46"/>
        <v>52.424999999999997</v>
      </c>
      <c r="AF115" s="971">
        <f t="shared" si="40"/>
        <v>44940</v>
      </c>
      <c r="AG115" s="857">
        <f t="shared" si="41"/>
        <v>7.1530758226037161E-2</v>
      </c>
      <c r="AH115" s="576">
        <v>0</v>
      </c>
      <c r="AI115" s="856">
        <f t="shared" si="43"/>
        <v>6.5383303331359555E-2</v>
      </c>
      <c r="AJ115" s="859">
        <v>0</v>
      </c>
      <c r="AK115" s="583">
        <v>3</v>
      </c>
      <c r="AL115" s="971">
        <f t="shared" si="42"/>
        <v>1123.5</v>
      </c>
      <c r="AM115" s="971">
        <f t="shared" si="30"/>
        <v>43816.5</v>
      </c>
      <c r="AN115" s="858">
        <f t="shared" si="31"/>
        <v>-2.5000000000000022E-2</v>
      </c>
      <c r="AO115" s="857">
        <f t="shared" si="32"/>
        <v>1.418009708737864</v>
      </c>
      <c r="AP115" s="973">
        <f t="shared" si="33"/>
        <v>2925</v>
      </c>
      <c r="AQ115" s="855">
        <f t="shared" si="34"/>
        <v>7.1530758226037161E-2</v>
      </c>
      <c r="AR115" s="974">
        <f>IFERROR(AA115+AQ115*0.7,"")</f>
        <v>7.7883303331359566E-2</v>
      </c>
      <c r="AS115" s="975"/>
      <c r="AT115" s="976"/>
      <c r="AU115" s="971"/>
      <c r="AV115" s="976"/>
      <c r="AW115" s="970"/>
      <c r="AX115" s="971"/>
      <c r="AY115" s="971"/>
      <c r="AZ115" s="977"/>
      <c r="BA115" s="972"/>
      <c r="BB115" s="971"/>
      <c r="BC115" s="973"/>
      <c r="BD115" s="973"/>
      <c r="BE115" s="855"/>
      <c r="BF115" s="975"/>
      <c r="BG115" s="975"/>
      <c r="BH115" s="971"/>
      <c r="BI115" s="970"/>
      <c r="BJ115" s="971"/>
      <c r="BK115" s="971"/>
      <c r="BL115" s="977"/>
      <c r="BM115" s="972"/>
      <c r="BN115" s="971"/>
      <c r="BO115" s="973"/>
      <c r="BP115" s="973"/>
      <c r="BQ115" s="855"/>
      <c r="BR115" s="975"/>
      <c r="BS115" s="975"/>
      <c r="BT115" s="978"/>
      <c r="BU115" s="978"/>
      <c r="BV115" s="978">
        <v>6.7978435096957807E-2</v>
      </c>
      <c r="BW115" s="978">
        <f t="shared" si="35"/>
        <v>2.7811772573133546E-2</v>
      </c>
    </row>
    <row r="116" spans="1:75" hidden="1">
      <c r="A116" s="992">
        <v>2606</v>
      </c>
      <c r="B116" s="979" t="s">
        <v>22</v>
      </c>
      <c r="C116" s="980" t="s">
        <v>831</v>
      </c>
      <c r="D116" s="983" t="s">
        <v>384</v>
      </c>
      <c r="E116" s="955" t="s">
        <v>389</v>
      </c>
      <c r="F116" s="955"/>
      <c r="G116" s="955" t="str">
        <f>IFERROR(VLOOKUP(D116,[3]전용!E:J,6,0),"")</f>
        <v/>
      </c>
      <c r="H116" s="854">
        <v>19900</v>
      </c>
      <c r="I116" s="955">
        <v>5</v>
      </c>
      <c r="J116" s="955" t="s">
        <v>288</v>
      </c>
      <c r="K116" s="955">
        <v>12</v>
      </c>
      <c r="L116" s="970">
        <v>499</v>
      </c>
      <c r="M116" s="971">
        <f t="shared" si="26"/>
        <v>29940</v>
      </c>
      <c r="N116" s="855">
        <v>0.15</v>
      </c>
      <c r="O116" s="855"/>
      <c r="P116" s="970">
        <v>499</v>
      </c>
      <c r="Q116" s="970">
        <f t="shared" si="27"/>
        <v>0</v>
      </c>
      <c r="R116" s="971">
        <f t="shared" si="25"/>
        <v>29940</v>
      </c>
      <c r="S116" s="856">
        <f t="shared" si="36"/>
        <v>0.12160326462867241</v>
      </c>
      <c r="T116" s="971"/>
      <c r="U116" s="971"/>
      <c r="V116" s="972">
        <v>0</v>
      </c>
      <c r="W116" s="971">
        <f t="shared" si="28"/>
        <v>0</v>
      </c>
      <c r="X116" s="971">
        <f t="shared" si="37"/>
        <v>29940</v>
      </c>
      <c r="Y116" s="858">
        <f t="shared" si="38"/>
        <v>0</v>
      </c>
      <c r="Z116" s="857">
        <f t="shared" si="39"/>
        <v>1.5045226130653266</v>
      </c>
      <c r="AA116" s="856">
        <v>0.12160326462867241</v>
      </c>
      <c r="AB116" s="856">
        <v>1.9985912525264916E-2</v>
      </c>
      <c r="AC116" s="970">
        <f t="shared" si="29"/>
        <v>549</v>
      </c>
      <c r="AD116" s="970">
        <v>50</v>
      </c>
      <c r="AE116" s="970">
        <f t="shared" si="46"/>
        <v>0</v>
      </c>
      <c r="AF116" s="971">
        <f t="shared" si="40"/>
        <v>32940</v>
      </c>
      <c r="AG116" s="857">
        <f t="shared" si="41"/>
        <v>0.10020040080160331</v>
      </c>
      <c r="AH116" s="576">
        <v>0</v>
      </c>
      <c r="AI116" s="856">
        <f t="shared" si="43"/>
        <v>0.19174354518979472</v>
      </c>
      <c r="AJ116" s="859">
        <v>0</v>
      </c>
      <c r="AK116" s="583">
        <v>0</v>
      </c>
      <c r="AL116" s="971">
        <f t="shared" si="42"/>
        <v>0</v>
      </c>
      <c r="AM116" s="971">
        <f t="shared" si="30"/>
        <v>32940</v>
      </c>
      <c r="AN116" s="858">
        <f t="shared" si="31"/>
        <v>0</v>
      </c>
      <c r="AO116" s="857">
        <f t="shared" si="32"/>
        <v>1.6552763819095477</v>
      </c>
      <c r="AP116" s="973">
        <f t="shared" si="33"/>
        <v>3000</v>
      </c>
      <c r="AQ116" s="855">
        <f t="shared" si="34"/>
        <v>0.10020040080160331</v>
      </c>
      <c r="AR116" s="974">
        <f>IFERROR(AA116+AQ116*0.7,"")</f>
        <v>0.19174354518979472</v>
      </c>
      <c r="AS116" s="975"/>
      <c r="AT116" s="976"/>
      <c r="AU116" s="971"/>
      <c r="AV116" s="976"/>
      <c r="AW116" s="970"/>
      <c r="AX116" s="971"/>
      <c r="AY116" s="971"/>
      <c r="AZ116" s="977"/>
      <c r="BA116" s="972"/>
      <c r="BB116" s="971"/>
      <c r="BC116" s="973"/>
      <c r="BD116" s="973"/>
      <c r="BE116" s="855"/>
      <c r="BF116" s="975"/>
      <c r="BG116" s="975"/>
      <c r="BH116" s="971"/>
      <c r="BI116" s="970"/>
      <c r="BJ116" s="971"/>
      <c r="BK116" s="971"/>
      <c r="BL116" s="977"/>
      <c r="BM116" s="972"/>
      <c r="BN116" s="971"/>
      <c r="BO116" s="973"/>
      <c r="BP116" s="973"/>
      <c r="BQ116" s="855"/>
      <c r="BR116" s="975"/>
      <c r="BS116" s="975"/>
      <c r="BT116" s="978"/>
      <c r="BU116" s="978"/>
      <c r="BV116" s="978">
        <v>6.1949211832783499E-2</v>
      </c>
      <c r="BW116" s="978">
        <f t="shared" si="35"/>
        <v>0.12160326462867241</v>
      </c>
    </row>
    <row r="117" spans="1:75" hidden="1">
      <c r="A117" s="968">
        <v>2606</v>
      </c>
      <c r="B117" s="968" t="s">
        <v>23</v>
      </c>
      <c r="C117" s="993" t="s">
        <v>829</v>
      </c>
      <c r="D117" s="969" t="s">
        <v>56</v>
      </c>
      <c r="E117" s="955" t="s">
        <v>519</v>
      </c>
      <c r="F117" s="955"/>
      <c r="G117" s="955" t="str">
        <f>IFERROR(VLOOKUP(D117,[3]전용!E:J,6,0),"")</f>
        <v/>
      </c>
      <c r="H117" s="854">
        <v>30000</v>
      </c>
      <c r="I117" s="955">
        <v>5</v>
      </c>
      <c r="J117" s="955" t="s">
        <v>286</v>
      </c>
      <c r="K117" s="955">
        <v>6</v>
      </c>
      <c r="L117" s="970">
        <v>899</v>
      </c>
      <c r="M117" s="971">
        <f t="shared" si="26"/>
        <v>53940</v>
      </c>
      <c r="N117" s="855">
        <v>0.17351134846461955</v>
      </c>
      <c r="O117" s="855"/>
      <c r="P117" s="970">
        <v>899</v>
      </c>
      <c r="Q117" s="970">
        <f t="shared" si="27"/>
        <v>0</v>
      </c>
      <c r="R117" s="971">
        <f t="shared" si="25"/>
        <v>53940</v>
      </c>
      <c r="S117" s="856">
        <f t="shared" si="36"/>
        <v>0.18086596668173846</v>
      </c>
      <c r="T117" s="971"/>
      <c r="U117" s="971"/>
      <c r="V117" s="972">
        <v>12</v>
      </c>
      <c r="W117" s="971">
        <f t="shared" si="28"/>
        <v>5394</v>
      </c>
      <c r="X117" s="971">
        <f t="shared" si="37"/>
        <v>48546</v>
      </c>
      <c r="Y117" s="858">
        <f t="shared" si="38"/>
        <v>-9.9999999999999978E-2</v>
      </c>
      <c r="Z117" s="857">
        <f t="shared" si="39"/>
        <v>1.6182000000000001</v>
      </c>
      <c r="AA117" s="856">
        <v>0.13086596668173847</v>
      </c>
      <c r="AB117" s="856">
        <v>0.10557434116712765</v>
      </c>
      <c r="AC117" s="970">
        <f t="shared" si="29"/>
        <v>899</v>
      </c>
      <c r="AD117" s="970"/>
      <c r="AE117" s="970">
        <f t="shared" si="46"/>
        <v>0</v>
      </c>
      <c r="AF117" s="971">
        <f t="shared" si="40"/>
        <v>53940</v>
      </c>
      <c r="AG117" s="857">
        <f t="shared" si="41"/>
        <v>0</v>
      </c>
      <c r="AH117" s="576">
        <v>0</v>
      </c>
      <c r="AI117" s="856">
        <f t="shared" si="43"/>
        <v>0.13364374445951624</v>
      </c>
      <c r="AJ117" s="859">
        <v>0</v>
      </c>
      <c r="AK117" s="583">
        <v>6</v>
      </c>
      <c r="AL117" s="971">
        <f t="shared" si="42"/>
        <v>2697</v>
      </c>
      <c r="AM117" s="971">
        <f t="shared" si="30"/>
        <v>51243</v>
      </c>
      <c r="AN117" s="858">
        <f t="shared" si="31"/>
        <v>-5.0000000000000044E-2</v>
      </c>
      <c r="AO117" s="857">
        <f t="shared" si="32"/>
        <v>1.7081</v>
      </c>
      <c r="AP117" s="973">
        <f t="shared" si="33"/>
        <v>2697</v>
      </c>
      <c r="AQ117" s="855">
        <f t="shared" si="34"/>
        <v>5.555555555555558E-2</v>
      </c>
      <c r="AR117" s="974">
        <f t="shared" si="45"/>
        <v>0.15864374445951626</v>
      </c>
      <c r="AS117" s="975"/>
      <c r="AT117" s="976"/>
      <c r="AU117" s="971"/>
      <c r="AV117" s="976"/>
      <c r="AW117" s="970"/>
      <c r="AX117" s="971"/>
      <c r="AY117" s="971"/>
      <c r="AZ117" s="977"/>
      <c r="BA117" s="972"/>
      <c r="BB117" s="971"/>
      <c r="BC117" s="973"/>
      <c r="BD117" s="973"/>
      <c r="BE117" s="855"/>
      <c r="BF117" s="975"/>
      <c r="BG117" s="975"/>
      <c r="BH117" s="971"/>
      <c r="BI117" s="970"/>
      <c r="BJ117" s="971"/>
      <c r="BK117" s="971"/>
      <c r="BL117" s="977"/>
      <c r="BM117" s="972"/>
      <c r="BN117" s="971"/>
      <c r="BO117" s="973"/>
      <c r="BP117" s="973"/>
      <c r="BQ117" s="855"/>
      <c r="BR117" s="975"/>
      <c r="BS117" s="975"/>
      <c r="BT117" s="978"/>
      <c r="BU117" s="978"/>
      <c r="BV117" s="978">
        <v>0.10199999999999999</v>
      </c>
      <c r="BW117" s="978">
        <f t="shared" si="35"/>
        <v>0.13086596668173847</v>
      </c>
    </row>
    <row r="118" spans="1:75" hidden="1">
      <c r="A118" s="968">
        <v>2606</v>
      </c>
      <c r="B118" s="968" t="s">
        <v>23</v>
      </c>
      <c r="C118" s="994" t="s">
        <v>829</v>
      </c>
      <c r="D118" s="969" t="s">
        <v>56</v>
      </c>
      <c r="E118" s="955" t="s">
        <v>519</v>
      </c>
      <c r="F118" s="955"/>
      <c r="G118" s="955" t="str">
        <f>IFERROR(VLOOKUP(D118,[3]전용!E:J,6,0),"")</f>
        <v/>
      </c>
      <c r="H118" s="854">
        <v>30000</v>
      </c>
      <c r="I118" s="955">
        <v>5</v>
      </c>
      <c r="J118" s="955" t="s">
        <v>286</v>
      </c>
      <c r="K118" s="955">
        <v>12</v>
      </c>
      <c r="L118" s="970">
        <v>799</v>
      </c>
      <c r="M118" s="971">
        <f t="shared" si="26"/>
        <v>47940</v>
      </c>
      <c r="N118" s="855">
        <v>0.19408320493066253</v>
      </c>
      <c r="O118" s="855"/>
      <c r="P118" s="970">
        <v>799</v>
      </c>
      <c r="Q118" s="970">
        <f t="shared" si="27"/>
        <v>0</v>
      </c>
      <c r="R118" s="971">
        <f t="shared" si="25"/>
        <v>47940</v>
      </c>
      <c r="S118" s="856">
        <f t="shared" si="36"/>
        <v>0.18086596668173846</v>
      </c>
      <c r="T118" s="971"/>
      <c r="U118" s="971"/>
      <c r="V118" s="972">
        <v>12</v>
      </c>
      <c r="W118" s="971">
        <f t="shared" si="28"/>
        <v>4794</v>
      </c>
      <c r="X118" s="971">
        <f t="shared" si="37"/>
        <v>43146</v>
      </c>
      <c r="Y118" s="858">
        <f t="shared" si="38"/>
        <v>-9.9999999999999978E-2</v>
      </c>
      <c r="Z118" s="857">
        <f t="shared" si="39"/>
        <v>1.4381999999999999</v>
      </c>
      <c r="AA118" s="856">
        <v>0.13086596668173847</v>
      </c>
      <c r="AB118" s="856">
        <v>0.10557434116712765</v>
      </c>
      <c r="AC118" s="970">
        <f t="shared" si="29"/>
        <v>799</v>
      </c>
      <c r="AD118" s="970"/>
      <c r="AE118" s="970">
        <f t="shared" si="46"/>
        <v>0</v>
      </c>
      <c r="AF118" s="971">
        <f t="shared" si="40"/>
        <v>47940</v>
      </c>
      <c r="AG118" s="857">
        <f t="shared" si="41"/>
        <v>0</v>
      </c>
      <c r="AH118" s="576">
        <v>0</v>
      </c>
      <c r="AI118" s="856">
        <f t="shared" si="43"/>
        <v>0.13364374445951624</v>
      </c>
      <c r="AJ118" s="859">
        <v>0</v>
      </c>
      <c r="AK118" s="583">
        <v>6</v>
      </c>
      <c r="AL118" s="971">
        <f t="shared" si="42"/>
        <v>2397</v>
      </c>
      <c r="AM118" s="971">
        <f t="shared" si="30"/>
        <v>45543</v>
      </c>
      <c r="AN118" s="858">
        <f t="shared" si="31"/>
        <v>-5.0000000000000044E-2</v>
      </c>
      <c r="AO118" s="857">
        <f t="shared" si="32"/>
        <v>1.5181</v>
      </c>
      <c r="AP118" s="973">
        <f t="shared" si="33"/>
        <v>2397</v>
      </c>
      <c r="AQ118" s="855">
        <f t="shared" si="34"/>
        <v>5.555555555555558E-2</v>
      </c>
      <c r="AR118" s="974">
        <f t="shared" si="45"/>
        <v>0.15864374445951626</v>
      </c>
      <c r="AS118" s="975"/>
      <c r="AT118" s="976"/>
      <c r="AU118" s="971"/>
      <c r="AV118" s="976"/>
      <c r="AW118" s="970"/>
      <c r="AX118" s="971"/>
      <c r="AY118" s="971"/>
      <c r="AZ118" s="977"/>
      <c r="BA118" s="972"/>
      <c r="BB118" s="971"/>
      <c r="BC118" s="973"/>
      <c r="BD118" s="973"/>
      <c r="BE118" s="855"/>
      <c r="BF118" s="975"/>
      <c r="BG118" s="975"/>
      <c r="BH118" s="971"/>
      <c r="BI118" s="970"/>
      <c r="BJ118" s="971"/>
      <c r="BK118" s="971"/>
      <c r="BL118" s="977"/>
      <c r="BM118" s="972"/>
      <c r="BN118" s="971"/>
      <c r="BO118" s="973"/>
      <c r="BP118" s="973"/>
      <c r="BQ118" s="855"/>
      <c r="BR118" s="975"/>
      <c r="BS118" s="975"/>
      <c r="BT118" s="978"/>
      <c r="BU118" s="978"/>
      <c r="BV118" s="978">
        <v>0.10199999999999999</v>
      </c>
      <c r="BW118" s="978">
        <f t="shared" si="35"/>
        <v>0.13086596668173847</v>
      </c>
    </row>
    <row r="119" spans="1:75" hidden="1">
      <c r="A119" s="968">
        <v>2606</v>
      </c>
      <c r="B119" s="968" t="s">
        <v>23</v>
      </c>
      <c r="C119" s="994" t="s">
        <v>829</v>
      </c>
      <c r="D119" s="969" t="s">
        <v>57</v>
      </c>
      <c r="E119" s="955" t="s">
        <v>520</v>
      </c>
      <c r="F119" s="955"/>
      <c r="G119" s="955" t="str">
        <f>IFERROR(VLOOKUP(D119,[3]전용!E:J,6,0),"")</f>
        <v/>
      </c>
      <c r="H119" s="854">
        <v>33300</v>
      </c>
      <c r="I119" s="955">
        <v>5</v>
      </c>
      <c r="J119" s="955" t="s">
        <v>286</v>
      </c>
      <c r="K119" s="955">
        <v>6</v>
      </c>
      <c r="L119" s="970">
        <v>949</v>
      </c>
      <c r="M119" s="971">
        <f t="shared" si="26"/>
        <v>56940</v>
      </c>
      <c r="N119" s="855">
        <v>0.20515644555694618</v>
      </c>
      <c r="O119" s="855"/>
      <c r="P119" s="970">
        <v>949</v>
      </c>
      <c r="Q119" s="970">
        <f t="shared" si="27"/>
        <v>0</v>
      </c>
      <c r="R119" s="971">
        <f t="shared" si="25"/>
        <v>56940</v>
      </c>
      <c r="S119" s="856">
        <f t="shared" si="36"/>
        <v>0.20397706138988123</v>
      </c>
      <c r="T119" s="971"/>
      <c r="U119" s="971"/>
      <c r="V119" s="972">
        <v>12</v>
      </c>
      <c r="W119" s="971">
        <f t="shared" si="28"/>
        <v>5694</v>
      </c>
      <c r="X119" s="971">
        <f t="shared" si="37"/>
        <v>51246</v>
      </c>
      <c r="Y119" s="858">
        <f t="shared" si="38"/>
        <v>-9.9999999999999978E-2</v>
      </c>
      <c r="Z119" s="857">
        <f t="shared" si="39"/>
        <v>1.538918918918919</v>
      </c>
      <c r="AA119" s="856">
        <v>0.15397706138988124</v>
      </c>
      <c r="AB119" s="856">
        <v>6.1049839985599035E-2</v>
      </c>
      <c r="AC119" s="970">
        <f t="shared" si="29"/>
        <v>949</v>
      </c>
      <c r="AD119" s="970"/>
      <c r="AE119" s="970">
        <f t="shared" si="46"/>
        <v>0</v>
      </c>
      <c r="AF119" s="971">
        <f t="shared" si="40"/>
        <v>56940</v>
      </c>
      <c r="AG119" s="857">
        <f t="shared" si="41"/>
        <v>0</v>
      </c>
      <c r="AH119" s="576">
        <v>0</v>
      </c>
      <c r="AI119" s="856">
        <f t="shared" si="43"/>
        <v>0.156754839167659</v>
      </c>
      <c r="AJ119" s="859">
        <v>0</v>
      </c>
      <c r="AK119" s="583">
        <v>6</v>
      </c>
      <c r="AL119" s="971">
        <f t="shared" si="42"/>
        <v>2847</v>
      </c>
      <c r="AM119" s="971">
        <f t="shared" si="30"/>
        <v>54093</v>
      </c>
      <c r="AN119" s="858">
        <f t="shared" si="31"/>
        <v>-5.0000000000000044E-2</v>
      </c>
      <c r="AO119" s="857">
        <f t="shared" si="32"/>
        <v>1.6244144144144144</v>
      </c>
      <c r="AP119" s="973">
        <f t="shared" si="33"/>
        <v>2847</v>
      </c>
      <c r="AQ119" s="855">
        <f t="shared" si="34"/>
        <v>5.555555555555558E-2</v>
      </c>
      <c r="AR119" s="974">
        <f t="shared" si="45"/>
        <v>0.18175483916765903</v>
      </c>
      <c r="AS119" s="975"/>
      <c r="AT119" s="976"/>
      <c r="AU119" s="971"/>
      <c r="AV119" s="976"/>
      <c r="AW119" s="970"/>
      <c r="AX119" s="971"/>
      <c r="AY119" s="971"/>
      <c r="AZ119" s="977"/>
      <c r="BA119" s="972"/>
      <c r="BB119" s="971"/>
      <c r="BC119" s="973"/>
      <c r="BD119" s="973"/>
      <c r="BE119" s="855"/>
      <c r="BF119" s="975"/>
      <c r="BG119" s="975"/>
      <c r="BH119" s="971"/>
      <c r="BI119" s="970"/>
      <c r="BJ119" s="971"/>
      <c r="BK119" s="971"/>
      <c r="BL119" s="977"/>
      <c r="BM119" s="972"/>
      <c r="BN119" s="971"/>
      <c r="BO119" s="973"/>
      <c r="BP119" s="973"/>
      <c r="BQ119" s="855"/>
      <c r="BR119" s="975"/>
      <c r="BS119" s="975"/>
      <c r="BT119" s="978"/>
      <c r="BU119" s="978"/>
      <c r="BV119" s="978">
        <v>0.10100000000000001</v>
      </c>
      <c r="BW119" s="978">
        <f t="shared" si="35"/>
        <v>0.15397706138988124</v>
      </c>
    </row>
    <row r="120" spans="1:75" hidden="1">
      <c r="A120" s="968">
        <v>2606</v>
      </c>
      <c r="B120" s="968" t="s">
        <v>23</v>
      </c>
      <c r="C120" s="994" t="s">
        <v>829</v>
      </c>
      <c r="D120" s="969" t="s">
        <v>57</v>
      </c>
      <c r="E120" s="955" t="s">
        <v>520</v>
      </c>
      <c r="F120" s="955"/>
      <c r="G120" s="955" t="str">
        <f>IFERROR(VLOOKUP(D120,[3]전용!E:J,6,0),"")</f>
        <v/>
      </c>
      <c r="H120" s="854">
        <v>33300</v>
      </c>
      <c r="I120" s="955">
        <v>5</v>
      </c>
      <c r="J120" s="955" t="s">
        <v>286</v>
      </c>
      <c r="K120" s="955">
        <v>12</v>
      </c>
      <c r="L120" s="970">
        <v>849</v>
      </c>
      <c r="M120" s="971">
        <f t="shared" si="26"/>
        <v>50940</v>
      </c>
      <c r="N120" s="855">
        <v>0.22306151645207445</v>
      </c>
      <c r="O120" s="855"/>
      <c r="P120" s="970">
        <v>849</v>
      </c>
      <c r="Q120" s="970">
        <f t="shared" si="27"/>
        <v>0</v>
      </c>
      <c r="R120" s="971">
        <f t="shared" si="25"/>
        <v>50940</v>
      </c>
      <c r="S120" s="856">
        <f t="shared" si="36"/>
        <v>0.20397706138988123</v>
      </c>
      <c r="T120" s="971"/>
      <c r="U120" s="971"/>
      <c r="V120" s="972">
        <v>12</v>
      </c>
      <c r="W120" s="971">
        <f t="shared" si="28"/>
        <v>5094</v>
      </c>
      <c r="X120" s="971">
        <f t="shared" si="37"/>
        <v>45846</v>
      </c>
      <c r="Y120" s="858">
        <f t="shared" si="38"/>
        <v>-9.9999999999999978E-2</v>
      </c>
      <c r="Z120" s="857">
        <f t="shared" si="39"/>
        <v>1.3767567567567567</v>
      </c>
      <c r="AA120" s="856">
        <v>0.15397706138988124</v>
      </c>
      <c r="AB120" s="856">
        <v>6.1049839985599035E-2</v>
      </c>
      <c r="AC120" s="970">
        <f t="shared" si="29"/>
        <v>849</v>
      </c>
      <c r="AD120" s="970"/>
      <c r="AE120" s="970">
        <f t="shared" si="46"/>
        <v>0</v>
      </c>
      <c r="AF120" s="971">
        <f t="shared" si="40"/>
        <v>50940</v>
      </c>
      <c r="AG120" s="857">
        <f t="shared" si="41"/>
        <v>0</v>
      </c>
      <c r="AH120" s="576">
        <v>0</v>
      </c>
      <c r="AI120" s="856">
        <f t="shared" si="43"/>
        <v>0.156754839167659</v>
      </c>
      <c r="AJ120" s="859">
        <v>0</v>
      </c>
      <c r="AK120" s="583">
        <v>6</v>
      </c>
      <c r="AL120" s="971">
        <f t="shared" si="42"/>
        <v>2547</v>
      </c>
      <c r="AM120" s="971">
        <f t="shared" si="30"/>
        <v>48393</v>
      </c>
      <c r="AN120" s="858">
        <f t="shared" si="31"/>
        <v>-5.0000000000000044E-2</v>
      </c>
      <c r="AO120" s="857">
        <f t="shared" si="32"/>
        <v>1.4532432432432432</v>
      </c>
      <c r="AP120" s="973">
        <f t="shared" si="33"/>
        <v>2547</v>
      </c>
      <c r="AQ120" s="855">
        <f t="shared" si="34"/>
        <v>5.555555555555558E-2</v>
      </c>
      <c r="AR120" s="974">
        <f t="shared" si="45"/>
        <v>0.18175483916765903</v>
      </c>
      <c r="AS120" s="975"/>
      <c r="AT120" s="976"/>
      <c r="AU120" s="971"/>
      <c r="AV120" s="976"/>
      <c r="AW120" s="970"/>
      <c r="AX120" s="971"/>
      <c r="AY120" s="971"/>
      <c r="AZ120" s="977"/>
      <c r="BA120" s="972"/>
      <c r="BB120" s="971"/>
      <c r="BC120" s="973"/>
      <c r="BD120" s="973"/>
      <c r="BE120" s="855"/>
      <c r="BF120" s="975"/>
      <c r="BG120" s="975"/>
      <c r="BH120" s="971"/>
      <c r="BI120" s="970"/>
      <c r="BJ120" s="971"/>
      <c r="BK120" s="971"/>
      <c r="BL120" s="977"/>
      <c r="BM120" s="972"/>
      <c r="BN120" s="971"/>
      <c r="BO120" s="973"/>
      <c r="BP120" s="973"/>
      <c r="BQ120" s="855"/>
      <c r="BR120" s="975"/>
      <c r="BS120" s="975"/>
      <c r="BT120" s="978"/>
      <c r="BU120" s="978"/>
      <c r="BV120" s="978">
        <v>0.10199999999999999</v>
      </c>
      <c r="BW120" s="978">
        <f t="shared" si="35"/>
        <v>0.15397706138988124</v>
      </c>
    </row>
    <row r="121" spans="1:75" hidden="1">
      <c r="A121" s="968">
        <v>2606</v>
      </c>
      <c r="B121" s="968" t="s">
        <v>23</v>
      </c>
      <c r="C121" s="994" t="s">
        <v>829</v>
      </c>
      <c r="D121" s="969" t="s">
        <v>328</v>
      </c>
      <c r="E121" s="995" t="s">
        <v>521</v>
      </c>
      <c r="F121" s="955"/>
      <c r="G121" s="955" t="str">
        <f>IFERROR(VLOOKUP(D121,[3]전용!E:J,6,0),"")</f>
        <v/>
      </c>
      <c r="H121" s="854">
        <v>41391</v>
      </c>
      <c r="I121" s="955">
        <v>5</v>
      </c>
      <c r="J121" s="955" t="s">
        <v>286</v>
      </c>
      <c r="K121" s="955">
        <v>6</v>
      </c>
      <c r="L121" s="970">
        <v>1149</v>
      </c>
      <c r="M121" s="971">
        <f t="shared" si="26"/>
        <v>68940</v>
      </c>
      <c r="N121" s="855">
        <v>0.15</v>
      </c>
      <c r="O121" s="855"/>
      <c r="P121" s="970">
        <v>1149</v>
      </c>
      <c r="Q121" s="970">
        <f t="shared" si="27"/>
        <v>0</v>
      </c>
      <c r="R121" s="971">
        <f t="shared" si="25"/>
        <v>68940</v>
      </c>
      <c r="S121" s="856">
        <f t="shared" si="36"/>
        <v>0.22602489459897496</v>
      </c>
      <c r="T121" s="971"/>
      <c r="U121" s="971"/>
      <c r="V121" s="972">
        <v>12</v>
      </c>
      <c r="W121" s="971">
        <f t="shared" si="28"/>
        <v>6894</v>
      </c>
      <c r="X121" s="971">
        <f t="shared" si="37"/>
        <v>62046</v>
      </c>
      <c r="Y121" s="858">
        <f t="shared" si="38"/>
        <v>-9.9999999999999978E-2</v>
      </c>
      <c r="Z121" s="857">
        <f t="shared" si="39"/>
        <v>1.4990215264187867</v>
      </c>
      <c r="AA121" s="856">
        <v>0.17602489459897497</v>
      </c>
      <c r="AB121" s="856">
        <v>2.2717844536548648E-5</v>
      </c>
      <c r="AC121" s="970">
        <f t="shared" si="29"/>
        <v>1149</v>
      </c>
      <c r="AD121" s="970"/>
      <c r="AE121" s="970">
        <f t="shared" si="46"/>
        <v>0</v>
      </c>
      <c r="AF121" s="971">
        <f t="shared" si="40"/>
        <v>68940</v>
      </c>
      <c r="AG121" s="857">
        <f t="shared" si="41"/>
        <v>0</v>
      </c>
      <c r="AH121" s="576">
        <v>0</v>
      </c>
      <c r="AI121" s="856">
        <f t="shared" si="43"/>
        <v>0.17880267237675274</v>
      </c>
      <c r="AJ121" s="859">
        <v>0</v>
      </c>
      <c r="AK121" s="583">
        <v>6</v>
      </c>
      <c r="AL121" s="971">
        <f t="shared" si="42"/>
        <v>3447</v>
      </c>
      <c r="AM121" s="971">
        <f t="shared" si="30"/>
        <v>65493</v>
      </c>
      <c r="AN121" s="858">
        <f t="shared" si="31"/>
        <v>-5.0000000000000044E-2</v>
      </c>
      <c r="AO121" s="857">
        <f t="shared" si="32"/>
        <v>1.5823005001087194</v>
      </c>
      <c r="AP121" s="973">
        <f t="shared" si="33"/>
        <v>3447</v>
      </c>
      <c r="AQ121" s="855">
        <f t="shared" si="34"/>
        <v>5.555555555555558E-2</v>
      </c>
      <c r="AR121" s="974">
        <f t="shared" si="45"/>
        <v>0.20380267237675276</v>
      </c>
      <c r="AS121" s="975"/>
      <c r="AT121" s="976"/>
      <c r="AU121" s="971"/>
      <c r="AV121" s="976"/>
      <c r="AW121" s="970"/>
      <c r="AX121" s="971"/>
      <c r="AY121" s="971"/>
      <c r="AZ121" s="977"/>
      <c r="BA121" s="972"/>
      <c r="BB121" s="971"/>
      <c r="BC121" s="973"/>
      <c r="BD121" s="973"/>
      <c r="BE121" s="855"/>
      <c r="BF121" s="975"/>
      <c r="BG121" s="975"/>
      <c r="BH121" s="971"/>
      <c r="BI121" s="970"/>
      <c r="BJ121" s="971"/>
      <c r="BK121" s="971"/>
      <c r="BL121" s="977"/>
      <c r="BM121" s="972"/>
      <c r="BN121" s="971"/>
      <c r="BO121" s="973"/>
      <c r="BP121" s="973"/>
      <c r="BQ121" s="855"/>
      <c r="BR121" s="975"/>
      <c r="BS121" s="975"/>
      <c r="BT121" s="978"/>
      <c r="BU121" s="978"/>
      <c r="BV121" s="978">
        <v>0.13</v>
      </c>
      <c r="BW121" s="978">
        <f t="shared" si="35"/>
        <v>0.17602489459897497</v>
      </c>
    </row>
    <row r="122" spans="1:75" hidden="1">
      <c r="A122" s="968">
        <v>2606</v>
      </c>
      <c r="B122" s="968" t="s">
        <v>23</v>
      </c>
      <c r="C122" s="994" t="s">
        <v>829</v>
      </c>
      <c r="D122" s="969" t="s">
        <v>328</v>
      </c>
      <c r="E122" s="995" t="s">
        <v>521</v>
      </c>
      <c r="F122" s="955"/>
      <c r="G122" s="955" t="str">
        <f>IFERROR(VLOOKUP(D122,[3]전용!E:J,6,0),"")</f>
        <v/>
      </c>
      <c r="H122" s="854">
        <v>41391</v>
      </c>
      <c r="I122" s="955">
        <v>5</v>
      </c>
      <c r="J122" s="955" t="s">
        <v>286</v>
      </c>
      <c r="K122" s="955">
        <v>12</v>
      </c>
      <c r="L122" s="970">
        <v>1049</v>
      </c>
      <c r="M122" s="971">
        <f t="shared" si="26"/>
        <v>62940</v>
      </c>
      <c r="N122" s="855">
        <v>0.15</v>
      </c>
      <c r="O122" s="855"/>
      <c r="P122" s="970">
        <v>1049</v>
      </c>
      <c r="Q122" s="970">
        <f t="shared" si="27"/>
        <v>0</v>
      </c>
      <c r="R122" s="971">
        <f t="shared" si="25"/>
        <v>62940</v>
      </c>
      <c r="S122" s="856">
        <f t="shared" si="36"/>
        <v>0.22602489459897496</v>
      </c>
      <c r="T122" s="971"/>
      <c r="U122" s="971"/>
      <c r="V122" s="972">
        <v>12</v>
      </c>
      <c r="W122" s="971">
        <f t="shared" si="28"/>
        <v>6294</v>
      </c>
      <c r="X122" s="971">
        <f t="shared" si="37"/>
        <v>56646</v>
      </c>
      <c r="Y122" s="858">
        <f t="shared" si="38"/>
        <v>-9.9999999999999978E-2</v>
      </c>
      <c r="Z122" s="857">
        <f t="shared" si="39"/>
        <v>1.3685583822570124</v>
      </c>
      <c r="AA122" s="856">
        <v>0.17602489459897497</v>
      </c>
      <c r="AB122" s="856">
        <v>2.2717844536548648E-5</v>
      </c>
      <c r="AC122" s="970">
        <f t="shared" si="29"/>
        <v>1049</v>
      </c>
      <c r="AD122" s="970"/>
      <c r="AE122" s="970">
        <f t="shared" si="46"/>
        <v>0</v>
      </c>
      <c r="AF122" s="971">
        <f t="shared" si="40"/>
        <v>62940</v>
      </c>
      <c r="AG122" s="857">
        <f t="shared" si="41"/>
        <v>0</v>
      </c>
      <c r="AH122" s="576">
        <v>0</v>
      </c>
      <c r="AI122" s="856">
        <f t="shared" si="43"/>
        <v>0.17880267237675274</v>
      </c>
      <c r="AJ122" s="859">
        <v>0</v>
      </c>
      <c r="AK122" s="583">
        <v>6</v>
      </c>
      <c r="AL122" s="971">
        <f t="shared" si="42"/>
        <v>3147</v>
      </c>
      <c r="AM122" s="971">
        <f t="shared" si="30"/>
        <v>59793</v>
      </c>
      <c r="AN122" s="858">
        <f t="shared" si="31"/>
        <v>-5.0000000000000044E-2</v>
      </c>
      <c r="AO122" s="857">
        <f t="shared" si="32"/>
        <v>1.4445894034935132</v>
      </c>
      <c r="AP122" s="973">
        <f t="shared" si="33"/>
        <v>3147</v>
      </c>
      <c r="AQ122" s="855">
        <f t="shared" si="34"/>
        <v>5.555555555555558E-2</v>
      </c>
      <c r="AR122" s="974">
        <f t="shared" si="45"/>
        <v>0.20380267237675276</v>
      </c>
      <c r="AS122" s="975"/>
      <c r="AT122" s="976"/>
      <c r="AU122" s="971"/>
      <c r="AV122" s="976"/>
      <c r="AW122" s="970"/>
      <c r="AX122" s="971"/>
      <c r="AY122" s="971"/>
      <c r="AZ122" s="977"/>
      <c r="BA122" s="972"/>
      <c r="BB122" s="971"/>
      <c r="BC122" s="973"/>
      <c r="BD122" s="973"/>
      <c r="BE122" s="855"/>
      <c r="BF122" s="975"/>
      <c r="BG122" s="975"/>
      <c r="BH122" s="971"/>
      <c r="BI122" s="970"/>
      <c r="BJ122" s="971"/>
      <c r="BK122" s="971"/>
      <c r="BL122" s="977"/>
      <c r="BM122" s="972"/>
      <c r="BN122" s="971"/>
      <c r="BO122" s="973"/>
      <c r="BP122" s="973"/>
      <c r="BQ122" s="855"/>
      <c r="BR122" s="975"/>
      <c r="BS122" s="975"/>
      <c r="BT122" s="978"/>
      <c r="BU122" s="978"/>
      <c r="BV122" s="978">
        <v>0.13</v>
      </c>
      <c r="BW122" s="978">
        <f t="shared" si="35"/>
        <v>0.17602489459897497</v>
      </c>
    </row>
    <row r="123" spans="1:75" hidden="1">
      <c r="A123" s="968">
        <v>2606</v>
      </c>
      <c r="B123" s="968" t="s">
        <v>23</v>
      </c>
      <c r="C123" s="994" t="s">
        <v>829</v>
      </c>
      <c r="D123" s="969" t="s">
        <v>329</v>
      </c>
      <c r="E123" s="995" t="s">
        <v>522</v>
      </c>
      <c r="F123" s="955"/>
      <c r="G123" s="955" t="str">
        <f>IFERROR(VLOOKUP(D123,[3]전용!E:J,6,0),"")</f>
        <v/>
      </c>
      <c r="H123" s="854">
        <v>41391</v>
      </c>
      <c r="I123" s="955">
        <v>5</v>
      </c>
      <c r="J123" s="955" t="s">
        <v>286</v>
      </c>
      <c r="K123" s="955">
        <v>6</v>
      </c>
      <c r="L123" s="970">
        <v>1299</v>
      </c>
      <c r="M123" s="971">
        <f t="shared" si="26"/>
        <v>77940</v>
      </c>
      <c r="N123" s="855">
        <v>0.15</v>
      </c>
      <c r="O123" s="855"/>
      <c r="P123" s="970">
        <v>1299</v>
      </c>
      <c r="Q123" s="970">
        <f t="shared" si="27"/>
        <v>0</v>
      </c>
      <c r="R123" s="971">
        <f t="shared" si="25"/>
        <v>77940</v>
      </c>
      <c r="S123" s="856">
        <f t="shared" si="36"/>
        <v>0.29150640107177278</v>
      </c>
      <c r="T123" s="971"/>
      <c r="U123" s="971"/>
      <c r="V123" s="972">
        <v>12</v>
      </c>
      <c r="W123" s="971">
        <f t="shared" si="28"/>
        <v>7794</v>
      </c>
      <c r="X123" s="971">
        <f t="shared" si="37"/>
        <v>70146</v>
      </c>
      <c r="Y123" s="858">
        <f t="shared" si="38"/>
        <v>-9.9999999999999978E-2</v>
      </c>
      <c r="Z123" s="857">
        <f t="shared" si="39"/>
        <v>1.6947162426614482</v>
      </c>
      <c r="AA123" s="856">
        <v>0.24150640107177279</v>
      </c>
      <c r="AB123" s="856">
        <v>2.2526696349376881E-5</v>
      </c>
      <c r="AC123" s="970">
        <f t="shared" si="29"/>
        <v>1299</v>
      </c>
      <c r="AD123" s="970"/>
      <c r="AE123" s="970">
        <f t="shared" si="46"/>
        <v>0</v>
      </c>
      <c r="AF123" s="971">
        <f t="shared" si="40"/>
        <v>77940</v>
      </c>
      <c r="AG123" s="857">
        <f t="shared" si="41"/>
        <v>0</v>
      </c>
      <c r="AH123" s="576">
        <v>0</v>
      </c>
      <c r="AI123" s="856">
        <f t="shared" si="43"/>
        <v>0.24428417884955056</v>
      </c>
      <c r="AJ123" s="859">
        <v>0</v>
      </c>
      <c r="AK123" s="583">
        <v>6</v>
      </c>
      <c r="AL123" s="971">
        <f t="shared" si="42"/>
        <v>3897</v>
      </c>
      <c r="AM123" s="971">
        <f t="shared" si="30"/>
        <v>74043</v>
      </c>
      <c r="AN123" s="858">
        <f t="shared" si="31"/>
        <v>-5.0000000000000044E-2</v>
      </c>
      <c r="AO123" s="857">
        <f t="shared" si="32"/>
        <v>1.7888671450315285</v>
      </c>
      <c r="AP123" s="973">
        <f t="shared" si="33"/>
        <v>3897</v>
      </c>
      <c r="AQ123" s="855">
        <f t="shared" si="34"/>
        <v>5.555555555555558E-2</v>
      </c>
      <c r="AR123" s="974">
        <f t="shared" si="45"/>
        <v>0.26928417884955058</v>
      </c>
      <c r="AS123" s="975"/>
      <c r="AT123" s="976"/>
      <c r="AU123" s="971"/>
      <c r="AV123" s="976"/>
      <c r="AW123" s="970"/>
      <c r="AX123" s="971"/>
      <c r="AY123" s="971"/>
      <c r="AZ123" s="977"/>
      <c r="BA123" s="972"/>
      <c r="BB123" s="971"/>
      <c r="BC123" s="973"/>
      <c r="BD123" s="973"/>
      <c r="BE123" s="855"/>
      <c r="BF123" s="975"/>
      <c r="BG123" s="975"/>
      <c r="BH123" s="971"/>
      <c r="BI123" s="970"/>
      <c r="BJ123" s="971"/>
      <c r="BK123" s="971"/>
      <c r="BL123" s="977"/>
      <c r="BM123" s="972"/>
      <c r="BN123" s="971"/>
      <c r="BO123" s="973"/>
      <c r="BP123" s="973"/>
      <c r="BQ123" s="855"/>
      <c r="BR123" s="975"/>
      <c r="BS123" s="975"/>
      <c r="BT123" s="978"/>
      <c r="BU123" s="978"/>
      <c r="BV123" s="978">
        <v>0.16</v>
      </c>
      <c r="BW123" s="978">
        <f t="shared" si="35"/>
        <v>0.20350640107177279</v>
      </c>
    </row>
    <row r="124" spans="1:75" hidden="1">
      <c r="A124" s="968">
        <v>2606</v>
      </c>
      <c r="B124" s="968" t="s">
        <v>23</v>
      </c>
      <c r="C124" s="996" t="s">
        <v>829</v>
      </c>
      <c r="D124" s="969" t="s">
        <v>329</v>
      </c>
      <c r="E124" s="997" t="s">
        <v>522</v>
      </c>
      <c r="F124" s="998"/>
      <c r="G124" s="955" t="str">
        <f>IFERROR(VLOOKUP(D124,[3]전용!E:J,6,0),"")</f>
        <v/>
      </c>
      <c r="H124" s="854">
        <v>41391</v>
      </c>
      <c r="I124" s="998">
        <v>5</v>
      </c>
      <c r="J124" s="998" t="s">
        <v>286</v>
      </c>
      <c r="K124" s="998">
        <v>12</v>
      </c>
      <c r="L124" s="999">
        <v>1199</v>
      </c>
      <c r="M124" s="1000">
        <f t="shared" si="26"/>
        <v>71940</v>
      </c>
      <c r="N124" s="855">
        <v>0.15</v>
      </c>
      <c r="O124" s="862"/>
      <c r="P124" s="999">
        <v>1199</v>
      </c>
      <c r="Q124" s="999">
        <f t="shared" si="27"/>
        <v>0</v>
      </c>
      <c r="R124" s="1000">
        <f t="shared" si="25"/>
        <v>71940</v>
      </c>
      <c r="S124" s="856">
        <f t="shared" si="36"/>
        <v>0.29150640107177278</v>
      </c>
      <c r="T124" s="1000"/>
      <c r="U124" s="1000"/>
      <c r="V124" s="1001">
        <v>12</v>
      </c>
      <c r="W124" s="1000">
        <f t="shared" si="28"/>
        <v>7194</v>
      </c>
      <c r="X124" s="1000">
        <f t="shared" si="37"/>
        <v>64746</v>
      </c>
      <c r="Y124" s="863">
        <f t="shared" si="38"/>
        <v>-9.9999999999999978E-2</v>
      </c>
      <c r="Z124" s="864">
        <f t="shared" si="39"/>
        <v>1.5642530984996739</v>
      </c>
      <c r="AA124" s="856">
        <v>0.24150640107177279</v>
      </c>
      <c r="AB124" s="856">
        <v>2.2526696349376881E-5</v>
      </c>
      <c r="AC124" s="999">
        <f t="shared" si="29"/>
        <v>1199</v>
      </c>
      <c r="AD124" s="999"/>
      <c r="AE124" s="970">
        <f t="shared" si="46"/>
        <v>0</v>
      </c>
      <c r="AF124" s="1000">
        <f t="shared" si="40"/>
        <v>71940</v>
      </c>
      <c r="AG124" s="864">
        <f t="shared" si="41"/>
        <v>0</v>
      </c>
      <c r="AH124" s="576">
        <v>0</v>
      </c>
      <c r="AI124" s="856">
        <f t="shared" si="43"/>
        <v>0.24428417884955056</v>
      </c>
      <c r="AJ124" s="859">
        <v>0</v>
      </c>
      <c r="AK124" s="583">
        <v>6</v>
      </c>
      <c r="AL124" s="1000">
        <f t="shared" si="42"/>
        <v>3597</v>
      </c>
      <c r="AM124" s="1000">
        <f t="shared" si="30"/>
        <v>68343</v>
      </c>
      <c r="AN124" s="858">
        <f t="shared" si="31"/>
        <v>-5.0000000000000044E-2</v>
      </c>
      <c r="AO124" s="864">
        <f t="shared" si="32"/>
        <v>1.6511560484163224</v>
      </c>
      <c r="AP124" s="1002">
        <f t="shared" si="33"/>
        <v>3597</v>
      </c>
      <c r="AQ124" s="862">
        <f t="shared" si="34"/>
        <v>5.555555555555558E-2</v>
      </c>
      <c r="AR124" s="974">
        <f t="shared" si="45"/>
        <v>0.26928417884955058</v>
      </c>
      <c r="AS124" s="1003"/>
      <c r="AT124" s="976"/>
      <c r="AU124" s="971"/>
      <c r="AV124" s="976"/>
      <c r="AW124" s="970"/>
      <c r="AX124" s="971"/>
      <c r="AY124" s="971"/>
      <c r="AZ124" s="977"/>
      <c r="BA124" s="972"/>
      <c r="BB124" s="971"/>
      <c r="BC124" s="973"/>
      <c r="BD124" s="973"/>
      <c r="BE124" s="855"/>
      <c r="BF124" s="975"/>
      <c r="BG124" s="975"/>
      <c r="BH124" s="971"/>
      <c r="BI124" s="970"/>
      <c r="BJ124" s="971"/>
      <c r="BK124" s="971"/>
      <c r="BL124" s="977"/>
      <c r="BM124" s="972"/>
      <c r="BN124" s="971"/>
      <c r="BO124" s="973"/>
      <c r="BP124" s="973"/>
      <c r="BQ124" s="855"/>
      <c r="BR124" s="975"/>
      <c r="BS124" s="975"/>
      <c r="BT124" s="978"/>
      <c r="BU124" s="978"/>
      <c r="BV124" s="978">
        <v>0.16</v>
      </c>
      <c r="BW124" s="978">
        <f t="shared" si="35"/>
        <v>0.20350640107177279</v>
      </c>
    </row>
    <row r="125" spans="1:75" hidden="1">
      <c r="A125" s="1004">
        <v>2606</v>
      </c>
      <c r="B125" s="1004" t="s">
        <v>23</v>
      </c>
      <c r="C125" s="1005" t="s">
        <v>829</v>
      </c>
      <c r="D125" s="1006" t="s">
        <v>327</v>
      </c>
      <c r="E125" s="1007" t="s">
        <v>523</v>
      </c>
      <c r="F125" s="1007"/>
      <c r="G125" s="1007" t="str">
        <f>IFERROR(VLOOKUP(D125,[3]전용!E:J,6,0),"")</f>
        <v/>
      </c>
      <c r="H125" s="927">
        <v>22990</v>
      </c>
      <c r="I125" s="1007">
        <v>5</v>
      </c>
      <c r="J125" s="1007" t="s">
        <v>286</v>
      </c>
      <c r="K125" s="1007">
        <v>6</v>
      </c>
      <c r="L125" s="1008">
        <v>699</v>
      </c>
      <c r="M125" s="1009">
        <f t="shared" si="26"/>
        <v>41940</v>
      </c>
      <c r="N125" s="928">
        <v>0.15</v>
      </c>
      <c r="O125" s="928"/>
      <c r="P125" s="1008">
        <v>699</v>
      </c>
      <c r="Q125" s="1008">
        <f t="shared" si="27"/>
        <v>0</v>
      </c>
      <c r="R125" s="1009">
        <f t="shared" si="25"/>
        <v>41940</v>
      </c>
      <c r="S125" s="929">
        <f t="shared" si="36"/>
        <v>0.1842757953424545</v>
      </c>
      <c r="T125" s="1009"/>
      <c r="U125" s="1009"/>
      <c r="V125" s="1010">
        <v>12</v>
      </c>
      <c r="W125" s="1009">
        <f t="shared" si="28"/>
        <v>4194</v>
      </c>
      <c r="X125" s="1009">
        <f t="shared" si="37"/>
        <v>37746</v>
      </c>
      <c r="Y125" s="929">
        <f t="shared" si="38"/>
        <v>-9.9999999999999978E-2</v>
      </c>
      <c r="Z125" s="930">
        <f t="shared" si="39"/>
        <v>1.6418442801217921</v>
      </c>
      <c r="AA125" s="929">
        <v>0.13427579534245451</v>
      </c>
      <c r="AB125" s="929">
        <v>1.4660913985542366E-3</v>
      </c>
      <c r="AC125" s="1008">
        <f t="shared" si="29"/>
        <v>699</v>
      </c>
      <c r="AD125" s="1008"/>
      <c r="AE125" s="1008">
        <f t="shared" si="46"/>
        <v>0</v>
      </c>
      <c r="AF125" s="1009">
        <f t="shared" si="40"/>
        <v>41940</v>
      </c>
      <c r="AG125" s="930">
        <f t="shared" si="41"/>
        <v>0</v>
      </c>
      <c r="AH125" s="931">
        <v>0</v>
      </c>
      <c r="AI125" s="929">
        <f t="shared" si="43"/>
        <v>0.13705357312023228</v>
      </c>
      <c r="AJ125" s="931">
        <v>0</v>
      </c>
      <c r="AK125" s="932">
        <v>6</v>
      </c>
      <c r="AL125" s="1009">
        <f t="shared" si="42"/>
        <v>2097</v>
      </c>
      <c r="AM125" s="1009">
        <f t="shared" si="30"/>
        <v>39843</v>
      </c>
      <c r="AN125" s="929">
        <f t="shared" si="31"/>
        <v>-5.0000000000000044E-2</v>
      </c>
      <c r="AO125" s="930">
        <f t="shared" si="32"/>
        <v>1.7330578512396695</v>
      </c>
      <c r="AP125" s="1011">
        <f t="shared" si="33"/>
        <v>2097</v>
      </c>
      <c r="AQ125" s="928">
        <f t="shared" si="34"/>
        <v>5.555555555555558E-2</v>
      </c>
      <c r="AR125" s="1012">
        <f t="shared" si="45"/>
        <v>0.1620535731202323</v>
      </c>
      <c r="AS125" s="1013"/>
      <c r="AT125" s="1010"/>
      <c r="AU125" s="1009"/>
      <c r="AV125" s="1010"/>
      <c r="AW125" s="1008"/>
      <c r="AX125" s="1009"/>
      <c r="AY125" s="1009"/>
      <c r="AZ125" s="1014"/>
      <c r="BA125" s="1015"/>
      <c r="BB125" s="1009"/>
      <c r="BC125" s="1011"/>
      <c r="BD125" s="1011"/>
      <c r="BE125" s="928"/>
      <c r="BF125" s="1013"/>
      <c r="BG125" s="1013"/>
      <c r="BH125" s="1009"/>
      <c r="BI125" s="1008"/>
      <c r="BJ125" s="1009"/>
      <c r="BK125" s="1009"/>
      <c r="BL125" s="1014"/>
      <c r="BM125" s="1015"/>
      <c r="BN125" s="1009"/>
      <c r="BO125" s="1011"/>
      <c r="BP125" s="1011"/>
      <c r="BQ125" s="928"/>
      <c r="BR125" s="1013"/>
      <c r="BS125" s="1013"/>
      <c r="BT125" s="1016"/>
      <c r="BU125" s="1016"/>
      <c r="BV125" s="1016">
        <v>0.10199999999999999</v>
      </c>
      <c r="BW125" s="1016">
        <f t="shared" si="35"/>
        <v>0.13427579534245451</v>
      </c>
    </row>
    <row r="126" spans="1:75" hidden="1">
      <c r="A126" s="1017">
        <v>2606</v>
      </c>
      <c r="B126" s="1017" t="s">
        <v>23</v>
      </c>
      <c r="C126" s="1018" t="s">
        <v>829</v>
      </c>
      <c r="D126" s="1019" t="s">
        <v>327</v>
      </c>
      <c r="E126" s="1007" t="s">
        <v>523</v>
      </c>
      <c r="F126" s="1007"/>
      <c r="G126" s="1007" t="str">
        <f>IFERROR(VLOOKUP(D126,[3]전용!E:J,6,0),"")</f>
        <v/>
      </c>
      <c r="H126" s="927">
        <v>22990</v>
      </c>
      <c r="I126" s="1007">
        <v>5</v>
      </c>
      <c r="J126" s="1007" t="s">
        <v>286</v>
      </c>
      <c r="K126" s="1007">
        <v>12</v>
      </c>
      <c r="L126" s="1008">
        <v>599</v>
      </c>
      <c r="M126" s="1009">
        <f t="shared" si="26"/>
        <v>35940</v>
      </c>
      <c r="N126" s="928">
        <v>0.15</v>
      </c>
      <c r="O126" s="928"/>
      <c r="P126" s="1008">
        <v>599</v>
      </c>
      <c r="Q126" s="1008">
        <f t="shared" si="27"/>
        <v>0</v>
      </c>
      <c r="R126" s="1009">
        <f t="shared" si="25"/>
        <v>35940</v>
      </c>
      <c r="S126" s="929">
        <f t="shared" si="36"/>
        <v>0.1842757953424545</v>
      </c>
      <c r="T126" s="1009"/>
      <c r="U126" s="1009"/>
      <c r="V126" s="1010">
        <v>12</v>
      </c>
      <c r="W126" s="1009">
        <f t="shared" si="28"/>
        <v>3594</v>
      </c>
      <c r="X126" s="1009">
        <f t="shared" si="37"/>
        <v>32346</v>
      </c>
      <c r="Y126" s="929">
        <f t="shared" si="38"/>
        <v>-9.9999999999999978E-2</v>
      </c>
      <c r="Z126" s="930">
        <f t="shared" si="39"/>
        <v>1.4069595476294041</v>
      </c>
      <c r="AA126" s="929">
        <v>0.13427579534245451</v>
      </c>
      <c r="AB126" s="929">
        <v>1.4660913985542366E-3</v>
      </c>
      <c r="AC126" s="1008">
        <f t="shared" si="29"/>
        <v>599</v>
      </c>
      <c r="AD126" s="1008"/>
      <c r="AE126" s="1008">
        <f t="shared" si="46"/>
        <v>0</v>
      </c>
      <c r="AF126" s="1009">
        <f t="shared" si="40"/>
        <v>35940</v>
      </c>
      <c r="AG126" s="930">
        <f t="shared" si="41"/>
        <v>0</v>
      </c>
      <c r="AH126" s="931">
        <v>0</v>
      </c>
      <c r="AI126" s="929">
        <f t="shared" si="43"/>
        <v>0.13705357312023228</v>
      </c>
      <c r="AJ126" s="931">
        <v>0</v>
      </c>
      <c r="AK126" s="932">
        <v>6</v>
      </c>
      <c r="AL126" s="1009">
        <f t="shared" si="42"/>
        <v>1797</v>
      </c>
      <c r="AM126" s="1009">
        <f t="shared" si="30"/>
        <v>34143</v>
      </c>
      <c r="AN126" s="929">
        <f t="shared" si="31"/>
        <v>-5.0000000000000044E-2</v>
      </c>
      <c r="AO126" s="930">
        <f t="shared" si="32"/>
        <v>1.4851239669421488</v>
      </c>
      <c r="AP126" s="1011">
        <f t="shared" si="33"/>
        <v>1797</v>
      </c>
      <c r="AQ126" s="928">
        <f t="shared" si="34"/>
        <v>5.555555555555558E-2</v>
      </c>
      <c r="AR126" s="1012">
        <f t="shared" si="45"/>
        <v>0.1620535731202323</v>
      </c>
      <c r="AS126" s="1013"/>
      <c r="AT126" s="1010"/>
      <c r="AU126" s="1009"/>
      <c r="AV126" s="1010"/>
      <c r="AW126" s="1008"/>
      <c r="AX126" s="1009"/>
      <c r="AY126" s="1009"/>
      <c r="AZ126" s="1014"/>
      <c r="BA126" s="1015"/>
      <c r="BB126" s="1009"/>
      <c r="BC126" s="1011"/>
      <c r="BD126" s="1011"/>
      <c r="BE126" s="928"/>
      <c r="BF126" s="1013"/>
      <c r="BG126" s="1013"/>
      <c r="BH126" s="1009"/>
      <c r="BI126" s="1008"/>
      <c r="BJ126" s="1009"/>
      <c r="BK126" s="1009"/>
      <c r="BL126" s="1014"/>
      <c r="BM126" s="1015"/>
      <c r="BN126" s="1009"/>
      <c r="BO126" s="1011"/>
      <c r="BP126" s="1011"/>
      <c r="BQ126" s="928"/>
      <c r="BR126" s="1013"/>
      <c r="BS126" s="1013"/>
      <c r="BT126" s="1016"/>
      <c r="BU126" s="1016"/>
      <c r="BV126" s="1016">
        <v>0.10199999999999999</v>
      </c>
      <c r="BW126" s="1016">
        <f t="shared" si="35"/>
        <v>0.13427579534245451</v>
      </c>
    </row>
    <row r="127" spans="1:75" hidden="1">
      <c r="A127" s="1017">
        <v>2606</v>
      </c>
      <c r="B127" s="1017" t="s">
        <v>23</v>
      </c>
      <c r="C127" s="1018" t="s">
        <v>829</v>
      </c>
      <c r="D127" s="1019" t="s">
        <v>330</v>
      </c>
      <c r="E127" s="1007" t="s">
        <v>524</v>
      </c>
      <c r="F127" s="1007"/>
      <c r="G127" s="1007" t="str">
        <f>IFERROR(VLOOKUP(D127,[3]전용!E:J,6,0),"")</f>
        <v/>
      </c>
      <c r="H127" s="927">
        <v>23990</v>
      </c>
      <c r="I127" s="1007">
        <v>5</v>
      </c>
      <c r="J127" s="1007" t="s">
        <v>286</v>
      </c>
      <c r="K127" s="1007">
        <v>6</v>
      </c>
      <c r="L127" s="1008">
        <v>799</v>
      </c>
      <c r="M127" s="1009">
        <f t="shared" si="26"/>
        <v>47940</v>
      </c>
      <c r="N127" s="928">
        <v>0.15</v>
      </c>
      <c r="O127" s="928"/>
      <c r="P127" s="1008">
        <v>799</v>
      </c>
      <c r="Q127" s="1008">
        <f t="shared" si="27"/>
        <v>0</v>
      </c>
      <c r="R127" s="1009">
        <f t="shared" si="25"/>
        <v>47940</v>
      </c>
      <c r="S127" s="929">
        <f t="shared" si="36"/>
        <v>0.24316637731666577</v>
      </c>
      <c r="T127" s="1009"/>
      <c r="U127" s="1009"/>
      <c r="V127" s="1010">
        <v>12</v>
      </c>
      <c r="W127" s="1009">
        <f t="shared" si="28"/>
        <v>4794</v>
      </c>
      <c r="X127" s="1009">
        <f t="shared" si="37"/>
        <v>43146</v>
      </c>
      <c r="Y127" s="929">
        <f t="shared" si="38"/>
        <v>-9.9999999999999978E-2</v>
      </c>
      <c r="Z127" s="930">
        <f t="shared" si="39"/>
        <v>1.7984993747394749</v>
      </c>
      <c r="AA127" s="929">
        <v>0.19316637731666578</v>
      </c>
      <c r="AB127" s="929">
        <v>1.5473590827790608E-3</v>
      </c>
      <c r="AC127" s="1008">
        <f t="shared" si="29"/>
        <v>799</v>
      </c>
      <c r="AD127" s="1008"/>
      <c r="AE127" s="1008">
        <f t="shared" si="46"/>
        <v>0</v>
      </c>
      <c r="AF127" s="1009">
        <f t="shared" si="40"/>
        <v>47940</v>
      </c>
      <c r="AG127" s="930">
        <f t="shared" si="41"/>
        <v>0</v>
      </c>
      <c r="AH127" s="931">
        <v>0</v>
      </c>
      <c r="AI127" s="929">
        <f t="shared" si="43"/>
        <v>0.19594415509444355</v>
      </c>
      <c r="AJ127" s="931">
        <v>0</v>
      </c>
      <c r="AK127" s="932">
        <v>6</v>
      </c>
      <c r="AL127" s="1009">
        <f t="shared" si="42"/>
        <v>2397</v>
      </c>
      <c r="AM127" s="1009">
        <f t="shared" si="30"/>
        <v>45543</v>
      </c>
      <c r="AN127" s="929">
        <f t="shared" si="31"/>
        <v>-5.0000000000000044E-2</v>
      </c>
      <c r="AO127" s="930">
        <f t="shared" si="32"/>
        <v>1.8984160066694455</v>
      </c>
      <c r="AP127" s="1011">
        <f t="shared" si="33"/>
        <v>2397</v>
      </c>
      <c r="AQ127" s="928">
        <f t="shared" si="34"/>
        <v>5.555555555555558E-2</v>
      </c>
      <c r="AR127" s="1012">
        <f t="shared" si="45"/>
        <v>0.22094415509444357</v>
      </c>
      <c r="AS127" s="1013"/>
      <c r="AT127" s="1010"/>
      <c r="AU127" s="1009"/>
      <c r="AV127" s="1010"/>
      <c r="AW127" s="1008"/>
      <c r="AX127" s="1009"/>
      <c r="AY127" s="1009"/>
      <c r="AZ127" s="1014"/>
      <c r="BA127" s="1015"/>
      <c r="BB127" s="1009"/>
      <c r="BC127" s="1011"/>
      <c r="BD127" s="1011"/>
      <c r="BE127" s="928"/>
      <c r="BF127" s="1013"/>
      <c r="BG127" s="1013"/>
      <c r="BH127" s="1009"/>
      <c r="BI127" s="1008"/>
      <c r="BJ127" s="1009"/>
      <c r="BK127" s="1009"/>
      <c r="BL127" s="1014"/>
      <c r="BM127" s="1015"/>
      <c r="BN127" s="1009"/>
      <c r="BO127" s="1011"/>
      <c r="BP127" s="1011"/>
      <c r="BQ127" s="928"/>
      <c r="BR127" s="1013"/>
      <c r="BS127" s="1013"/>
      <c r="BT127" s="1016"/>
      <c r="BU127" s="1016"/>
      <c r="BV127" s="1016">
        <v>0.14000000000000001</v>
      </c>
      <c r="BW127" s="1016">
        <f t="shared" si="35"/>
        <v>0.15516637731666577</v>
      </c>
    </row>
    <row r="128" spans="1:75" hidden="1">
      <c r="A128" s="1017">
        <v>2606</v>
      </c>
      <c r="B128" s="1017" t="s">
        <v>23</v>
      </c>
      <c r="C128" s="1018" t="s">
        <v>829</v>
      </c>
      <c r="D128" s="1019" t="s">
        <v>330</v>
      </c>
      <c r="E128" s="1007" t="s">
        <v>524</v>
      </c>
      <c r="F128" s="1007"/>
      <c r="G128" s="1007" t="str">
        <f>IFERROR(VLOOKUP(D128,[3]전용!E:J,6,0),"")</f>
        <v/>
      </c>
      <c r="H128" s="927">
        <v>23990</v>
      </c>
      <c r="I128" s="1007">
        <v>5</v>
      </c>
      <c r="J128" s="1007" t="s">
        <v>286</v>
      </c>
      <c r="K128" s="1007">
        <v>12</v>
      </c>
      <c r="L128" s="1008">
        <v>699</v>
      </c>
      <c r="M128" s="1009">
        <f t="shared" si="26"/>
        <v>41940</v>
      </c>
      <c r="N128" s="928">
        <v>0.15</v>
      </c>
      <c r="O128" s="928"/>
      <c r="P128" s="1008">
        <v>699</v>
      </c>
      <c r="Q128" s="1008">
        <f t="shared" si="27"/>
        <v>0</v>
      </c>
      <c r="R128" s="1009">
        <f t="shared" ref="R128:R140" si="47">P128*LEFT(I128,1)*12</f>
        <v>41940</v>
      </c>
      <c r="S128" s="929">
        <f t="shared" si="36"/>
        <v>0.24316637731666577</v>
      </c>
      <c r="T128" s="1009"/>
      <c r="U128" s="1009"/>
      <c r="V128" s="1010">
        <v>12</v>
      </c>
      <c r="W128" s="1009">
        <f t="shared" si="28"/>
        <v>4194</v>
      </c>
      <c r="X128" s="1009">
        <f t="shared" si="37"/>
        <v>37746</v>
      </c>
      <c r="Y128" s="929">
        <f t="shared" si="38"/>
        <v>-9.9999999999999978E-2</v>
      </c>
      <c r="Z128" s="930">
        <f t="shared" si="39"/>
        <v>1.5734055856606919</v>
      </c>
      <c r="AA128" s="929">
        <v>0.19316637731666578</v>
      </c>
      <c r="AB128" s="929">
        <v>1.5473590827790608E-3</v>
      </c>
      <c r="AC128" s="1008">
        <f t="shared" si="29"/>
        <v>699</v>
      </c>
      <c r="AD128" s="1008"/>
      <c r="AE128" s="1008">
        <f t="shared" si="46"/>
        <v>0</v>
      </c>
      <c r="AF128" s="1009">
        <f t="shared" si="40"/>
        <v>41940</v>
      </c>
      <c r="AG128" s="930">
        <f t="shared" si="41"/>
        <v>0</v>
      </c>
      <c r="AH128" s="931">
        <v>0</v>
      </c>
      <c r="AI128" s="929">
        <f t="shared" si="43"/>
        <v>0.19594415509444355</v>
      </c>
      <c r="AJ128" s="931">
        <v>0</v>
      </c>
      <c r="AK128" s="932">
        <v>6</v>
      </c>
      <c r="AL128" s="1009">
        <f t="shared" si="42"/>
        <v>2097</v>
      </c>
      <c r="AM128" s="1009">
        <f t="shared" si="30"/>
        <v>39843</v>
      </c>
      <c r="AN128" s="929">
        <f t="shared" si="31"/>
        <v>-5.0000000000000044E-2</v>
      </c>
      <c r="AO128" s="930">
        <f t="shared" si="32"/>
        <v>1.660817007086286</v>
      </c>
      <c r="AP128" s="1011">
        <f t="shared" si="33"/>
        <v>2097</v>
      </c>
      <c r="AQ128" s="928">
        <f t="shared" si="34"/>
        <v>5.555555555555558E-2</v>
      </c>
      <c r="AR128" s="1012">
        <f t="shared" si="45"/>
        <v>0.22094415509444357</v>
      </c>
      <c r="AS128" s="1013"/>
      <c r="AT128" s="1010"/>
      <c r="AU128" s="1009"/>
      <c r="AV128" s="1010"/>
      <c r="AW128" s="1008"/>
      <c r="AX128" s="1009"/>
      <c r="AY128" s="1009"/>
      <c r="AZ128" s="1014"/>
      <c r="BA128" s="1015"/>
      <c r="BB128" s="1009"/>
      <c r="BC128" s="1011"/>
      <c r="BD128" s="1011"/>
      <c r="BE128" s="928"/>
      <c r="BF128" s="1013"/>
      <c r="BG128" s="1013"/>
      <c r="BH128" s="1009"/>
      <c r="BI128" s="1008"/>
      <c r="BJ128" s="1009"/>
      <c r="BK128" s="1009"/>
      <c r="BL128" s="1014"/>
      <c r="BM128" s="1015"/>
      <c r="BN128" s="1009"/>
      <c r="BO128" s="1011"/>
      <c r="BP128" s="1011"/>
      <c r="BQ128" s="928"/>
      <c r="BR128" s="1013"/>
      <c r="BS128" s="1013"/>
      <c r="BT128" s="1016"/>
      <c r="BU128" s="1016"/>
      <c r="BV128" s="1016">
        <v>0.14000000000000001</v>
      </c>
      <c r="BW128" s="1016">
        <f t="shared" si="35"/>
        <v>0.15516637731666577</v>
      </c>
    </row>
    <row r="129" spans="1:75" hidden="1">
      <c r="A129" s="1017">
        <v>2606</v>
      </c>
      <c r="B129" s="1017" t="s">
        <v>23</v>
      </c>
      <c r="C129" s="1018" t="s">
        <v>829</v>
      </c>
      <c r="D129" s="1019" t="s">
        <v>331</v>
      </c>
      <c r="E129" s="1007" t="s">
        <v>525</v>
      </c>
      <c r="F129" s="1007"/>
      <c r="G129" s="1007" t="str">
        <f>IFERROR(VLOOKUP(D129,[3]전용!E:J,6,0),"")</f>
        <v/>
      </c>
      <c r="H129" s="927">
        <v>34990</v>
      </c>
      <c r="I129" s="1007">
        <v>5</v>
      </c>
      <c r="J129" s="1007" t="s">
        <v>286</v>
      </c>
      <c r="K129" s="1007">
        <v>6</v>
      </c>
      <c r="L129" s="1008">
        <v>999</v>
      </c>
      <c r="M129" s="1009">
        <f t="shared" si="26"/>
        <v>59940</v>
      </c>
      <c r="N129" s="928">
        <v>0.15</v>
      </c>
      <c r="O129" s="928"/>
      <c r="P129" s="1008">
        <v>999</v>
      </c>
      <c r="Q129" s="1008">
        <f t="shared" si="27"/>
        <v>0</v>
      </c>
      <c r="R129" s="1009">
        <f t="shared" si="47"/>
        <v>59940</v>
      </c>
      <c r="S129" s="929">
        <f t="shared" si="36"/>
        <v>0.29421251804204129</v>
      </c>
      <c r="T129" s="1009"/>
      <c r="U129" s="1009"/>
      <c r="V129" s="1010">
        <v>12</v>
      </c>
      <c r="W129" s="1009">
        <f t="shared" si="28"/>
        <v>5994</v>
      </c>
      <c r="X129" s="1009">
        <f t="shared" si="37"/>
        <v>53946</v>
      </c>
      <c r="Y129" s="929">
        <f t="shared" si="38"/>
        <v>-9.9999999999999978E-2</v>
      </c>
      <c r="Z129" s="930">
        <f t="shared" si="39"/>
        <v>1.5417547870820234</v>
      </c>
      <c r="AA129" s="929">
        <v>0.24421251804204133</v>
      </c>
      <c r="AB129" s="929">
        <v>1.5106447534476897E-3</v>
      </c>
      <c r="AC129" s="1008">
        <f t="shared" si="29"/>
        <v>999</v>
      </c>
      <c r="AD129" s="1008"/>
      <c r="AE129" s="1008">
        <f t="shared" si="46"/>
        <v>0</v>
      </c>
      <c r="AF129" s="1009">
        <f t="shared" si="40"/>
        <v>59940</v>
      </c>
      <c r="AG129" s="930">
        <f t="shared" si="41"/>
        <v>0</v>
      </c>
      <c r="AH129" s="931">
        <v>0</v>
      </c>
      <c r="AI129" s="929">
        <f t="shared" si="43"/>
        <v>0.24699029581981913</v>
      </c>
      <c r="AJ129" s="931">
        <v>0</v>
      </c>
      <c r="AK129" s="932">
        <v>6</v>
      </c>
      <c r="AL129" s="1009">
        <f t="shared" si="42"/>
        <v>2997</v>
      </c>
      <c r="AM129" s="1009">
        <f t="shared" si="30"/>
        <v>56943</v>
      </c>
      <c r="AN129" s="929">
        <f t="shared" si="31"/>
        <v>-5.0000000000000044E-2</v>
      </c>
      <c r="AO129" s="930">
        <f t="shared" si="32"/>
        <v>1.6274078308088025</v>
      </c>
      <c r="AP129" s="1011">
        <f t="shared" si="33"/>
        <v>2997</v>
      </c>
      <c r="AQ129" s="928">
        <f t="shared" si="34"/>
        <v>5.555555555555558E-2</v>
      </c>
      <c r="AR129" s="1012">
        <f t="shared" si="45"/>
        <v>0.27199029581981915</v>
      </c>
      <c r="AS129" s="1013"/>
      <c r="AT129" s="1010"/>
      <c r="AU129" s="1009"/>
      <c r="AV129" s="1010"/>
      <c r="AW129" s="1008"/>
      <c r="AX129" s="1009"/>
      <c r="AY129" s="1009"/>
      <c r="AZ129" s="1014"/>
      <c r="BA129" s="1015"/>
      <c r="BB129" s="1009"/>
      <c r="BC129" s="1011"/>
      <c r="BD129" s="1011"/>
      <c r="BE129" s="928"/>
      <c r="BF129" s="1013"/>
      <c r="BG129" s="1013"/>
      <c r="BH129" s="1009"/>
      <c r="BI129" s="1008"/>
      <c r="BJ129" s="1009"/>
      <c r="BK129" s="1009"/>
      <c r="BL129" s="1014"/>
      <c r="BM129" s="1015"/>
      <c r="BN129" s="1009"/>
      <c r="BO129" s="1011"/>
      <c r="BP129" s="1011"/>
      <c r="BQ129" s="928"/>
      <c r="BR129" s="1013"/>
      <c r="BS129" s="1013"/>
      <c r="BT129" s="1016"/>
      <c r="BU129" s="1016"/>
      <c r="BV129" s="1016">
        <v>0.18</v>
      </c>
      <c r="BW129" s="1016">
        <f t="shared" si="35"/>
        <v>0.20621251804204133</v>
      </c>
    </row>
    <row r="130" spans="1:75" hidden="1">
      <c r="A130" s="1017">
        <v>2606</v>
      </c>
      <c r="B130" s="1017" t="s">
        <v>23</v>
      </c>
      <c r="C130" s="1018" t="s">
        <v>829</v>
      </c>
      <c r="D130" s="1019" t="s">
        <v>331</v>
      </c>
      <c r="E130" s="1007" t="s">
        <v>525</v>
      </c>
      <c r="F130" s="1007"/>
      <c r="G130" s="1007" t="str">
        <f>IFERROR(VLOOKUP(D130,[3]전용!E:J,6,0),"")</f>
        <v/>
      </c>
      <c r="H130" s="927">
        <v>34990</v>
      </c>
      <c r="I130" s="1007">
        <v>5</v>
      </c>
      <c r="J130" s="1007" t="s">
        <v>286</v>
      </c>
      <c r="K130" s="1007">
        <v>12</v>
      </c>
      <c r="L130" s="1008">
        <v>899</v>
      </c>
      <c r="M130" s="1009">
        <f t="shared" si="26"/>
        <v>53940</v>
      </c>
      <c r="N130" s="928">
        <v>0.15</v>
      </c>
      <c r="O130" s="928"/>
      <c r="P130" s="1008">
        <v>899</v>
      </c>
      <c r="Q130" s="1008">
        <f t="shared" si="27"/>
        <v>0</v>
      </c>
      <c r="R130" s="1009">
        <f t="shared" si="47"/>
        <v>53940</v>
      </c>
      <c r="S130" s="929">
        <f t="shared" si="36"/>
        <v>0.29421251804204129</v>
      </c>
      <c r="T130" s="1009"/>
      <c r="U130" s="1009"/>
      <c r="V130" s="1010">
        <v>12</v>
      </c>
      <c r="W130" s="1009">
        <f t="shared" si="28"/>
        <v>5394</v>
      </c>
      <c r="X130" s="1009">
        <f t="shared" si="37"/>
        <v>48546</v>
      </c>
      <c r="Y130" s="929">
        <f t="shared" si="38"/>
        <v>-9.9999999999999978E-2</v>
      </c>
      <c r="Z130" s="930">
        <f t="shared" si="39"/>
        <v>1.3874249785653043</v>
      </c>
      <c r="AA130" s="929">
        <v>0.24421251804204133</v>
      </c>
      <c r="AB130" s="929">
        <v>1.5106447534476897E-3</v>
      </c>
      <c r="AC130" s="1008">
        <f t="shared" si="29"/>
        <v>899</v>
      </c>
      <c r="AD130" s="1008"/>
      <c r="AE130" s="1008">
        <f t="shared" si="46"/>
        <v>0</v>
      </c>
      <c r="AF130" s="1009">
        <f t="shared" si="40"/>
        <v>53940</v>
      </c>
      <c r="AG130" s="930">
        <f t="shared" si="41"/>
        <v>0</v>
      </c>
      <c r="AH130" s="931">
        <v>0</v>
      </c>
      <c r="AI130" s="929">
        <f t="shared" si="43"/>
        <v>0.24699029581981913</v>
      </c>
      <c r="AJ130" s="931">
        <v>0</v>
      </c>
      <c r="AK130" s="932">
        <v>6</v>
      </c>
      <c r="AL130" s="1009">
        <f t="shared" si="42"/>
        <v>2697</v>
      </c>
      <c r="AM130" s="1009">
        <f t="shared" si="30"/>
        <v>51243</v>
      </c>
      <c r="AN130" s="929">
        <f t="shared" si="31"/>
        <v>-5.0000000000000044E-2</v>
      </c>
      <c r="AO130" s="930">
        <f t="shared" si="32"/>
        <v>1.4645041440411546</v>
      </c>
      <c r="AP130" s="1011">
        <f t="shared" si="33"/>
        <v>2697</v>
      </c>
      <c r="AQ130" s="928">
        <f t="shared" si="34"/>
        <v>5.555555555555558E-2</v>
      </c>
      <c r="AR130" s="1012">
        <f t="shared" si="45"/>
        <v>0.27199029581981915</v>
      </c>
      <c r="AS130" s="1013"/>
      <c r="AT130" s="1010"/>
      <c r="AU130" s="1009"/>
      <c r="AV130" s="1010"/>
      <c r="AW130" s="1008"/>
      <c r="AX130" s="1009"/>
      <c r="AY130" s="1009"/>
      <c r="AZ130" s="1014"/>
      <c r="BA130" s="1015"/>
      <c r="BB130" s="1009"/>
      <c r="BC130" s="1011"/>
      <c r="BD130" s="1011"/>
      <c r="BE130" s="928"/>
      <c r="BF130" s="1013"/>
      <c r="BG130" s="1013"/>
      <c r="BH130" s="1009"/>
      <c r="BI130" s="1008"/>
      <c r="BJ130" s="1009"/>
      <c r="BK130" s="1009"/>
      <c r="BL130" s="1014"/>
      <c r="BM130" s="1015"/>
      <c r="BN130" s="1009"/>
      <c r="BO130" s="1011"/>
      <c r="BP130" s="1011"/>
      <c r="BQ130" s="928"/>
      <c r="BR130" s="1013"/>
      <c r="BS130" s="1013"/>
      <c r="BT130" s="1016"/>
      <c r="BU130" s="1016"/>
      <c r="BV130" s="1016">
        <v>0.18</v>
      </c>
      <c r="BW130" s="1016">
        <f t="shared" si="35"/>
        <v>0.20621251804204133</v>
      </c>
    </row>
    <row r="131" spans="1:75" hidden="1">
      <c r="A131" s="1017">
        <v>2606</v>
      </c>
      <c r="B131" s="1017" t="s">
        <v>23</v>
      </c>
      <c r="C131" s="1018" t="s">
        <v>829</v>
      </c>
      <c r="D131" s="1019" t="s">
        <v>332</v>
      </c>
      <c r="E131" s="1007" t="s">
        <v>526</v>
      </c>
      <c r="F131" s="1007"/>
      <c r="G131" s="1007" t="str">
        <f>IFERROR(VLOOKUP(D131,[3]전용!E:J,6,0),"")</f>
        <v/>
      </c>
      <c r="H131" s="927">
        <v>45990</v>
      </c>
      <c r="I131" s="1007">
        <v>5</v>
      </c>
      <c r="J131" s="1007" t="s">
        <v>286</v>
      </c>
      <c r="K131" s="1007">
        <v>6</v>
      </c>
      <c r="L131" s="1008">
        <v>1199</v>
      </c>
      <c r="M131" s="1009">
        <f t="shared" si="26"/>
        <v>71940</v>
      </c>
      <c r="N131" s="928">
        <v>0.15</v>
      </c>
      <c r="O131" s="928"/>
      <c r="P131" s="1008">
        <v>1199</v>
      </c>
      <c r="Q131" s="1008">
        <f t="shared" si="27"/>
        <v>0</v>
      </c>
      <c r="R131" s="1009">
        <f t="shared" si="47"/>
        <v>71940</v>
      </c>
      <c r="S131" s="929">
        <f t="shared" si="36"/>
        <v>0.30742983211845948</v>
      </c>
      <c r="T131" s="1009"/>
      <c r="U131" s="1009"/>
      <c r="V131" s="1010">
        <v>12</v>
      </c>
      <c r="W131" s="1009">
        <f t="shared" si="28"/>
        <v>7194</v>
      </c>
      <c r="X131" s="1009">
        <f t="shared" si="37"/>
        <v>64746</v>
      </c>
      <c r="Y131" s="929">
        <f t="shared" si="38"/>
        <v>-9.9999999999999978E-2</v>
      </c>
      <c r="Z131" s="930">
        <f t="shared" si="39"/>
        <v>1.4078277886497064</v>
      </c>
      <c r="AA131" s="929">
        <v>0.25742983211845949</v>
      </c>
      <c r="AB131" s="929">
        <v>1.34271065478802E-3</v>
      </c>
      <c r="AC131" s="1008">
        <f t="shared" si="29"/>
        <v>1199</v>
      </c>
      <c r="AD131" s="1008"/>
      <c r="AE131" s="1008">
        <f t="shared" si="46"/>
        <v>0</v>
      </c>
      <c r="AF131" s="1009">
        <f t="shared" si="40"/>
        <v>71940</v>
      </c>
      <c r="AG131" s="930">
        <f t="shared" si="41"/>
        <v>0</v>
      </c>
      <c r="AH131" s="931">
        <v>0</v>
      </c>
      <c r="AI131" s="929">
        <f t="shared" si="43"/>
        <v>0.26020760989623726</v>
      </c>
      <c r="AJ131" s="931">
        <v>0</v>
      </c>
      <c r="AK131" s="932">
        <v>6</v>
      </c>
      <c r="AL131" s="1009">
        <f t="shared" si="42"/>
        <v>3597</v>
      </c>
      <c r="AM131" s="1009">
        <f t="shared" si="30"/>
        <v>68343</v>
      </c>
      <c r="AN131" s="929">
        <f t="shared" si="31"/>
        <v>-5.0000000000000044E-2</v>
      </c>
      <c r="AO131" s="930">
        <f t="shared" si="32"/>
        <v>1.4860404435746901</v>
      </c>
      <c r="AP131" s="1011">
        <f t="shared" si="33"/>
        <v>3597</v>
      </c>
      <c r="AQ131" s="928">
        <f t="shared" si="34"/>
        <v>5.555555555555558E-2</v>
      </c>
      <c r="AR131" s="1012">
        <f t="shared" si="45"/>
        <v>0.28520760989623728</v>
      </c>
      <c r="AS131" s="1013"/>
      <c r="AT131" s="1010"/>
      <c r="AU131" s="1009"/>
      <c r="AV131" s="1010"/>
      <c r="AW131" s="1008"/>
      <c r="AX131" s="1009"/>
      <c r="AY131" s="1009"/>
      <c r="AZ131" s="1014"/>
      <c r="BA131" s="1015"/>
      <c r="BB131" s="1009"/>
      <c r="BC131" s="1011"/>
      <c r="BD131" s="1011"/>
      <c r="BE131" s="928"/>
      <c r="BF131" s="1013"/>
      <c r="BG131" s="1013"/>
      <c r="BH131" s="1009"/>
      <c r="BI131" s="1008"/>
      <c r="BJ131" s="1009"/>
      <c r="BK131" s="1009"/>
      <c r="BL131" s="1014"/>
      <c r="BM131" s="1015"/>
      <c r="BN131" s="1009"/>
      <c r="BO131" s="1011"/>
      <c r="BP131" s="1011"/>
      <c r="BQ131" s="928"/>
      <c r="BR131" s="1013"/>
      <c r="BS131" s="1013"/>
      <c r="BT131" s="1016"/>
      <c r="BU131" s="1016"/>
      <c r="BV131" s="1016">
        <v>0.19</v>
      </c>
      <c r="BW131" s="1016">
        <f t="shared" si="35"/>
        <v>0.21942983211845948</v>
      </c>
    </row>
    <row r="132" spans="1:75" hidden="1">
      <c r="A132" s="1017">
        <v>2606</v>
      </c>
      <c r="B132" s="1017" t="s">
        <v>23</v>
      </c>
      <c r="C132" s="1020" t="s">
        <v>829</v>
      </c>
      <c r="D132" s="1021" t="s">
        <v>332</v>
      </c>
      <c r="E132" s="1004" t="s">
        <v>526</v>
      </c>
      <c r="F132" s="1004"/>
      <c r="G132" s="1007" t="str">
        <f>IFERROR(VLOOKUP(D132,[3]전용!E:J,6,0),"")</f>
        <v/>
      </c>
      <c r="H132" s="927">
        <v>45990</v>
      </c>
      <c r="I132" s="1004">
        <v>5</v>
      </c>
      <c r="J132" s="1004" t="s">
        <v>286</v>
      </c>
      <c r="K132" s="1004">
        <v>12</v>
      </c>
      <c r="L132" s="1022">
        <v>1099</v>
      </c>
      <c r="M132" s="1023">
        <f t="shared" ref="M132:M181" si="48">L132*LEFT(I132,1)*12</f>
        <v>65940</v>
      </c>
      <c r="N132" s="928">
        <v>0.15</v>
      </c>
      <c r="O132" s="933"/>
      <c r="P132" s="1022">
        <v>1099</v>
      </c>
      <c r="Q132" s="1022">
        <f t="shared" ref="Q132:Q185" si="49">L132-P132</f>
        <v>0</v>
      </c>
      <c r="R132" s="1023">
        <f t="shared" si="47"/>
        <v>65940</v>
      </c>
      <c r="S132" s="929">
        <f t="shared" si="36"/>
        <v>0.30742983211845948</v>
      </c>
      <c r="T132" s="1023"/>
      <c r="U132" s="1023"/>
      <c r="V132" s="1006">
        <v>12</v>
      </c>
      <c r="W132" s="1023">
        <f t="shared" ref="W132:W181" si="50">(P132-T132)*U132+V132*P132*0.5</f>
        <v>6594</v>
      </c>
      <c r="X132" s="1023">
        <f t="shared" si="37"/>
        <v>59346</v>
      </c>
      <c r="Y132" s="934">
        <f t="shared" si="38"/>
        <v>-9.9999999999999978E-2</v>
      </c>
      <c r="Z132" s="935">
        <f t="shared" si="39"/>
        <v>1.2904109589041095</v>
      </c>
      <c r="AA132" s="929">
        <v>0.25742983211845949</v>
      </c>
      <c r="AB132" s="929">
        <v>1.34271065478802E-3</v>
      </c>
      <c r="AC132" s="1022">
        <f t="shared" ref="AC132:AC181" si="51">P132+AD132</f>
        <v>1099</v>
      </c>
      <c r="AD132" s="1022"/>
      <c r="AE132" s="1008">
        <f t="shared" si="46"/>
        <v>0</v>
      </c>
      <c r="AF132" s="1023">
        <f t="shared" si="40"/>
        <v>65940</v>
      </c>
      <c r="AG132" s="935">
        <f t="shared" si="41"/>
        <v>0</v>
      </c>
      <c r="AH132" s="931">
        <v>0</v>
      </c>
      <c r="AI132" s="929">
        <f t="shared" si="43"/>
        <v>0.26020760989623726</v>
      </c>
      <c r="AJ132" s="931">
        <v>0</v>
      </c>
      <c r="AK132" s="932">
        <v>6</v>
      </c>
      <c r="AL132" s="1023">
        <f t="shared" si="42"/>
        <v>3297</v>
      </c>
      <c r="AM132" s="1023">
        <f t="shared" ref="AM132:AM185" si="52">AF132-AL132</f>
        <v>62643</v>
      </c>
      <c r="AN132" s="929">
        <f t="shared" ref="AN132:AN185" si="53">AM132/AF132-1</f>
        <v>-5.0000000000000044E-2</v>
      </c>
      <c r="AO132" s="935">
        <f t="shared" ref="AO132:AO185" si="54">IFERROR(AM132/H132,"")</f>
        <v>1.3621004566210047</v>
      </c>
      <c r="AP132" s="1024">
        <f t="shared" ref="AP132:AP185" si="55">AM132-X132</f>
        <v>3297</v>
      </c>
      <c r="AQ132" s="933">
        <f t="shared" ref="AQ132:AQ185" si="56">AM132/X132-1</f>
        <v>5.555555555555558E-2</v>
      </c>
      <c r="AR132" s="1012">
        <f t="shared" si="45"/>
        <v>0.28520760989623728</v>
      </c>
      <c r="AS132" s="1025"/>
      <c r="AT132" s="1010"/>
      <c r="AU132" s="1009"/>
      <c r="AV132" s="1010"/>
      <c r="AW132" s="1008"/>
      <c r="AX132" s="1009"/>
      <c r="AY132" s="1009"/>
      <c r="AZ132" s="1014"/>
      <c r="BA132" s="1015"/>
      <c r="BB132" s="1009"/>
      <c r="BC132" s="1011"/>
      <c r="BD132" s="1011"/>
      <c r="BE132" s="928"/>
      <c r="BF132" s="1013"/>
      <c r="BG132" s="1013"/>
      <c r="BH132" s="1009"/>
      <c r="BI132" s="1008"/>
      <c r="BJ132" s="1009"/>
      <c r="BK132" s="1009"/>
      <c r="BL132" s="1014"/>
      <c r="BM132" s="1015"/>
      <c r="BN132" s="1009"/>
      <c r="BO132" s="1011"/>
      <c r="BP132" s="1011"/>
      <c r="BQ132" s="928"/>
      <c r="BR132" s="1013"/>
      <c r="BS132" s="1013"/>
      <c r="BT132" s="1016"/>
      <c r="BU132" s="1016"/>
      <c r="BV132" s="1016">
        <v>0.19</v>
      </c>
      <c r="BW132" s="1016">
        <f t="shared" ref="BW132:BW185" si="57">IF(AA132&gt;19%,AA132-3.8%,AA132)</f>
        <v>0.21942983211845948</v>
      </c>
    </row>
    <row r="133" spans="1:75" hidden="1">
      <c r="A133" s="998" t="s">
        <v>308</v>
      </c>
      <c r="B133" s="998" t="s">
        <v>23</v>
      </c>
      <c r="C133" s="993" t="s">
        <v>829</v>
      </c>
      <c r="D133" s="936" t="s">
        <v>843</v>
      </c>
      <c r="E133" s="955" t="s">
        <v>523</v>
      </c>
      <c r="F133" s="955"/>
      <c r="G133" s="955" t="str">
        <f>IFERROR(VLOOKUP(D133,[3]전용!E:J,6,0),"")</f>
        <v/>
      </c>
      <c r="H133" s="854">
        <v>44990</v>
      </c>
      <c r="I133" s="955">
        <v>5</v>
      </c>
      <c r="J133" s="955" t="s">
        <v>286</v>
      </c>
      <c r="K133" s="955">
        <v>6</v>
      </c>
      <c r="L133" s="970">
        <v>1049</v>
      </c>
      <c r="M133" s="971">
        <f t="shared" si="48"/>
        <v>62940</v>
      </c>
      <c r="N133" s="855">
        <v>0.127</v>
      </c>
      <c r="O133" s="855"/>
      <c r="P133" s="970">
        <v>1049</v>
      </c>
      <c r="Q133" s="970">
        <f t="shared" si="49"/>
        <v>0</v>
      </c>
      <c r="R133" s="971">
        <f t="shared" si="47"/>
        <v>62940</v>
      </c>
      <c r="S133" s="856">
        <f t="shared" ref="S133:S185" si="58">AA133-(Y133/2)</f>
        <v>0.127</v>
      </c>
      <c r="T133" s="971"/>
      <c r="U133" s="971"/>
      <c r="V133" s="972">
        <v>0</v>
      </c>
      <c r="W133" s="971">
        <f t="shared" si="50"/>
        <v>0</v>
      </c>
      <c r="X133" s="971">
        <f t="shared" ref="X133:X181" si="59">R133-W133</f>
        <v>62940</v>
      </c>
      <c r="Y133" s="858">
        <f t="shared" ref="Y133:Y168" si="60">X133/R133-1</f>
        <v>0</v>
      </c>
      <c r="Z133" s="857">
        <f t="shared" ref="Z133:Z182" si="61">IFERROR(X133/H133,"")</f>
        <v>1.3989775505667925</v>
      </c>
      <c r="AA133" s="855">
        <v>0.127</v>
      </c>
      <c r="AB133" s="856">
        <v>1.4660913985542366E-3</v>
      </c>
      <c r="AC133" s="970">
        <f t="shared" si="51"/>
        <v>1049</v>
      </c>
      <c r="AD133" s="970"/>
      <c r="AE133" s="970">
        <f t="shared" si="46"/>
        <v>0</v>
      </c>
      <c r="AF133" s="971">
        <f t="shared" ref="AF133:AF181" si="62">AC133*LEFT(I133,1)*12</f>
        <v>62940</v>
      </c>
      <c r="AG133" s="857">
        <f t="shared" ref="AG133:AG181" si="63">AF133/R133-1</f>
        <v>0</v>
      </c>
      <c r="AH133" s="576">
        <v>0</v>
      </c>
      <c r="AI133" s="856">
        <f t="shared" si="43"/>
        <v>7.6999999999999957E-2</v>
      </c>
      <c r="AJ133" s="859">
        <v>0</v>
      </c>
      <c r="AK133" s="583">
        <v>6</v>
      </c>
      <c r="AL133" s="971">
        <f t="shared" ref="AL133:AL185" si="64">(AC133-AH133)*AJ133+AK133*AC133*0.5</f>
        <v>3147</v>
      </c>
      <c r="AM133" s="971">
        <f t="shared" si="52"/>
        <v>59793</v>
      </c>
      <c r="AN133" s="858">
        <f t="shared" si="53"/>
        <v>-5.0000000000000044E-2</v>
      </c>
      <c r="AO133" s="857">
        <f t="shared" si="54"/>
        <v>1.3290286730384531</v>
      </c>
      <c r="AP133" s="973">
        <f t="shared" si="55"/>
        <v>-3147</v>
      </c>
      <c r="AQ133" s="855">
        <f t="shared" si="56"/>
        <v>-5.0000000000000044E-2</v>
      </c>
      <c r="AR133" s="974">
        <f t="shared" si="45"/>
        <v>0.10199999999999998</v>
      </c>
      <c r="AS133" s="975"/>
      <c r="AT133" s="976"/>
      <c r="AU133" s="971"/>
      <c r="AV133" s="976"/>
      <c r="AW133" s="970"/>
      <c r="AX133" s="971"/>
      <c r="AY133" s="971"/>
      <c r="AZ133" s="977"/>
      <c r="BA133" s="972"/>
      <c r="BB133" s="971"/>
      <c r="BC133" s="973"/>
      <c r="BD133" s="973"/>
      <c r="BE133" s="855"/>
      <c r="BF133" s="975"/>
      <c r="BG133" s="975"/>
      <c r="BH133" s="971"/>
      <c r="BI133" s="970"/>
      <c r="BJ133" s="971"/>
      <c r="BK133" s="971"/>
      <c r="BL133" s="977"/>
      <c r="BM133" s="972"/>
      <c r="BN133" s="971"/>
      <c r="BO133" s="973"/>
      <c r="BP133" s="973"/>
      <c r="BQ133" s="855"/>
      <c r="BR133" s="975"/>
      <c r="BS133" s="975"/>
      <c r="BT133" s="978"/>
      <c r="BU133" s="978"/>
      <c r="BV133" s="978">
        <v>0.10199999999999999</v>
      </c>
      <c r="BW133" s="978">
        <f t="shared" si="57"/>
        <v>0.127</v>
      </c>
    </row>
    <row r="134" spans="1:75" hidden="1">
      <c r="A134" s="1017" t="s">
        <v>308</v>
      </c>
      <c r="B134" s="968" t="s">
        <v>23</v>
      </c>
      <c r="C134" s="994" t="s">
        <v>829</v>
      </c>
      <c r="D134" s="1018" t="s">
        <v>843</v>
      </c>
      <c r="E134" s="955" t="s">
        <v>523</v>
      </c>
      <c r="F134" s="955"/>
      <c r="G134" s="955" t="str">
        <f>IFERROR(VLOOKUP(D134,[3]전용!E:J,6,0),"")</f>
        <v/>
      </c>
      <c r="H134" s="854">
        <v>44990</v>
      </c>
      <c r="I134" s="955">
        <v>5</v>
      </c>
      <c r="J134" s="955" t="s">
        <v>286</v>
      </c>
      <c r="K134" s="955">
        <v>12</v>
      </c>
      <c r="L134" s="970">
        <v>949</v>
      </c>
      <c r="M134" s="971">
        <f t="shared" si="48"/>
        <v>56940</v>
      </c>
      <c r="N134" s="855">
        <v>0.14599999999999999</v>
      </c>
      <c r="O134" s="855"/>
      <c r="P134" s="970">
        <v>949</v>
      </c>
      <c r="Q134" s="970">
        <f t="shared" si="49"/>
        <v>0</v>
      </c>
      <c r="R134" s="971">
        <f t="shared" si="47"/>
        <v>56940</v>
      </c>
      <c r="S134" s="856">
        <f t="shared" si="58"/>
        <v>0.14599999999999999</v>
      </c>
      <c r="T134" s="971"/>
      <c r="U134" s="971"/>
      <c r="V134" s="972">
        <v>0</v>
      </c>
      <c r="W134" s="971">
        <f t="shared" si="50"/>
        <v>0</v>
      </c>
      <c r="X134" s="971">
        <f t="shared" si="59"/>
        <v>56940</v>
      </c>
      <c r="Y134" s="858">
        <f t="shared" si="60"/>
        <v>0</v>
      </c>
      <c r="Z134" s="857">
        <f t="shared" si="61"/>
        <v>1.2656145810180039</v>
      </c>
      <c r="AA134" s="855">
        <v>0.14599999999999999</v>
      </c>
      <c r="AB134" s="856">
        <v>1.4660913985542366E-3</v>
      </c>
      <c r="AC134" s="970">
        <f t="shared" si="51"/>
        <v>949</v>
      </c>
      <c r="AD134" s="970"/>
      <c r="AE134" s="970">
        <f t="shared" si="46"/>
        <v>0</v>
      </c>
      <c r="AF134" s="971">
        <f t="shared" si="62"/>
        <v>56940</v>
      </c>
      <c r="AG134" s="857">
        <f t="shared" si="63"/>
        <v>0</v>
      </c>
      <c r="AH134" s="576">
        <v>0</v>
      </c>
      <c r="AI134" s="856">
        <f t="shared" si="43"/>
        <v>9.5999999999999946E-2</v>
      </c>
      <c r="AJ134" s="859">
        <v>0</v>
      </c>
      <c r="AK134" s="583">
        <v>6</v>
      </c>
      <c r="AL134" s="971">
        <f t="shared" si="64"/>
        <v>2847</v>
      </c>
      <c r="AM134" s="971">
        <f t="shared" si="52"/>
        <v>54093</v>
      </c>
      <c r="AN134" s="858">
        <f t="shared" si="53"/>
        <v>-5.0000000000000044E-2</v>
      </c>
      <c r="AO134" s="857">
        <f t="shared" si="54"/>
        <v>1.2023338519671039</v>
      </c>
      <c r="AP134" s="973">
        <f t="shared" si="55"/>
        <v>-2847</v>
      </c>
      <c r="AQ134" s="855">
        <f t="shared" si="56"/>
        <v>-5.0000000000000044E-2</v>
      </c>
      <c r="AR134" s="974">
        <f t="shared" si="45"/>
        <v>0.12099999999999997</v>
      </c>
      <c r="AS134" s="975"/>
      <c r="AT134" s="976"/>
      <c r="AU134" s="971"/>
      <c r="AV134" s="976"/>
      <c r="AW134" s="970"/>
      <c r="AX134" s="971"/>
      <c r="AY134" s="971"/>
      <c r="AZ134" s="977"/>
      <c r="BA134" s="972"/>
      <c r="BB134" s="971"/>
      <c r="BC134" s="973"/>
      <c r="BD134" s="973"/>
      <c r="BE134" s="855"/>
      <c r="BF134" s="975"/>
      <c r="BG134" s="975"/>
      <c r="BH134" s="971"/>
      <c r="BI134" s="970"/>
      <c r="BJ134" s="971"/>
      <c r="BK134" s="971"/>
      <c r="BL134" s="977"/>
      <c r="BM134" s="972"/>
      <c r="BN134" s="971"/>
      <c r="BO134" s="973"/>
      <c r="BP134" s="973"/>
      <c r="BQ134" s="855"/>
      <c r="BR134" s="975"/>
      <c r="BS134" s="975"/>
      <c r="BT134" s="978"/>
      <c r="BU134" s="978"/>
      <c r="BV134" s="978">
        <v>0.10199999999999999</v>
      </c>
      <c r="BW134" s="978">
        <f t="shared" si="57"/>
        <v>0.14599999999999999</v>
      </c>
    </row>
    <row r="135" spans="1:75" hidden="1">
      <c r="A135" s="1017" t="s">
        <v>308</v>
      </c>
      <c r="B135" s="968" t="s">
        <v>23</v>
      </c>
      <c r="C135" s="1026" t="s">
        <v>829</v>
      </c>
      <c r="D135" s="994" t="s">
        <v>844</v>
      </c>
      <c r="E135" s="995" t="s">
        <v>526</v>
      </c>
      <c r="F135" s="955"/>
      <c r="G135" s="955" t="str">
        <f>IFERROR(VLOOKUP(D135,[3]전용!E:J,6,0),"")</f>
        <v/>
      </c>
      <c r="H135" s="854">
        <v>46990</v>
      </c>
      <c r="I135" s="955">
        <v>5</v>
      </c>
      <c r="J135" s="955" t="s">
        <v>286</v>
      </c>
      <c r="K135" s="955">
        <v>6</v>
      </c>
      <c r="L135" s="970">
        <v>1249</v>
      </c>
      <c r="M135" s="971">
        <f t="shared" si="48"/>
        <v>74940</v>
      </c>
      <c r="N135" s="855">
        <v>0.17699999999999999</v>
      </c>
      <c r="O135" s="855"/>
      <c r="P135" s="970">
        <v>1249</v>
      </c>
      <c r="Q135" s="970">
        <f t="shared" si="49"/>
        <v>0</v>
      </c>
      <c r="R135" s="971">
        <f t="shared" si="47"/>
        <v>74940</v>
      </c>
      <c r="S135" s="856">
        <f t="shared" si="58"/>
        <v>0.17699999999999999</v>
      </c>
      <c r="T135" s="971"/>
      <c r="U135" s="971"/>
      <c r="V135" s="972">
        <v>0</v>
      </c>
      <c r="W135" s="971">
        <f t="shared" si="50"/>
        <v>0</v>
      </c>
      <c r="X135" s="971">
        <f t="shared" si="59"/>
        <v>74940</v>
      </c>
      <c r="Y135" s="858">
        <f t="shared" si="60"/>
        <v>0</v>
      </c>
      <c r="Z135" s="857">
        <f t="shared" si="61"/>
        <v>1.594807405831028</v>
      </c>
      <c r="AA135" s="855">
        <v>0.17699999999999999</v>
      </c>
      <c r="AB135" s="856">
        <v>1.34271065478802E-3</v>
      </c>
      <c r="AC135" s="970">
        <f t="shared" si="51"/>
        <v>1249</v>
      </c>
      <c r="AD135" s="970"/>
      <c r="AE135" s="970">
        <f t="shared" si="46"/>
        <v>0</v>
      </c>
      <c r="AF135" s="971">
        <f t="shared" si="62"/>
        <v>74940</v>
      </c>
      <c r="AG135" s="857">
        <f t="shared" si="63"/>
        <v>0</v>
      </c>
      <c r="AH135" s="576">
        <v>0</v>
      </c>
      <c r="AI135" s="856">
        <f t="shared" ref="AI135:AI185" si="65">AR135+(AN135/2)</f>
        <v>0.12699999999999995</v>
      </c>
      <c r="AJ135" s="859">
        <v>0</v>
      </c>
      <c r="AK135" s="583">
        <v>6</v>
      </c>
      <c r="AL135" s="971">
        <f t="shared" si="64"/>
        <v>3747</v>
      </c>
      <c r="AM135" s="971">
        <f t="shared" si="52"/>
        <v>71193</v>
      </c>
      <c r="AN135" s="858">
        <f t="shared" si="53"/>
        <v>-5.0000000000000044E-2</v>
      </c>
      <c r="AO135" s="857">
        <f t="shared" si="54"/>
        <v>1.5150670355394764</v>
      </c>
      <c r="AP135" s="973">
        <f t="shared" si="55"/>
        <v>-3747</v>
      </c>
      <c r="AQ135" s="855">
        <f t="shared" si="56"/>
        <v>-5.0000000000000044E-2</v>
      </c>
      <c r="AR135" s="974">
        <f>IFERROR(AA135+AQ135*0.5,"")</f>
        <v>0.15199999999999997</v>
      </c>
      <c r="AS135" s="975"/>
      <c r="AT135" s="976"/>
      <c r="AU135" s="971"/>
      <c r="AV135" s="976"/>
      <c r="AW135" s="970"/>
      <c r="AX135" s="971"/>
      <c r="AY135" s="971"/>
      <c r="AZ135" s="977"/>
      <c r="BA135" s="972"/>
      <c r="BB135" s="971"/>
      <c r="BC135" s="973"/>
      <c r="BD135" s="973"/>
      <c r="BE135" s="855"/>
      <c r="BF135" s="975"/>
      <c r="BG135" s="975"/>
      <c r="BH135" s="971"/>
      <c r="BI135" s="970"/>
      <c r="BJ135" s="971"/>
      <c r="BK135" s="971"/>
      <c r="BL135" s="977"/>
      <c r="BM135" s="972"/>
      <c r="BN135" s="971"/>
      <c r="BO135" s="973"/>
      <c r="BP135" s="973"/>
      <c r="BQ135" s="855"/>
      <c r="BR135" s="975"/>
      <c r="BS135" s="975"/>
      <c r="BT135" s="978"/>
      <c r="BU135" s="978"/>
      <c r="BV135" s="978">
        <v>0.19</v>
      </c>
      <c r="BW135" s="978">
        <f t="shared" si="57"/>
        <v>0.17699999999999999</v>
      </c>
    </row>
    <row r="136" spans="1:75" hidden="1">
      <c r="A136" s="1017" t="s">
        <v>308</v>
      </c>
      <c r="B136" s="968" t="s">
        <v>23</v>
      </c>
      <c r="C136" s="996" t="s">
        <v>829</v>
      </c>
      <c r="D136" s="969" t="s">
        <v>844</v>
      </c>
      <c r="E136" s="998" t="s">
        <v>526</v>
      </c>
      <c r="F136" s="998"/>
      <c r="G136" s="955" t="str">
        <f>IFERROR(VLOOKUP(D136,[3]전용!E:J,6,0),"")</f>
        <v/>
      </c>
      <c r="H136" s="854">
        <v>46990</v>
      </c>
      <c r="I136" s="998">
        <v>5</v>
      </c>
      <c r="J136" s="998" t="s">
        <v>286</v>
      </c>
      <c r="K136" s="998">
        <v>12</v>
      </c>
      <c r="L136" s="999">
        <v>1149</v>
      </c>
      <c r="M136" s="1000">
        <f t="shared" si="48"/>
        <v>68940</v>
      </c>
      <c r="N136" s="855">
        <v>0.19700000000000001</v>
      </c>
      <c r="O136" s="862"/>
      <c r="P136" s="999">
        <v>1149</v>
      </c>
      <c r="Q136" s="999">
        <f t="shared" si="49"/>
        <v>0</v>
      </c>
      <c r="R136" s="1000">
        <f t="shared" si="47"/>
        <v>68940</v>
      </c>
      <c r="S136" s="856">
        <f t="shared" si="58"/>
        <v>0.19700000000000001</v>
      </c>
      <c r="T136" s="1000"/>
      <c r="U136" s="1000"/>
      <c r="V136" s="1001">
        <v>0</v>
      </c>
      <c r="W136" s="1000">
        <f t="shared" si="50"/>
        <v>0</v>
      </c>
      <c r="X136" s="1000">
        <f t="shared" si="59"/>
        <v>68940</v>
      </c>
      <c r="Y136" s="863">
        <f t="shared" si="60"/>
        <v>0</v>
      </c>
      <c r="Z136" s="864">
        <f t="shared" si="61"/>
        <v>1.4671206639710577</v>
      </c>
      <c r="AA136" s="855">
        <v>0.19700000000000001</v>
      </c>
      <c r="AB136" s="856">
        <v>1.34271065478802E-3</v>
      </c>
      <c r="AC136" s="999">
        <f t="shared" si="51"/>
        <v>1149</v>
      </c>
      <c r="AD136" s="999"/>
      <c r="AE136" s="970">
        <f t="shared" si="46"/>
        <v>0</v>
      </c>
      <c r="AF136" s="1000">
        <f t="shared" si="62"/>
        <v>68940</v>
      </c>
      <c r="AG136" s="864">
        <f t="shared" si="63"/>
        <v>0</v>
      </c>
      <c r="AH136" s="576">
        <v>0</v>
      </c>
      <c r="AI136" s="856">
        <f t="shared" si="65"/>
        <v>0.14699999999999996</v>
      </c>
      <c r="AJ136" s="859">
        <v>0</v>
      </c>
      <c r="AK136" s="583">
        <v>6</v>
      </c>
      <c r="AL136" s="1000">
        <f t="shared" si="64"/>
        <v>3447</v>
      </c>
      <c r="AM136" s="1000">
        <f t="shared" si="52"/>
        <v>65493</v>
      </c>
      <c r="AN136" s="858">
        <f t="shared" si="53"/>
        <v>-5.0000000000000044E-2</v>
      </c>
      <c r="AO136" s="864">
        <f t="shared" si="54"/>
        <v>1.3937646307725049</v>
      </c>
      <c r="AP136" s="1002">
        <f t="shared" si="55"/>
        <v>-3447</v>
      </c>
      <c r="AQ136" s="862">
        <f t="shared" si="56"/>
        <v>-5.0000000000000044E-2</v>
      </c>
      <c r="AR136" s="974">
        <f t="shared" si="45"/>
        <v>0.17199999999999999</v>
      </c>
      <c r="AS136" s="1003"/>
      <c r="AT136" s="976"/>
      <c r="AU136" s="971"/>
      <c r="AV136" s="976"/>
      <c r="AW136" s="970"/>
      <c r="AX136" s="971"/>
      <c r="AY136" s="971"/>
      <c r="AZ136" s="977"/>
      <c r="BA136" s="972"/>
      <c r="BB136" s="971"/>
      <c r="BC136" s="973"/>
      <c r="BD136" s="973"/>
      <c r="BE136" s="855"/>
      <c r="BF136" s="975"/>
      <c r="BG136" s="975"/>
      <c r="BH136" s="971"/>
      <c r="BI136" s="970"/>
      <c r="BJ136" s="971"/>
      <c r="BK136" s="971"/>
      <c r="BL136" s="977"/>
      <c r="BM136" s="972"/>
      <c r="BN136" s="971"/>
      <c r="BO136" s="973"/>
      <c r="BP136" s="973"/>
      <c r="BQ136" s="855"/>
      <c r="BR136" s="975"/>
      <c r="BS136" s="975"/>
      <c r="BT136" s="978"/>
      <c r="BU136" s="978"/>
      <c r="BV136" s="978">
        <v>0.19</v>
      </c>
      <c r="BW136" s="978">
        <f t="shared" si="57"/>
        <v>0.159</v>
      </c>
    </row>
    <row r="137" spans="1:75" hidden="1">
      <c r="A137" s="998">
        <v>2606</v>
      </c>
      <c r="B137" s="998" t="s">
        <v>285</v>
      </c>
      <c r="C137" s="969" t="s">
        <v>829</v>
      </c>
      <c r="D137" s="1027" t="s">
        <v>97</v>
      </c>
      <c r="E137" s="955" t="s">
        <v>97</v>
      </c>
      <c r="F137" s="955"/>
      <c r="G137" s="955" t="str">
        <f>IFERROR(VLOOKUP(D137,[3]전용!E:J,6,0),"")</f>
        <v/>
      </c>
      <c r="H137" s="854">
        <v>6650</v>
      </c>
      <c r="I137" s="955">
        <v>5</v>
      </c>
      <c r="J137" s="955" t="s">
        <v>286</v>
      </c>
      <c r="K137" s="955">
        <v>6</v>
      </c>
      <c r="L137" s="970">
        <v>599</v>
      </c>
      <c r="M137" s="971">
        <f t="shared" si="48"/>
        <v>35940</v>
      </c>
      <c r="N137" s="855">
        <v>0.2741908102637779</v>
      </c>
      <c r="O137" s="855"/>
      <c r="P137" s="970">
        <v>499</v>
      </c>
      <c r="Q137" s="970">
        <f t="shared" si="49"/>
        <v>100</v>
      </c>
      <c r="R137" s="971">
        <f t="shared" si="47"/>
        <v>29940</v>
      </c>
      <c r="S137" s="856">
        <f t="shared" si="58"/>
        <v>0.24116018515992227</v>
      </c>
      <c r="T137" s="971"/>
      <c r="U137" s="971"/>
      <c r="V137" s="972">
        <v>6</v>
      </c>
      <c r="W137" s="971">
        <f t="shared" si="50"/>
        <v>1497</v>
      </c>
      <c r="X137" s="971">
        <f t="shared" si="59"/>
        <v>28443</v>
      </c>
      <c r="Y137" s="858">
        <f t="shared" si="60"/>
        <v>-5.0000000000000044E-2</v>
      </c>
      <c r="Z137" s="857">
        <f t="shared" si="61"/>
        <v>4.2771428571428576</v>
      </c>
      <c r="AA137" s="856">
        <v>0.21616018515992225</v>
      </c>
      <c r="AB137" s="856">
        <v>3.7206945032014008E-2</v>
      </c>
      <c r="AC137" s="970">
        <f t="shared" si="51"/>
        <v>499</v>
      </c>
      <c r="AD137" s="970"/>
      <c r="AE137" s="970">
        <f t="shared" si="46"/>
        <v>0</v>
      </c>
      <c r="AF137" s="971">
        <f t="shared" si="62"/>
        <v>29940</v>
      </c>
      <c r="AG137" s="857">
        <f t="shared" si="63"/>
        <v>0</v>
      </c>
      <c r="AH137" s="576">
        <v>0</v>
      </c>
      <c r="AI137" s="856">
        <f t="shared" si="65"/>
        <v>0.19116018515992222</v>
      </c>
      <c r="AJ137" s="859">
        <v>0</v>
      </c>
      <c r="AK137" s="583">
        <v>6</v>
      </c>
      <c r="AL137" s="971">
        <f t="shared" si="64"/>
        <v>1497</v>
      </c>
      <c r="AM137" s="971">
        <f t="shared" si="52"/>
        <v>28443</v>
      </c>
      <c r="AN137" s="858">
        <f t="shared" si="53"/>
        <v>-5.0000000000000044E-2</v>
      </c>
      <c r="AO137" s="857">
        <f t="shared" si="54"/>
        <v>4.2771428571428576</v>
      </c>
      <c r="AP137" s="973">
        <f t="shared" si="55"/>
        <v>0</v>
      </c>
      <c r="AQ137" s="855">
        <f t="shared" si="56"/>
        <v>0</v>
      </c>
      <c r="AR137" s="974">
        <f t="shared" si="45"/>
        <v>0.21616018515992225</v>
      </c>
      <c r="AS137" s="975"/>
      <c r="AT137" s="976"/>
      <c r="AU137" s="971"/>
      <c r="AV137" s="976"/>
      <c r="AW137" s="970"/>
      <c r="AX137" s="971"/>
      <c r="AY137" s="971"/>
      <c r="AZ137" s="977"/>
      <c r="BA137" s="972"/>
      <c r="BB137" s="971"/>
      <c r="BC137" s="973"/>
      <c r="BD137" s="973"/>
      <c r="BE137" s="855"/>
      <c r="BF137" s="975"/>
      <c r="BG137" s="975"/>
      <c r="BH137" s="971"/>
      <c r="BI137" s="970"/>
      <c r="BJ137" s="971"/>
      <c r="BK137" s="971"/>
      <c r="BL137" s="977"/>
      <c r="BM137" s="972"/>
      <c r="BN137" s="971"/>
      <c r="BO137" s="973"/>
      <c r="BP137" s="973"/>
      <c r="BQ137" s="855"/>
      <c r="BR137" s="975"/>
      <c r="BS137" s="975"/>
      <c r="BT137" s="978"/>
      <c r="BU137" s="978"/>
      <c r="BV137" s="978">
        <v>0.21596338776373702</v>
      </c>
      <c r="BW137" s="978">
        <f t="shared" si="57"/>
        <v>0.17816018515992224</v>
      </c>
    </row>
    <row r="138" spans="1:75" hidden="1">
      <c r="A138" s="968">
        <v>2606</v>
      </c>
      <c r="B138" s="968" t="s">
        <v>285</v>
      </c>
      <c r="C138" s="969" t="s">
        <v>829</v>
      </c>
      <c r="D138" s="984" t="s">
        <v>97</v>
      </c>
      <c r="E138" s="955" t="s">
        <v>97</v>
      </c>
      <c r="F138" s="955"/>
      <c r="G138" s="955" t="str">
        <f>IFERROR(VLOOKUP(D138,[3]전용!E:J,6,0),"")</f>
        <v/>
      </c>
      <c r="H138" s="854">
        <v>6650</v>
      </c>
      <c r="I138" s="955">
        <v>5</v>
      </c>
      <c r="J138" s="955" t="s">
        <v>286</v>
      </c>
      <c r="K138" s="955">
        <v>12</v>
      </c>
      <c r="L138" s="970">
        <v>549</v>
      </c>
      <c r="M138" s="971">
        <f t="shared" si="48"/>
        <v>32940</v>
      </c>
      <c r="N138" s="855">
        <v>0.27891101003773688</v>
      </c>
      <c r="O138" s="855"/>
      <c r="P138" s="970">
        <v>449</v>
      </c>
      <c r="Q138" s="970">
        <f t="shared" si="49"/>
        <v>100</v>
      </c>
      <c r="R138" s="971">
        <f t="shared" si="47"/>
        <v>26940</v>
      </c>
      <c r="S138" s="856">
        <f t="shared" si="58"/>
        <v>0.24116018515992227</v>
      </c>
      <c r="T138" s="971"/>
      <c r="U138" s="971"/>
      <c r="V138" s="972">
        <v>6</v>
      </c>
      <c r="W138" s="971">
        <f t="shared" si="50"/>
        <v>1347</v>
      </c>
      <c r="X138" s="971">
        <f t="shared" si="59"/>
        <v>25593</v>
      </c>
      <c r="Y138" s="858">
        <f t="shared" si="60"/>
        <v>-5.0000000000000044E-2</v>
      </c>
      <c r="Z138" s="857">
        <f t="shared" si="61"/>
        <v>3.8485714285714288</v>
      </c>
      <c r="AA138" s="856">
        <v>0.21616018515992225</v>
      </c>
      <c r="AB138" s="856">
        <v>3.7206945032014008E-2</v>
      </c>
      <c r="AC138" s="970">
        <f t="shared" si="51"/>
        <v>449</v>
      </c>
      <c r="AD138" s="970"/>
      <c r="AE138" s="970">
        <f t="shared" si="46"/>
        <v>0</v>
      </c>
      <c r="AF138" s="971">
        <f t="shared" si="62"/>
        <v>26940</v>
      </c>
      <c r="AG138" s="857">
        <f t="shared" si="63"/>
        <v>0</v>
      </c>
      <c r="AH138" s="576">
        <v>0</v>
      </c>
      <c r="AI138" s="856">
        <f t="shared" si="65"/>
        <v>0.19116018515992222</v>
      </c>
      <c r="AJ138" s="859">
        <v>0</v>
      </c>
      <c r="AK138" s="583">
        <v>6</v>
      </c>
      <c r="AL138" s="971">
        <f t="shared" si="64"/>
        <v>1347</v>
      </c>
      <c r="AM138" s="971">
        <f t="shared" si="52"/>
        <v>25593</v>
      </c>
      <c r="AN138" s="858">
        <f t="shared" si="53"/>
        <v>-5.0000000000000044E-2</v>
      </c>
      <c r="AO138" s="857">
        <f t="shared" si="54"/>
        <v>3.8485714285714288</v>
      </c>
      <c r="AP138" s="973">
        <f t="shared" si="55"/>
        <v>0</v>
      </c>
      <c r="AQ138" s="855">
        <f t="shared" si="56"/>
        <v>0</v>
      </c>
      <c r="AR138" s="974">
        <f t="shared" si="45"/>
        <v>0.21616018515992225</v>
      </c>
      <c r="AS138" s="975"/>
      <c r="AT138" s="976" t="e">
        <v>#N/A</v>
      </c>
      <c r="AU138" s="971" t="e">
        <f>P138-#REF!</f>
        <v>#REF!</v>
      </c>
      <c r="AV138" s="976"/>
      <c r="AW138" s="970">
        <f t="shared" ref="AW138:AW152" si="66">AC138</f>
        <v>449</v>
      </c>
      <c r="AX138" s="971">
        <f t="shared" ref="AX138:AX152" si="67">AW138-AC138</f>
        <v>0</v>
      </c>
      <c r="AY138" s="971">
        <f t="shared" ref="AY138:AY144" si="68">AW138*LEFT(I138,1)*12</f>
        <v>26940</v>
      </c>
      <c r="AZ138" s="977"/>
      <c r="BA138" s="972">
        <v>6</v>
      </c>
      <c r="BB138" s="971">
        <f t="shared" ref="BB138:BB181" si="69">BA138*AW138*0.5</f>
        <v>1347</v>
      </c>
      <c r="BC138" s="973">
        <f t="shared" ref="BC138:BC181" si="70">AY138-BB138</f>
        <v>25593</v>
      </c>
      <c r="BD138" s="973">
        <f t="shared" ref="BD138:BD152" si="71">BC138-AM138</f>
        <v>0</v>
      </c>
      <c r="BE138" s="855">
        <f t="shared" ref="BE138:BE152" si="72">BC138/AM138-1</f>
        <v>0</v>
      </c>
      <c r="BF138" s="975">
        <f t="shared" ref="BF138:BF181" si="73">IFERROR(AR138+BE138*0.5,"")</f>
        <v>0.21616018515992225</v>
      </c>
      <c r="BG138" s="975"/>
      <c r="BH138" s="971">
        <f>AX138</f>
        <v>0</v>
      </c>
      <c r="BI138" s="970">
        <f t="shared" ref="BI138:BI181" si="74">AW138</f>
        <v>449</v>
      </c>
      <c r="BJ138" s="971">
        <f t="shared" ref="BJ138:BJ181" si="75">BI138-AW138</f>
        <v>0</v>
      </c>
      <c r="BK138" s="971">
        <f t="shared" ref="BK138:BK144" si="76">BI138*LEFT(I138,1)*12</f>
        <v>26940</v>
      </c>
      <c r="BL138" s="977"/>
      <c r="BM138" s="972">
        <v>6</v>
      </c>
      <c r="BN138" s="971">
        <f t="shared" ref="BN138:BN181" si="77">BM138*BI138*0.5</f>
        <v>1347</v>
      </c>
      <c r="BO138" s="973">
        <f t="shared" ref="BO138:BO140" si="78">BK138-BN138</f>
        <v>25593</v>
      </c>
      <c r="BP138" s="973">
        <f t="shared" ref="BP138:BP181" si="79">BO138-BC138</f>
        <v>0</v>
      </c>
      <c r="BQ138" s="855">
        <f t="shared" ref="BQ138:BQ181" si="80">BO138/BC138-1</f>
        <v>0</v>
      </c>
      <c r="BR138" s="975">
        <f t="shared" ref="BR138:BR181" si="81">IFERROR(BE138+BQ138*0.5,"")</f>
        <v>0</v>
      </c>
      <c r="BS138" s="975"/>
      <c r="BT138" s="978"/>
      <c r="BU138" s="978"/>
      <c r="BV138" s="978">
        <v>0.21596338776373702</v>
      </c>
      <c r="BW138" s="978">
        <f t="shared" si="57"/>
        <v>0.17816018515992224</v>
      </c>
    </row>
    <row r="139" spans="1:75" hidden="1">
      <c r="A139" s="968">
        <v>2606</v>
      </c>
      <c r="B139" s="968" t="s">
        <v>285</v>
      </c>
      <c r="C139" s="969" t="s">
        <v>829</v>
      </c>
      <c r="D139" s="984" t="s">
        <v>97</v>
      </c>
      <c r="E139" s="955" t="s">
        <v>97</v>
      </c>
      <c r="F139" s="955"/>
      <c r="G139" s="955" t="str">
        <f>IFERROR(VLOOKUP(D139,[3]전용!E:J,6,0),"")</f>
        <v/>
      </c>
      <c r="H139" s="854">
        <v>6650</v>
      </c>
      <c r="I139" s="955">
        <v>5</v>
      </c>
      <c r="J139" s="955" t="s">
        <v>288</v>
      </c>
      <c r="K139" s="955">
        <v>6</v>
      </c>
      <c r="L139" s="970">
        <v>549</v>
      </c>
      <c r="M139" s="971">
        <f t="shared" si="48"/>
        <v>32940</v>
      </c>
      <c r="N139" s="855">
        <v>0.27891101003773688</v>
      </c>
      <c r="O139" s="855"/>
      <c r="P139" s="970">
        <v>449</v>
      </c>
      <c r="Q139" s="970">
        <f t="shared" si="49"/>
        <v>100</v>
      </c>
      <c r="R139" s="971">
        <f t="shared" si="47"/>
        <v>26940</v>
      </c>
      <c r="S139" s="856">
        <f t="shared" si="58"/>
        <v>0.24116018515992227</v>
      </c>
      <c r="T139" s="971"/>
      <c r="U139" s="971"/>
      <c r="V139" s="972">
        <v>6</v>
      </c>
      <c r="W139" s="971">
        <f t="shared" si="50"/>
        <v>1347</v>
      </c>
      <c r="X139" s="971">
        <f t="shared" si="59"/>
        <v>25593</v>
      </c>
      <c r="Y139" s="858">
        <f t="shared" si="60"/>
        <v>-5.0000000000000044E-2</v>
      </c>
      <c r="Z139" s="857">
        <f t="shared" si="61"/>
        <v>3.8485714285714288</v>
      </c>
      <c r="AA139" s="856">
        <v>0.21616018515992225</v>
      </c>
      <c r="AB139" s="856">
        <v>3.7206945032014008E-2</v>
      </c>
      <c r="AC139" s="970">
        <f t="shared" si="51"/>
        <v>449</v>
      </c>
      <c r="AD139" s="970"/>
      <c r="AE139" s="970">
        <f t="shared" si="46"/>
        <v>0</v>
      </c>
      <c r="AF139" s="971">
        <f t="shared" si="62"/>
        <v>26940</v>
      </c>
      <c r="AG139" s="857">
        <f t="shared" si="63"/>
        <v>0</v>
      </c>
      <c r="AH139" s="576">
        <v>0</v>
      </c>
      <c r="AI139" s="856">
        <f t="shared" si="65"/>
        <v>0.19116018515992222</v>
      </c>
      <c r="AJ139" s="859">
        <v>0</v>
      </c>
      <c r="AK139" s="583">
        <v>6</v>
      </c>
      <c r="AL139" s="971">
        <f t="shared" si="64"/>
        <v>1347</v>
      </c>
      <c r="AM139" s="971">
        <f t="shared" si="52"/>
        <v>25593</v>
      </c>
      <c r="AN139" s="858">
        <f t="shared" si="53"/>
        <v>-5.0000000000000044E-2</v>
      </c>
      <c r="AO139" s="857">
        <f t="shared" si="54"/>
        <v>3.8485714285714288</v>
      </c>
      <c r="AP139" s="973">
        <f t="shared" si="55"/>
        <v>0</v>
      </c>
      <c r="AQ139" s="855">
        <f t="shared" si="56"/>
        <v>0</v>
      </c>
      <c r="AR139" s="974">
        <f t="shared" si="45"/>
        <v>0.21616018515992225</v>
      </c>
      <c r="AS139" s="975"/>
      <c r="AT139" s="976" t="e">
        <v>#N/A</v>
      </c>
      <c r="AU139" s="971" t="e">
        <f>P139-#REF!</f>
        <v>#REF!</v>
      </c>
      <c r="AV139" s="976"/>
      <c r="AW139" s="970">
        <f t="shared" si="66"/>
        <v>449</v>
      </c>
      <c r="AX139" s="971">
        <f t="shared" si="67"/>
        <v>0</v>
      </c>
      <c r="AY139" s="971">
        <f t="shared" si="68"/>
        <v>26940</v>
      </c>
      <c r="AZ139" s="977"/>
      <c r="BA139" s="972">
        <v>6</v>
      </c>
      <c r="BB139" s="971">
        <f t="shared" si="69"/>
        <v>1347</v>
      </c>
      <c r="BC139" s="973">
        <f t="shared" si="70"/>
        <v>25593</v>
      </c>
      <c r="BD139" s="973">
        <f t="shared" si="71"/>
        <v>0</v>
      </c>
      <c r="BE139" s="855">
        <f t="shared" si="72"/>
        <v>0</v>
      </c>
      <c r="BF139" s="975">
        <f t="shared" si="73"/>
        <v>0.21616018515992225</v>
      </c>
      <c r="BG139" s="975"/>
      <c r="BH139" s="971"/>
      <c r="BI139" s="970">
        <f t="shared" si="74"/>
        <v>449</v>
      </c>
      <c r="BJ139" s="971">
        <f t="shared" si="75"/>
        <v>0</v>
      </c>
      <c r="BK139" s="971">
        <f t="shared" si="76"/>
        <v>26940</v>
      </c>
      <c r="BL139" s="977"/>
      <c r="BM139" s="972">
        <v>6</v>
      </c>
      <c r="BN139" s="971">
        <f t="shared" si="77"/>
        <v>1347</v>
      </c>
      <c r="BO139" s="973">
        <f t="shared" si="78"/>
        <v>25593</v>
      </c>
      <c r="BP139" s="973">
        <f t="shared" si="79"/>
        <v>0</v>
      </c>
      <c r="BQ139" s="855">
        <f t="shared" si="80"/>
        <v>0</v>
      </c>
      <c r="BR139" s="975">
        <f t="shared" si="81"/>
        <v>0</v>
      </c>
      <c r="BS139" s="975"/>
      <c r="BT139" s="978"/>
      <c r="BU139" s="978"/>
      <c r="BV139" s="978">
        <v>0.21596338776373702</v>
      </c>
      <c r="BW139" s="978">
        <f t="shared" si="57"/>
        <v>0.17816018515992224</v>
      </c>
    </row>
    <row r="140" spans="1:75" hidden="1">
      <c r="A140" s="979">
        <v>2606</v>
      </c>
      <c r="B140" s="979" t="s">
        <v>285</v>
      </c>
      <c r="C140" s="980" t="s">
        <v>829</v>
      </c>
      <c r="D140" s="985" t="s">
        <v>97</v>
      </c>
      <c r="E140" s="955" t="s">
        <v>97</v>
      </c>
      <c r="F140" s="955"/>
      <c r="G140" s="955" t="str">
        <f>IFERROR(VLOOKUP(D140,[3]전용!E:J,6,0),"")</f>
        <v/>
      </c>
      <c r="H140" s="854">
        <v>6650</v>
      </c>
      <c r="I140" s="955">
        <v>5</v>
      </c>
      <c r="J140" s="955" t="s">
        <v>288</v>
      </c>
      <c r="K140" s="955">
        <v>12</v>
      </c>
      <c r="L140" s="970">
        <v>499</v>
      </c>
      <c r="M140" s="971">
        <f t="shared" si="48"/>
        <v>29940</v>
      </c>
      <c r="N140" s="855">
        <v>0.28468247924910339</v>
      </c>
      <c r="O140" s="855"/>
      <c r="P140" s="970">
        <v>399</v>
      </c>
      <c r="Q140" s="970">
        <f t="shared" si="49"/>
        <v>100</v>
      </c>
      <c r="R140" s="971">
        <f t="shared" si="47"/>
        <v>23940</v>
      </c>
      <c r="S140" s="856">
        <f t="shared" si="58"/>
        <v>0.24116018515992227</v>
      </c>
      <c r="T140" s="971"/>
      <c r="U140" s="971"/>
      <c r="V140" s="972">
        <v>6</v>
      </c>
      <c r="W140" s="971">
        <f t="shared" si="50"/>
        <v>1197</v>
      </c>
      <c r="X140" s="971">
        <f t="shared" si="59"/>
        <v>22743</v>
      </c>
      <c r="Y140" s="858">
        <f t="shared" si="60"/>
        <v>-5.0000000000000044E-2</v>
      </c>
      <c r="Z140" s="857">
        <f t="shared" si="61"/>
        <v>3.42</v>
      </c>
      <c r="AA140" s="856">
        <v>0.21616018515992225</v>
      </c>
      <c r="AB140" s="856">
        <v>3.7206945032014008E-2</v>
      </c>
      <c r="AC140" s="970">
        <f t="shared" si="51"/>
        <v>399</v>
      </c>
      <c r="AD140" s="970"/>
      <c r="AE140" s="970">
        <f t="shared" si="46"/>
        <v>0</v>
      </c>
      <c r="AF140" s="971">
        <f t="shared" si="62"/>
        <v>23940</v>
      </c>
      <c r="AG140" s="857">
        <f t="shared" si="63"/>
        <v>0</v>
      </c>
      <c r="AH140" s="576">
        <v>0</v>
      </c>
      <c r="AI140" s="856">
        <f t="shared" si="65"/>
        <v>0.19116018515992222</v>
      </c>
      <c r="AJ140" s="859">
        <v>0</v>
      </c>
      <c r="AK140" s="583">
        <v>6</v>
      </c>
      <c r="AL140" s="971">
        <f t="shared" si="64"/>
        <v>1197</v>
      </c>
      <c r="AM140" s="971">
        <f t="shared" si="52"/>
        <v>22743</v>
      </c>
      <c r="AN140" s="858">
        <f t="shared" si="53"/>
        <v>-5.0000000000000044E-2</v>
      </c>
      <c r="AO140" s="857">
        <f t="shared" si="54"/>
        <v>3.42</v>
      </c>
      <c r="AP140" s="973">
        <f t="shared" si="55"/>
        <v>0</v>
      </c>
      <c r="AQ140" s="855">
        <f t="shared" si="56"/>
        <v>0</v>
      </c>
      <c r="AR140" s="974">
        <f t="shared" si="45"/>
        <v>0.21616018515992225</v>
      </c>
      <c r="AS140" s="975"/>
      <c r="AT140" s="976" t="e">
        <v>#N/A</v>
      </c>
      <c r="AU140" s="971" t="e">
        <f>P140-#REF!</f>
        <v>#REF!</v>
      </c>
      <c r="AV140" s="976"/>
      <c r="AW140" s="970">
        <f t="shared" si="66"/>
        <v>399</v>
      </c>
      <c r="AX140" s="971">
        <f t="shared" si="67"/>
        <v>0</v>
      </c>
      <c r="AY140" s="971">
        <f t="shared" si="68"/>
        <v>23940</v>
      </c>
      <c r="AZ140" s="977"/>
      <c r="BA140" s="972">
        <v>6</v>
      </c>
      <c r="BB140" s="971">
        <f t="shared" si="69"/>
        <v>1197</v>
      </c>
      <c r="BC140" s="973">
        <f t="shared" si="70"/>
        <v>22743</v>
      </c>
      <c r="BD140" s="973">
        <f t="shared" si="71"/>
        <v>0</v>
      </c>
      <c r="BE140" s="855">
        <f t="shared" si="72"/>
        <v>0</v>
      </c>
      <c r="BF140" s="975">
        <f t="shared" si="73"/>
        <v>0.21616018515992225</v>
      </c>
      <c r="BG140" s="975"/>
      <c r="BH140" s="971"/>
      <c r="BI140" s="970">
        <f t="shared" si="74"/>
        <v>399</v>
      </c>
      <c r="BJ140" s="971">
        <f t="shared" si="75"/>
        <v>0</v>
      </c>
      <c r="BK140" s="971">
        <f t="shared" si="76"/>
        <v>23940</v>
      </c>
      <c r="BL140" s="977"/>
      <c r="BM140" s="972">
        <v>6</v>
      </c>
      <c r="BN140" s="971">
        <f t="shared" si="77"/>
        <v>1197</v>
      </c>
      <c r="BO140" s="973">
        <f t="shared" si="78"/>
        <v>22743</v>
      </c>
      <c r="BP140" s="973">
        <f t="shared" si="79"/>
        <v>0</v>
      </c>
      <c r="BQ140" s="855">
        <f t="shared" si="80"/>
        <v>0</v>
      </c>
      <c r="BR140" s="975">
        <f t="shared" si="81"/>
        <v>0</v>
      </c>
      <c r="BS140" s="975"/>
      <c r="BT140" s="978"/>
      <c r="BU140" s="978"/>
      <c r="BV140" s="978">
        <v>0.21596338776373702</v>
      </c>
      <c r="BW140" s="978">
        <f t="shared" si="57"/>
        <v>0.17816018515992224</v>
      </c>
    </row>
    <row r="141" spans="1:75" hidden="1">
      <c r="A141" s="968">
        <v>2606</v>
      </c>
      <c r="B141" s="968" t="s">
        <v>285</v>
      </c>
      <c r="C141" s="969" t="s">
        <v>829</v>
      </c>
      <c r="D141" s="984" t="s">
        <v>72</v>
      </c>
      <c r="E141" s="955" t="s">
        <v>72</v>
      </c>
      <c r="F141" s="955"/>
      <c r="G141" s="955" t="str">
        <f>IFERROR(VLOOKUP(D141,[3]전용!E:J,6,0),"")</f>
        <v/>
      </c>
      <c r="H141" s="854">
        <v>19880</v>
      </c>
      <c r="I141" s="955">
        <v>5</v>
      </c>
      <c r="J141" s="955" t="s">
        <v>286</v>
      </c>
      <c r="K141" s="955">
        <v>6</v>
      </c>
      <c r="L141" s="970">
        <v>899</v>
      </c>
      <c r="M141" s="971">
        <f t="shared" si="48"/>
        <v>53940</v>
      </c>
      <c r="N141" s="855">
        <v>0.36516840680282137</v>
      </c>
      <c r="O141" s="855"/>
      <c r="P141" s="970">
        <v>799</v>
      </c>
      <c r="Q141" s="970">
        <f t="shared" si="49"/>
        <v>100</v>
      </c>
      <c r="R141" s="576">
        <f>(P141*((I141*12)-U141))</f>
        <v>45543</v>
      </c>
      <c r="S141" s="856">
        <f t="shared" si="58"/>
        <v>0.20115198767194403</v>
      </c>
      <c r="T141" s="580">
        <v>149</v>
      </c>
      <c r="U141" s="583">
        <v>3</v>
      </c>
      <c r="V141" s="583">
        <v>0</v>
      </c>
      <c r="W141" s="971">
        <f t="shared" si="50"/>
        <v>1950</v>
      </c>
      <c r="X141" s="971">
        <f t="shared" si="59"/>
        <v>43593</v>
      </c>
      <c r="Y141" s="858">
        <f t="shared" si="60"/>
        <v>-4.2816678743165748E-2</v>
      </c>
      <c r="Z141" s="857">
        <f t="shared" si="61"/>
        <v>2.1928068410462775</v>
      </c>
      <c r="AA141" s="856">
        <v>0.17974364830036116</v>
      </c>
      <c r="AB141" s="856">
        <v>2.3814954063519949E-2</v>
      </c>
      <c r="AC141" s="970">
        <f t="shared" si="51"/>
        <v>799</v>
      </c>
      <c r="AD141" s="970"/>
      <c r="AE141" s="970">
        <f t="shared" si="46"/>
        <v>0</v>
      </c>
      <c r="AF141" s="971">
        <f t="shared" si="62"/>
        <v>47940</v>
      </c>
      <c r="AG141" s="857">
        <f t="shared" si="63"/>
        <v>5.2631578947368363E-2</v>
      </c>
      <c r="AH141" s="576">
        <v>149</v>
      </c>
      <c r="AI141" s="856">
        <f t="shared" si="65"/>
        <v>0.18689867201255944</v>
      </c>
      <c r="AJ141" s="859">
        <v>3</v>
      </c>
      <c r="AK141" s="583">
        <v>0</v>
      </c>
      <c r="AL141" s="971">
        <f t="shared" si="64"/>
        <v>1950</v>
      </c>
      <c r="AM141" s="971">
        <f t="shared" si="52"/>
        <v>45990</v>
      </c>
      <c r="AN141" s="858">
        <f t="shared" si="53"/>
        <v>-4.06758448060075E-2</v>
      </c>
      <c r="AO141" s="857">
        <f t="shared" si="54"/>
        <v>2.313380281690141</v>
      </c>
      <c r="AP141" s="973">
        <f t="shared" si="55"/>
        <v>2397</v>
      </c>
      <c r="AQ141" s="855">
        <f t="shared" si="56"/>
        <v>5.4985892230404065E-2</v>
      </c>
      <c r="AR141" s="974">
        <f t="shared" si="45"/>
        <v>0.20723659441556319</v>
      </c>
      <c r="AS141" s="975"/>
      <c r="AT141" s="976" t="e">
        <v>#N/A</v>
      </c>
      <c r="AU141" s="971" t="e">
        <f>P141-#REF!</f>
        <v>#REF!</v>
      </c>
      <c r="AV141" s="976"/>
      <c r="AW141" s="970">
        <f t="shared" si="66"/>
        <v>799</v>
      </c>
      <c r="AX141" s="971">
        <f t="shared" si="67"/>
        <v>0</v>
      </c>
      <c r="AY141" s="971">
        <f t="shared" si="68"/>
        <v>47940</v>
      </c>
      <c r="AZ141" s="580">
        <v>149</v>
      </c>
      <c r="BA141" s="583">
        <v>3</v>
      </c>
      <c r="BB141" s="971">
        <f t="shared" si="69"/>
        <v>1198.5</v>
      </c>
      <c r="BC141" s="973">
        <f t="shared" si="70"/>
        <v>46741.5</v>
      </c>
      <c r="BD141" s="973">
        <f t="shared" si="71"/>
        <v>751.5</v>
      </c>
      <c r="BE141" s="855">
        <f t="shared" si="72"/>
        <v>1.6340508806262255E-2</v>
      </c>
      <c r="BF141" s="975">
        <f t="shared" si="73"/>
        <v>0.21540684881869432</v>
      </c>
      <c r="BG141" s="975"/>
      <c r="BH141" s="971">
        <f t="shared" ref="BH141:BH142" si="82">AX141</f>
        <v>0</v>
      </c>
      <c r="BI141" s="970">
        <f t="shared" si="74"/>
        <v>799</v>
      </c>
      <c r="BJ141" s="971">
        <f t="shared" si="75"/>
        <v>0</v>
      </c>
      <c r="BK141" s="971">
        <f t="shared" si="76"/>
        <v>47940</v>
      </c>
      <c r="BL141" s="580">
        <v>149</v>
      </c>
      <c r="BM141" s="583">
        <v>3</v>
      </c>
      <c r="BN141" s="971">
        <f t="shared" si="77"/>
        <v>1198.5</v>
      </c>
      <c r="BO141" s="709">
        <f>BK141+BN141</f>
        <v>49138.5</v>
      </c>
      <c r="BP141" s="973">
        <f t="shared" si="79"/>
        <v>2397</v>
      </c>
      <c r="BQ141" s="855">
        <f t="shared" si="80"/>
        <v>5.1282051282051322E-2</v>
      </c>
      <c r="BR141" s="975">
        <f t="shared" si="81"/>
        <v>4.1981534447287916E-2</v>
      </c>
      <c r="BS141" s="975"/>
      <c r="BT141" s="978"/>
      <c r="BU141" s="978"/>
      <c r="BV141" s="978">
        <v>0.18034875742982576</v>
      </c>
      <c r="BW141" s="978">
        <f t="shared" si="57"/>
        <v>0.17974364830036116</v>
      </c>
    </row>
    <row r="142" spans="1:75" hidden="1">
      <c r="A142" s="968">
        <v>2606</v>
      </c>
      <c r="B142" s="968" t="s">
        <v>285</v>
      </c>
      <c r="C142" s="969" t="s">
        <v>829</v>
      </c>
      <c r="D142" s="984" t="s">
        <v>72</v>
      </c>
      <c r="E142" s="955" t="s">
        <v>72</v>
      </c>
      <c r="F142" s="955"/>
      <c r="G142" s="955" t="str">
        <f>IFERROR(VLOOKUP(D142,[3]전용!E:J,6,0),"")</f>
        <v/>
      </c>
      <c r="H142" s="854">
        <v>19880</v>
      </c>
      <c r="I142" s="955">
        <v>5</v>
      </c>
      <c r="J142" s="955" t="s">
        <v>286</v>
      </c>
      <c r="K142" s="955">
        <v>12</v>
      </c>
      <c r="L142" s="970">
        <v>849</v>
      </c>
      <c r="M142" s="971">
        <f t="shared" si="48"/>
        <v>50940</v>
      </c>
      <c r="N142" s="855">
        <v>0.36707465216587953</v>
      </c>
      <c r="O142" s="855"/>
      <c r="P142" s="970">
        <v>749</v>
      </c>
      <c r="Q142" s="970">
        <f t="shared" si="49"/>
        <v>100</v>
      </c>
      <c r="R142" s="576">
        <f>(P142*((I142*12)-U142))</f>
        <v>42693</v>
      </c>
      <c r="S142" s="856">
        <f t="shared" si="58"/>
        <v>0.20082438753161685</v>
      </c>
      <c r="T142" s="580">
        <v>149</v>
      </c>
      <c r="U142" s="583">
        <v>3</v>
      </c>
      <c r="V142" s="583">
        <v>0</v>
      </c>
      <c r="W142" s="971">
        <f t="shared" si="50"/>
        <v>1800</v>
      </c>
      <c r="X142" s="971">
        <f t="shared" si="59"/>
        <v>40893</v>
      </c>
      <c r="Y142" s="858">
        <f t="shared" si="60"/>
        <v>-4.2161478462511393E-2</v>
      </c>
      <c r="Z142" s="857">
        <f t="shared" si="61"/>
        <v>2.0569919517102617</v>
      </c>
      <c r="AA142" s="856">
        <v>0.17974364830036116</v>
      </c>
      <c r="AB142" s="856">
        <v>2.3814954063519949E-2</v>
      </c>
      <c r="AC142" s="970">
        <f t="shared" si="51"/>
        <v>749</v>
      </c>
      <c r="AD142" s="970"/>
      <c r="AE142" s="970">
        <f t="shared" si="46"/>
        <v>0</v>
      </c>
      <c r="AF142" s="971">
        <f t="shared" si="62"/>
        <v>44940</v>
      </c>
      <c r="AG142" s="857">
        <f t="shared" si="63"/>
        <v>5.2631578947368363E-2</v>
      </c>
      <c r="AH142" s="576">
        <v>149</v>
      </c>
      <c r="AI142" s="856">
        <f t="shared" si="65"/>
        <v>0.18719108585900068</v>
      </c>
      <c r="AJ142" s="859">
        <v>3</v>
      </c>
      <c r="AK142" s="583">
        <v>0</v>
      </c>
      <c r="AL142" s="971">
        <f t="shared" si="64"/>
        <v>1800</v>
      </c>
      <c r="AM142" s="971">
        <f t="shared" si="52"/>
        <v>43140</v>
      </c>
      <c r="AN142" s="858">
        <f t="shared" si="53"/>
        <v>-4.0053404539385884E-2</v>
      </c>
      <c r="AO142" s="857">
        <f t="shared" si="54"/>
        <v>2.1700201207243461</v>
      </c>
      <c r="AP142" s="973">
        <f t="shared" si="55"/>
        <v>2247</v>
      </c>
      <c r="AQ142" s="855">
        <f t="shared" si="56"/>
        <v>5.4948279656664933E-2</v>
      </c>
      <c r="AR142" s="974">
        <f t="shared" ref="AR142:AR174" si="83">IFERROR(AA142+AQ142*0.5,"")</f>
        <v>0.20721778812869363</v>
      </c>
      <c r="AS142" s="975"/>
      <c r="AT142" s="976" t="e">
        <v>#N/A</v>
      </c>
      <c r="AU142" s="971" t="e">
        <f>P142-#REF!</f>
        <v>#REF!</v>
      </c>
      <c r="AV142" s="976"/>
      <c r="AW142" s="970">
        <f t="shared" si="66"/>
        <v>749</v>
      </c>
      <c r="AX142" s="971">
        <f t="shared" si="67"/>
        <v>0</v>
      </c>
      <c r="AY142" s="971">
        <f t="shared" si="68"/>
        <v>44940</v>
      </c>
      <c r="AZ142" s="580">
        <v>149</v>
      </c>
      <c r="BA142" s="583">
        <v>3</v>
      </c>
      <c r="BB142" s="971">
        <f t="shared" si="69"/>
        <v>1123.5</v>
      </c>
      <c r="BC142" s="973">
        <f t="shared" si="70"/>
        <v>43816.5</v>
      </c>
      <c r="BD142" s="973">
        <f t="shared" si="71"/>
        <v>676.5</v>
      </c>
      <c r="BE142" s="855">
        <f t="shared" si="72"/>
        <v>1.568150208623087E-2</v>
      </c>
      <c r="BF142" s="975">
        <f t="shared" si="73"/>
        <v>0.21505853917180906</v>
      </c>
      <c r="BG142" s="975"/>
      <c r="BH142" s="971">
        <f t="shared" si="82"/>
        <v>0</v>
      </c>
      <c r="BI142" s="970">
        <f t="shared" si="74"/>
        <v>749</v>
      </c>
      <c r="BJ142" s="971">
        <f t="shared" si="75"/>
        <v>0</v>
      </c>
      <c r="BK142" s="971">
        <f t="shared" si="76"/>
        <v>44940</v>
      </c>
      <c r="BL142" s="580">
        <v>149</v>
      </c>
      <c r="BM142" s="583">
        <v>3</v>
      </c>
      <c r="BN142" s="971">
        <f t="shared" si="77"/>
        <v>1123.5</v>
      </c>
      <c r="BO142" s="709">
        <f>BK142+BN142</f>
        <v>46063.5</v>
      </c>
      <c r="BP142" s="973">
        <f t="shared" si="79"/>
        <v>2247</v>
      </c>
      <c r="BQ142" s="855">
        <f t="shared" si="80"/>
        <v>5.1282051282051322E-2</v>
      </c>
      <c r="BR142" s="975">
        <f t="shared" si="81"/>
        <v>4.1322527727256531E-2</v>
      </c>
      <c r="BS142" s="975"/>
      <c r="BT142" s="978"/>
      <c r="BU142" s="978"/>
      <c r="BV142" s="978">
        <v>0.18034875742982576</v>
      </c>
      <c r="BW142" s="978">
        <f t="shared" si="57"/>
        <v>0.17974364830036116</v>
      </c>
    </row>
    <row r="143" spans="1:75" hidden="1">
      <c r="A143" s="968">
        <v>2606</v>
      </c>
      <c r="B143" s="968" t="s">
        <v>285</v>
      </c>
      <c r="C143" s="969" t="s">
        <v>829</v>
      </c>
      <c r="D143" s="984" t="s">
        <v>72</v>
      </c>
      <c r="E143" s="955" t="s">
        <v>72</v>
      </c>
      <c r="F143" s="955"/>
      <c r="G143" s="955" t="str">
        <f>IFERROR(VLOOKUP(D143,[3]전용!E:J,6,0),"")</f>
        <v/>
      </c>
      <c r="H143" s="854">
        <v>19880</v>
      </c>
      <c r="I143" s="955">
        <v>5</v>
      </c>
      <c r="J143" s="955" t="s">
        <v>288</v>
      </c>
      <c r="K143" s="955">
        <v>6</v>
      </c>
      <c r="L143" s="970">
        <v>849</v>
      </c>
      <c r="M143" s="971">
        <f t="shared" si="48"/>
        <v>50940</v>
      </c>
      <c r="N143" s="855">
        <v>0.36707465216587953</v>
      </c>
      <c r="O143" s="855"/>
      <c r="P143" s="970">
        <v>749</v>
      </c>
      <c r="Q143" s="970">
        <f t="shared" si="49"/>
        <v>100</v>
      </c>
      <c r="R143" s="971">
        <f>P143*LEFT(I143,1)*12</f>
        <v>44940</v>
      </c>
      <c r="S143" s="856">
        <f t="shared" si="58"/>
        <v>0.1997703505700541</v>
      </c>
      <c r="T143" s="976">
        <v>149</v>
      </c>
      <c r="U143" s="976">
        <v>3</v>
      </c>
      <c r="V143" s="583">
        <v>0</v>
      </c>
      <c r="W143" s="971">
        <f t="shared" si="50"/>
        <v>1800</v>
      </c>
      <c r="X143" s="971">
        <f t="shared" si="59"/>
        <v>43140</v>
      </c>
      <c r="Y143" s="858">
        <f t="shared" si="60"/>
        <v>-4.0053404539385884E-2</v>
      </c>
      <c r="Z143" s="857">
        <f t="shared" si="61"/>
        <v>2.1700201207243461</v>
      </c>
      <c r="AA143" s="856">
        <v>0.17974364830036116</v>
      </c>
      <c r="AB143" s="856">
        <v>2.3814954063519949E-2</v>
      </c>
      <c r="AC143" s="970">
        <f t="shared" si="51"/>
        <v>749</v>
      </c>
      <c r="AD143" s="970"/>
      <c r="AE143" s="970">
        <f t="shared" si="46"/>
        <v>0</v>
      </c>
      <c r="AF143" s="971">
        <f t="shared" si="62"/>
        <v>44940</v>
      </c>
      <c r="AG143" s="857">
        <f t="shared" si="63"/>
        <v>0</v>
      </c>
      <c r="AH143" s="576">
        <v>149</v>
      </c>
      <c r="AI143" s="856">
        <f t="shared" si="65"/>
        <v>0.15971694603066822</v>
      </c>
      <c r="AJ143" s="859">
        <v>3</v>
      </c>
      <c r="AK143" s="583">
        <v>0</v>
      </c>
      <c r="AL143" s="971">
        <f t="shared" si="64"/>
        <v>1800</v>
      </c>
      <c r="AM143" s="971">
        <f t="shared" si="52"/>
        <v>43140</v>
      </c>
      <c r="AN143" s="858">
        <f t="shared" si="53"/>
        <v>-4.0053404539385884E-2</v>
      </c>
      <c r="AO143" s="857">
        <f t="shared" si="54"/>
        <v>2.1700201207243461</v>
      </c>
      <c r="AP143" s="973">
        <f t="shared" si="55"/>
        <v>0</v>
      </c>
      <c r="AQ143" s="855">
        <f t="shared" si="56"/>
        <v>0</v>
      </c>
      <c r="AR143" s="974">
        <f t="shared" si="83"/>
        <v>0.17974364830036116</v>
      </c>
      <c r="AS143" s="975"/>
      <c r="AT143" s="976" t="e">
        <v>#N/A</v>
      </c>
      <c r="AU143" s="971" t="e">
        <f>P143-#REF!</f>
        <v>#REF!</v>
      </c>
      <c r="AV143" s="976"/>
      <c r="AW143" s="970">
        <f t="shared" si="66"/>
        <v>749</v>
      </c>
      <c r="AX143" s="971">
        <f t="shared" si="67"/>
        <v>0</v>
      </c>
      <c r="AY143" s="971">
        <f t="shared" si="68"/>
        <v>44940</v>
      </c>
      <c r="AZ143" s="977"/>
      <c r="BA143" s="972">
        <v>6</v>
      </c>
      <c r="BB143" s="971">
        <f t="shared" si="69"/>
        <v>2247</v>
      </c>
      <c r="BC143" s="973">
        <f t="shared" si="70"/>
        <v>42693</v>
      </c>
      <c r="BD143" s="973">
        <f t="shared" si="71"/>
        <v>-447</v>
      </c>
      <c r="BE143" s="855">
        <f t="shared" si="72"/>
        <v>-1.0361613351877574E-2</v>
      </c>
      <c r="BF143" s="975">
        <f t="shared" si="73"/>
        <v>0.17456284162442237</v>
      </c>
      <c r="BG143" s="975"/>
      <c r="BH143" s="971"/>
      <c r="BI143" s="970">
        <f t="shared" si="74"/>
        <v>749</v>
      </c>
      <c r="BJ143" s="971">
        <f t="shared" si="75"/>
        <v>0</v>
      </c>
      <c r="BK143" s="971">
        <f t="shared" si="76"/>
        <v>44940</v>
      </c>
      <c r="BL143" s="977"/>
      <c r="BM143" s="972">
        <v>6</v>
      </c>
      <c r="BN143" s="971">
        <f t="shared" si="77"/>
        <v>2247</v>
      </c>
      <c r="BO143" s="973">
        <f t="shared" ref="BO143:BO144" si="84">BK143-BN143</f>
        <v>42693</v>
      </c>
      <c r="BP143" s="973">
        <f t="shared" si="79"/>
        <v>0</v>
      </c>
      <c r="BQ143" s="855">
        <f t="shared" si="80"/>
        <v>0</v>
      </c>
      <c r="BR143" s="975">
        <f t="shared" si="81"/>
        <v>-1.0361613351877574E-2</v>
      </c>
      <c r="BS143" s="975"/>
      <c r="BT143" s="978"/>
      <c r="BU143" s="978"/>
      <c r="BV143" s="978">
        <v>0.18034875742982576</v>
      </c>
      <c r="BW143" s="978">
        <f t="shared" si="57"/>
        <v>0.17974364830036116</v>
      </c>
    </row>
    <row r="144" spans="1:75" hidden="1">
      <c r="A144" s="979">
        <v>2606</v>
      </c>
      <c r="B144" s="979" t="s">
        <v>285</v>
      </c>
      <c r="C144" s="980" t="s">
        <v>829</v>
      </c>
      <c r="D144" s="985" t="s">
        <v>72</v>
      </c>
      <c r="E144" s="955" t="s">
        <v>72</v>
      </c>
      <c r="F144" s="955"/>
      <c r="G144" s="955" t="str">
        <f>IFERROR(VLOOKUP(D144,[3]전용!E:J,6,0),"")</f>
        <v/>
      </c>
      <c r="H144" s="854">
        <v>19880</v>
      </c>
      <c r="I144" s="955">
        <v>5</v>
      </c>
      <c r="J144" s="955" t="s">
        <v>288</v>
      </c>
      <c r="K144" s="955">
        <v>12</v>
      </c>
      <c r="L144" s="970">
        <v>799</v>
      </c>
      <c r="M144" s="971">
        <f t="shared" si="48"/>
        <v>47940</v>
      </c>
      <c r="N144" s="855">
        <v>0.36923540291786394</v>
      </c>
      <c r="O144" s="855"/>
      <c r="P144" s="970">
        <v>699</v>
      </c>
      <c r="Q144" s="970">
        <f t="shared" si="49"/>
        <v>100</v>
      </c>
      <c r="R144" s="971">
        <f>P144*LEFT(I144,1)*12</f>
        <v>41940</v>
      </c>
      <c r="S144" s="856">
        <f t="shared" si="58"/>
        <v>0.19941460681252138</v>
      </c>
      <c r="T144" s="976">
        <v>149</v>
      </c>
      <c r="U144" s="976">
        <v>3</v>
      </c>
      <c r="V144" s="583">
        <v>0</v>
      </c>
      <c r="W144" s="971">
        <f t="shared" si="50"/>
        <v>1650</v>
      </c>
      <c r="X144" s="971">
        <f t="shared" si="59"/>
        <v>40290</v>
      </c>
      <c r="Y144" s="858">
        <f t="shared" si="60"/>
        <v>-3.9341917024320439E-2</v>
      </c>
      <c r="Z144" s="857">
        <f t="shared" si="61"/>
        <v>2.0266599597585513</v>
      </c>
      <c r="AA144" s="856">
        <v>0.17974364830036116</v>
      </c>
      <c r="AB144" s="856">
        <v>2.3814954063519949E-2</v>
      </c>
      <c r="AC144" s="970">
        <f t="shared" si="51"/>
        <v>699</v>
      </c>
      <c r="AD144" s="970"/>
      <c r="AE144" s="970">
        <f t="shared" si="46"/>
        <v>0</v>
      </c>
      <c r="AF144" s="971">
        <f t="shared" si="62"/>
        <v>41940</v>
      </c>
      <c r="AG144" s="857">
        <f t="shared" si="63"/>
        <v>0</v>
      </c>
      <c r="AH144" s="576">
        <v>149</v>
      </c>
      <c r="AI144" s="856">
        <f t="shared" si="65"/>
        <v>0.16007268978820094</v>
      </c>
      <c r="AJ144" s="859">
        <v>3</v>
      </c>
      <c r="AK144" s="583">
        <v>0</v>
      </c>
      <c r="AL144" s="971">
        <f t="shared" si="64"/>
        <v>1650</v>
      </c>
      <c r="AM144" s="971">
        <f t="shared" si="52"/>
        <v>40290</v>
      </c>
      <c r="AN144" s="858">
        <f t="shared" si="53"/>
        <v>-3.9341917024320439E-2</v>
      </c>
      <c r="AO144" s="857">
        <f t="shared" si="54"/>
        <v>2.0266599597585513</v>
      </c>
      <c r="AP144" s="973">
        <f t="shared" si="55"/>
        <v>0</v>
      </c>
      <c r="AQ144" s="855">
        <f t="shared" si="56"/>
        <v>0</v>
      </c>
      <c r="AR144" s="974">
        <f t="shared" si="83"/>
        <v>0.17974364830036116</v>
      </c>
      <c r="AS144" s="975"/>
      <c r="AT144" s="976" t="e">
        <v>#N/A</v>
      </c>
      <c r="AU144" s="971" t="e">
        <f>P144-#REF!</f>
        <v>#REF!</v>
      </c>
      <c r="AV144" s="976"/>
      <c r="AW144" s="970">
        <f t="shared" si="66"/>
        <v>699</v>
      </c>
      <c r="AX144" s="971">
        <f t="shared" si="67"/>
        <v>0</v>
      </c>
      <c r="AY144" s="971">
        <f t="shared" si="68"/>
        <v>41940</v>
      </c>
      <c r="AZ144" s="977"/>
      <c r="BA144" s="972">
        <v>6</v>
      </c>
      <c r="BB144" s="971">
        <f t="shared" si="69"/>
        <v>2097</v>
      </c>
      <c r="BC144" s="973">
        <f t="shared" si="70"/>
        <v>39843</v>
      </c>
      <c r="BD144" s="973">
        <f t="shared" si="71"/>
        <v>-447</v>
      </c>
      <c r="BE144" s="855">
        <f t="shared" si="72"/>
        <v>-1.1094564408041685E-2</v>
      </c>
      <c r="BF144" s="975">
        <f t="shared" si="73"/>
        <v>0.17419636609634032</v>
      </c>
      <c r="BG144" s="975"/>
      <c r="BH144" s="971"/>
      <c r="BI144" s="970">
        <f t="shared" si="74"/>
        <v>699</v>
      </c>
      <c r="BJ144" s="971">
        <f t="shared" si="75"/>
        <v>0</v>
      </c>
      <c r="BK144" s="971">
        <f t="shared" si="76"/>
        <v>41940</v>
      </c>
      <c r="BL144" s="977"/>
      <c r="BM144" s="972">
        <v>6</v>
      </c>
      <c r="BN144" s="971">
        <f t="shared" si="77"/>
        <v>2097</v>
      </c>
      <c r="BO144" s="973">
        <f t="shared" si="84"/>
        <v>39843</v>
      </c>
      <c r="BP144" s="973">
        <f t="shared" si="79"/>
        <v>0</v>
      </c>
      <c r="BQ144" s="855">
        <f t="shared" si="80"/>
        <v>0</v>
      </c>
      <c r="BR144" s="975">
        <f t="shared" si="81"/>
        <v>-1.1094564408041685E-2</v>
      </c>
      <c r="BS144" s="975"/>
      <c r="BT144" s="978"/>
      <c r="BU144" s="978"/>
      <c r="BV144" s="978">
        <v>0.18034875742982576</v>
      </c>
      <c r="BW144" s="978">
        <f t="shared" si="57"/>
        <v>0.17974364830036116</v>
      </c>
    </row>
    <row r="145" spans="1:75" hidden="1">
      <c r="A145" s="968">
        <v>2606</v>
      </c>
      <c r="B145" s="968" t="s">
        <v>285</v>
      </c>
      <c r="C145" s="969" t="s">
        <v>829</v>
      </c>
      <c r="D145" s="984" t="s">
        <v>73</v>
      </c>
      <c r="E145" s="955" t="s">
        <v>73</v>
      </c>
      <c r="F145" s="955"/>
      <c r="G145" s="955" t="str">
        <f>IFERROR(VLOOKUP(D145,[3]전용!E:J,6,0),"")</f>
        <v/>
      </c>
      <c r="H145" s="854">
        <v>32110</v>
      </c>
      <c r="I145" s="955">
        <v>5</v>
      </c>
      <c r="J145" s="955" t="s">
        <v>286</v>
      </c>
      <c r="K145" s="955">
        <v>6</v>
      </c>
      <c r="L145" s="970">
        <v>1349</v>
      </c>
      <c r="M145" s="971">
        <f t="shared" si="48"/>
        <v>80940</v>
      </c>
      <c r="N145" s="855">
        <v>0.31016121238676014</v>
      </c>
      <c r="O145" s="855"/>
      <c r="P145" s="970">
        <v>1199</v>
      </c>
      <c r="Q145" s="970">
        <f t="shared" si="49"/>
        <v>150</v>
      </c>
      <c r="R145" s="576">
        <f>(P145*((I145*12)-U145))</f>
        <v>68343</v>
      </c>
      <c r="S145" s="856">
        <f t="shared" si="58"/>
        <v>0.23294646297902871</v>
      </c>
      <c r="T145" s="580">
        <v>149</v>
      </c>
      <c r="U145" s="583">
        <v>3</v>
      </c>
      <c r="V145" s="583">
        <v>0</v>
      </c>
      <c r="W145" s="971">
        <f t="shared" si="50"/>
        <v>3150</v>
      </c>
      <c r="X145" s="971">
        <f t="shared" si="59"/>
        <v>65193</v>
      </c>
      <c r="Y145" s="858">
        <f t="shared" si="60"/>
        <v>-4.6091040779597026E-2</v>
      </c>
      <c r="Z145" s="857">
        <f t="shared" si="61"/>
        <v>2.0303020865773904</v>
      </c>
      <c r="AA145" s="856">
        <v>0.2099009425892302</v>
      </c>
      <c r="AB145" s="856">
        <v>2.7354894302206265E-2</v>
      </c>
      <c r="AC145" s="970">
        <f t="shared" si="51"/>
        <v>1199</v>
      </c>
      <c r="AD145" s="970"/>
      <c r="AE145" s="970">
        <f t="shared" si="46"/>
        <v>0</v>
      </c>
      <c r="AF145" s="971">
        <f t="shared" si="62"/>
        <v>71940</v>
      </c>
      <c r="AG145" s="857">
        <f t="shared" si="63"/>
        <v>5.2631578947368363E-2</v>
      </c>
      <c r="AH145" s="576">
        <v>149</v>
      </c>
      <c r="AI145" s="856">
        <f t="shared" si="65"/>
        <v>0.21559501587572527</v>
      </c>
      <c r="AJ145" s="859">
        <v>3</v>
      </c>
      <c r="AK145" s="583">
        <v>0</v>
      </c>
      <c r="AL145" s="971">
        <f t="shared" si="64"/>
        <v>3150</v>
      </c>
      <c r="AM145" s="971">
        <f t="shared" si="52"/>
        <v>68790</v>
      </c>
      <c r="AN145" s="858">
        <f t="shared" si="53"/>
        <v>-4.3786488740617191E-2</v>
      </c>
      <c r="AO145" s="857">
        <f t="shared" si="54"/>
        <v>2.1423232637807534</v>
      </c>
      <c r="AP145" s="973">
        <f t="shared" si="55"/>
        <v>3597</v>
      </c>
      <c r="AQ145" s="855">
        <f t="shared" si="56"/>
        <v>5.5174635313607334E-2</v>
      </c>
      <c r="AR145" s="974">
        <f t="shared" si="83"/>
        <v>0.23748826024603387</v>
      </c>
      <c r="AS145" s="975"/>
      <c r="AT145" s="976" t="e">
        <v>#N/A</v>
      </c>
      <c r="AU145" s="971" t="e">
        <f>P145-#REF!</f>
        <v>#REF!</v>
      </c>
      <c r="AV145" s="976"/>
      <c r="AW145" s="970">
        <f t="shared" si="66"/>
        <v>1199</v>
      </c>
      <c r="AX145" s="971">
        <f t="shared" si="67"/>
        <v>0</v>
      </c>
      <c r="AY145" s="576">
        <f>(AW145*((I$145*12)-BA145))</f>
        <v>64746</v>
      </c>
      <c r="AZ145" s="580">
        <v>149</v>
      </c>
      <c r="BA145" s="583">
        <v>6</v>
      </c>
      <c r="BB145" s="576">
        <f t="shared" ref="BB145:BB146" si="85">AZ145*BA145</f>
        <v>894</v>
      </c>
      <c r="BC145" s="709">
        <f t="shared" ref="BC145:BC146" si="86">AY145+BB145</f>
        <v>65640</v>
      </c>
      <c r="BD145" s="973">
        <f t="shared" si="71"/>
        <v>-3150</v>
      </c>
      <c r="BE145" s="855">
        <f t="shared" si="72"/>
        <v>-4.5791539467945896E-2</v>
      </c>
      <c r="BF145" s="975">
        <f t="shared" si="73"/>
        <v>0.21459249051206092</v>
      </c>
      <c r="BG145" s="975"/>
      <c r="BH145" s="971">
        <f t="shared" ref="BH145:BH146" si="87">AX145</f>
        <v>0</v>
      </c>
      <c r="BI145" s="970">
        <f t="shared" si="74"/>
        <v>1199</v>
      </c>
      <c r="BJ145" s="971">
        <f t="shared" si="75"/>
        <v>0</v>
      </c>
      <c r="BK145" s="576">
        <f>(BI145*((I$145*12)-BM145))</f>
        <v>64746</v>
      </c>
      <c r="BL145" s="580">
        <v>149</v>
      </c>
      <c r="BM145" s="583">
        <v>6</v>
      </c>
      <c r="BN145" s="576">
        <f t="shared" ref="BN145:BN146" si="88">BL145*BM145</f>
        <v>894</v>
      </c>
      <c r="BO145" s="709">
        <f t="shared" ref="BO145:BO146" si="89">BK145+BN145</f>
        <v>65640</v>
      </c>
      <c r="BP145" s="973">
        <f t="shared" si="79"/>
        <v>0</v>
      </c>
      <c r="BQ145" s="855">
        <f t="shared" si="80"/>
        <v>0</v>
      </c>
      <c r="BR145" s="975">
        <f t="shared" si="81"/>
        <v>-4.5791539467945896E-2</v>
      </c>
      <c r="BS145" s="975"/>
      <c r="BT145" s="978"/>
      <c r="BU145" s="978"/>
      <c r="BV145" s="978">
        <v>0.2034266125739061</v>
      </c>
      <c r="BW145" s="978">
        <f t="shared" si="57"/>
        <v>0.17190094258923019</v>
      </c>
    </row>
    <row r="146" spans="1:75" hidden="1">
      <c r="A146" s="968">
        <v>2606</v>
      </c>
      <c r="B146" s="968" t="s">
        <v>285</v>
      </c>
      <c r="C146" s="969" t="s">
        <v>829</v>
      </c>
      <c r="D146" s="984" t="s">
        <v>73</v>
      </c>
      <c r="E146" s="955" t="s">
        <v>73</v>
      </c>
      <c r="F146" s="955"/>
      <c r="G146" s="955" t="str">
        <f>IFERROR(VLOOKUP(D146,[3]전용!E:J,6,0),"")</f>
        <v/>
      </c>
      <c r="H146" s="854">
        <v>32110</v>
      </c>
      <c r="I146" s="955">
        <v>5</v>
      </c>
      <c r="J146" s="955" t="s">
        <v>286</v>
      </c>
      <c r="K146" s="955">
        <v>12</v>
      </c>
      <c r="L146" s="970">
        <v>1299</v>
      </c>
      <c r="M146" s="971">
        <f t="shared" si="48"/>
        <v>77940</v>
      </c>
      <c r="N146" s="855">
        <v>0.31095821855106093</v>
      </c>
      <c r="O146" s="855"/>
      <c r="P146" s="970">
        <v>1149</v>
      </c>
      <c r="Q146" s="970">
        <f t="shared" si="49"/>
        <v>150</v>
      </c>
      <c r="R146" s="576">
        <f>(P146*((I146*12)-U146))</f>
        <v>65493</v>
      </c>
      <c r="S146" s="856">
        <f t="shared" si="58"/>
        <v>0.23280415361941664</v>
      </c>
      <c r="T146" s="580">
        <v>149</v>
      </c>
      <c r="U146" s="583">
        <v>3</v>
      </c>
      <c r="V146" s="583">
        <v>0</v>
      </c>
      <c r="W146" s="971">
        <f t="shared" si="50"/>
        <v>3000</v>
      </c>
      <c r="X146" s="971">
        <f t="shared" si="59"/>
        <v>62493</v>
      </c>
      <c r="Y146" s="858">
        <f t="shared" si="60"/>
        <v>-4.5806422060372887E-2</v>
      </c>
      <c r="Z146" s="857">
        <f t="shared" si="61"/>
        <v>1.9462161320460916</v>
      </c>
      <c r="AA146" s="856">
        <v>0.2099009425892302</v>
      </c>
      <c r="AB146" s="856">
        <v>2.7354894302206265E-2</v>
      </c>
      <c r="AC146" s="970">
        <f t="shared" si="51"/>
        <v>1149</v>
      </c>
      <c r="AD146" s="970"/>
      <c r="AE146" s="970">
        <f t="shared" si="46"/>
        <v>0</v>
      </c>
      <c r="AF146" s="971">
        <f t="shared" si="62"/>
        <v>68940</v>
      </c>
      <c r="AG146" s="857">
        <f t="shared" si="63"/>
        <v>5.2631578947368363E-2</v>
      </c>
      <c r="AH146" s="576">
        <v>149</v>
      </c>
      <c r="AI146" s="856">
        <f t="shared" si="65"/>
        <v>0.2157219809685052</v>
      </c>
      <c r="AJ146" s="859">
        <v>3</v>
      </c>
      <c r="AK146" s="583">
        <v>0</v>
      </c>
      <c r="AL146" s="971">
        <f t="shared" si="64"/>
        <v>3000</v>
      </c>
      <c r="AM146" s="971">
        <f t="shared" si="52"/>
        <v>65940</v>
      </c>
      <c r="AN146" s="858">
        <f t="shared" si="53"/>
        <v>-4.3516100957354253E-2</v>
      </c>
      <c r="AO146" s="857">
        <f t="shared" si="54"/>
        <v>2.0535658673310495</v>
      </c>
      <c r="AP146" s="973">
        <f t="shared" si="55"/>
        <v>3447</v>
      </c>
      <c r="AQ146" s="855">
        <f t="shared" si="56"/>
        <v>5.5158177715904255E-2</v>
      </c>
      <c r="AR146" s="974">
        <f t="shared" si="83"/>
        <v>0.23748003144718233</v>
      </c>
      <c r="AS146" s="975"/>
      <c r="AT146" s="976" t="e">
        <v>#N/A</v>
      </c>
      <c r="AU146" s="971" t="e">
        <f>P146-#REF!</f>
        <v>#REF!</v>
      </c>
      <c r="AV146" s="976"/>
      <c r="AW146" s="970">
        <f t="shared" si="66"/>
        <v>1149</v>
      </c>
      <c r="AX146" s="971">
        <f t="shared" si="67"/>
        <v>0</v>
      </c>
      <c r="AY146" s="576">
        <f>(AW146*((I$145*12)-BA146))</f>
        <v>62046</v>
      </c>
      <c r="AZ146" s="580">
        <v>149</v>
      </c>
      <c r="BA146" s="583">
        <v>6</v>
      </c>
      <c r="BB146" s="576">
        <f t="shared" si="85"/>
        <v>894</v>
      </c>
      <c r="BC146" s="709">
        <f t="shared" si="86"/>
        <v>62940</v>
      </c>
      <c r="BD146" s="973">
        <f t="shared" si="71"/>
        <v>-3000</v>
      </c>
      <c r="BE146" s="855">
        <f t="shared" si="72"/>
        <v>-4.5495905368516887E-2</v>
      </c>
      <c r="BF146" s="975">
        <f t="shared" si="73"/>
        <v>0.21473207876292388</v>
      </c>
      <c r="BG146" s="975"/>
      <c r="BH146" s="971">
        <f t="shared" si="87"/>
        <v>0</v>
      </c>
      <c r="BI146" s="970">
        <f t="shared" si="74"/>
        <v>1149</v>
      </c>
      <c r="BJ146" s="971">
        <f t="shared" si="75"/>
        <v>0</v>
      </c>
      <c r="BK146" s="576">
        <f>(BI146*((I$145*12)-BM146))</f>
        <v>62046</v>
      </c>
      <c r="BL146" s="580">
        <v>149</v>
      </c>
      <c r="BM146" s="583">
        <v>6</v>
      </c>
      <c r="BN146" s="576">
        <f t="shared" si="88"/>
        <v>894</v>
      </c>
      <c r="BO146" s="709">
        <f t="shared" si="89"/>
        <v>62940</v>
      </c>
      <c r="BP146" s="973">
        <f t="shared" si="79"/>
        <v>0</v>
      </c>
      <c r="BQ146" s="855">
        <f t="shared" si="80"/>
        <v>0</v>
      </c>
      <c r="BR146" s="975">
        <f t="shared" si="81"/>
        <v>-4.5495905368516887E-2</v>
      </c>
      <c r="BS146" s="975"/>
      <c r="BT146" s="978"/>
      <c r="BU146" s="978"/>
      <c r="BV146" s="978">
        <v>0.2034266125739061</v>
      </c>
      <c r="BW146" s="978">
        <f t="shared" si="57"/>
        <v>0.17190094258923019</v>
      </c>
    </row>
    <row r="147" spans="1:75" hidden="1">
      <c r="A147" s="968">
        <v>2606</v>
      </c>
      <c r="B147" s="968" t="s">
        <v>285</v>
      </c>
      <c r="C147" s="969" t="s">
        <v>829</v>
      </c>
      <c r="D147" s="984" t="s">
        <v>73</v>
      </c>
      <c r="E147" s="955" t="s">
        <v>73</v>
      </c>
      <c r="F147" s="955"/>
      <c r="G147" s="955" t="str">
        <f>IFERROR(VLOOKUP(D147,[3]전용!E:J,6,0),"")</f>
        <v/>
      </c>
      <c r="H147" s="854">
        <v>32110</v>
      </c>
      <c r="I147" s="955">
        <v>5</v>
      </c>
      <c r="J147" s="955" t="s">
        <v>288</v>
      </c>
      <c r="K147" s="955">
        <v>6</v>
      </c>
      <c r="L147" s="970">
        <v>1299</v>
      </c>
      <c r="M147" s="971">
        <f t="shared" si="48"/>
        <v>77940</v>
      </c>
      <c r="N147" s="855">
        <v>0.31095821855106093</v>
      </c>
      <c r="O147" s="855"/>
      <c r="P147" s="970">
        <v>1149</v>
      </c>
      <c r="Q147" s="970">
        <f t="shared" si="49"/>
        <v>150</v>
      </c>
      <c r="R147" s="971">
        <f t="shared" ref="R147:R150" si="90">P147*LEFT(I147,1)*12</f>
        <v>68940</v>
      </c>
      <c r="S147" s="856">
        <f t="shared" si="58"/>
        <v>0.23165899306790733</v>
      </c>
      <c r="T147" s="976">
        <v>149</v>
      </c>
      <c r="U147" s="976">
        <v>3</v>
      </c>
      <c r="V147" s="583">
        <v>0</v>
      </c>
      <c r="W147" s="971">
        <f t="shared" si="50"/>
        <v>3000</v>
      </c>
      <c r="X147" s="971">
        <f t="shared" si="59"/>
        <v>65940</v>
      </c>
      <c r="Y147" s="858">
        <f t="shared" si="60"/>
        <v>-4.3516100957354253E-2</v>
      </c>
      <c r="Z147" s="857">
        <f t="shared" si="61"/>
        <v>2.0535658673310495</v>
      </c>
      <c r="AA147" s="856">
        <v>0.2099009425892302</v>
      </c>
      <c r="AB147" s="856">
        <v>2.7354894302206265E-2</v>
      </c>
      <c r="AC147" s="970">
        <f t="shared" si="51"/>
        <v>1149</v>
      </c>
      <c r="AD147" s="970"/>
      <c r="AE147" s="970">
        <f t="shared" si="46"/>
        <v>0</v>
      </c>
      <c r="AF147" s="971">
        <f t="shared" si="62"/>
        <v>68940</v>
      </c>
      <c r="AG147" s="857">
        <f t="shared" si="63"/>
        <v>0</v>
      </c>
      <c r="AH147" s="576">
        <v>149</v>
      </c>
      <c r="AI147" s="856">
        <f t="shared" si="65"/>
        <v>0.18814289211055307</v>
      </c>
      <c r="AJ147" s="859">
        <v>3</v>
      </c>
      <c r="AK147" s="583">
        <v>0</v>
      </c>
      <c r="AL147" s="971">
        <f t="shared" si="64"/>
        <v>3000</v>
      </c>
      <c r="AM147" s="971">
        <f t="shared" si="52"/>
        <v>65940</v>
      </c>
      <c r="AN147" s="858">
        <f t="shared" si="53"/>
        <v>-4.3516100957354253E-2</v>
      </c>
      <c r="AO147" s="857">
        <f t="shared" si="54"/>
        <v>2.0535658673310495</v>
      </c>
      <c r="AP147" s="973">
        <f t="shared" si="55"/>
        <v>0</v>
      </c>
      <c r="AQ147" s="855">
        <f t="shared" si="56"/>
        <v>0</v>
      </c>
      <c r="AR147" s="974">
        <f t="shared" si="83"/>
        <v>0.2099009425892302</v>
      </c>
      <c r="AS147" s="975"/>
      <c r="AT147" s="976" t="e">
        <v>#N/A</v>
      </c>
      <c r="AU147" s="971" t="e">
        <f>P147-#REF!</f>
        <v>#REF!</v>
      </c>
      <c r="AV147" s="976"/>
      <c r="AW147" s="970">
        <f t="shared" si="66"/>
        <v>1149</v>
      </c>
      <c r="AX147" s="971">
        <f t="shared" si="67"/>
        <v>0</v>
      </c>
      <c r="AY147" s="971">
        <f t="shared" ref="AY147:AY152" si="91">AW147*LEFT(I147,1)*12</f>
        <v>68940</v>
      </c>
      <c r="AZ147" s="977"/>
      <c r="BA147" s="972">
        <v>6</v>
      </c>
      <c r="BB147" s="971">
        <f t="shared" si="69"/>
        <v>3447</v>
      </c>
      <c r="BC147" s="973">
        <f t="shared" si="70"/>
        <v>65493</v>
      </c>
      <c r="BD147" s="973">
        <f t="shared" si="71"/>
        <v>-447</v>
      </c>
      <c r="BE147" s="855">
        <f t="shared" si="72"/>
        <v>-6.7788898999090463E-3</v>
      </c>
      <c r="BF147" s="975">
        <f t="shared" si="73"/>
        <v>0.20651149763927568</v>
      </c>
      <c r="BG147" s="975"/>
      <c r="BH147" s="971"/>
      <c r="BI147" s="970">
        <f t="shared" si="74"/>
        <v>1149</v>
      </c>
      <c r="BJ147" s="971">
        <f t="shared" si="75"/>
        <v>0</v>
      </c>
      <c r="BK147" s="971">
        <f t="shared" ref="BK147:BK152" si="92">BI147*LEFT(I147,1)*12</f>
        <v>68940</v>
      </c>
      <c r="BL147" s="977"/>
      <c r="BM147" s="972">
        <v>6</v>
      </c>
      <c r="BN147" s="971">
        <f t="shared" si="77"/>
        <v>3447</v>
      </c>
      <c r="BO147" s="973">
        <f t="shared" ref="BO147:BO150" si="93">BK147-BN147</f>
        <v>65493</v>
      </c>
      <c r="BP147" s="973">
        <f t="shared" si="79"/>
        <v>0</v>
      </c>
      <c r="BQ147" s="855">
        <f t="shared" si="80"/>
        <v>0</v>
      </c>
      <c r="BR147" s="975">
        <f t="shared" si="81"/>
        <v>-6.7788898999090463E-3</v>
      </c>
      <c r="BS147" s="975"/>
      <c r="BT147" s="978"/>
      <c r="BU147" s="978"/>
      <c r="BV147" s="978">
        <v>0.2034266125739061</v>
      </c>
      <c r="BW147" s="978">
        <f t="shared" si="57"/>
        <v>0.17190094258923019</v>
      </c>
    </row>
    <row r="148" spans="1:75" hidden="1">
      <c r="A148" s="979">
        <v>2606</v>
      </c>
      <c r="B148" s="979" t="s">
        <v>285</v>
      </c>
      <c r="C148" s="980" t="s">
        <v>829</v>
      </c>
      <c r="D148" s="985" t="s">
        <v>73</v>
      </c>
      <c r="E148" s="955" t="s">
        <v>73</v>
      </c>
      <c r="F148" s="955"/>
      <c r="G148" s="955" t="str">
        <f>IFERROR(VLOOKUP(D148,[3]전용!E:J,6,0),"")</f>
        <v/>
      </c>
      <c r="H148" s="854">
        <v>32110</v>
      </c>
      <c r="I148" s="955">
        <v>5</v>
      </c>
      <c r="J148" s="955" t="s">
        <v>288</v>
      </c>
      <c r="K148" s="955">
        <v>12</v>
      </c>
      <c r="L148" s="970">
        <v>1249</v>
      </c>
      <c r="M148" s="971">
        <f t="shared" si="48"/>
        <v>74940</v>
      </c>
      <c r="N148" s="855">
        <v>0.31182169728953185</v>
      </c>
      <c r="O148" s="855"/>
      <c r="P148" s="970">
        <v>1099</v>
      </c>
      <c r="Q148" s="970">
        <f t="shared" si="49"/>
        <v>150</v>
      </c>
      <c r="R148" s="971">
        <f t="shared" si="90"/>
        <v>65940</v>
      </c>
      <c r="S148" s="856">
        <f t="shared" si="58"/>
        <v>0.2315114976392757</v>
      </c>
      <c r="T148" s="976">
        <v>149</v>
      </c>
      <c r="U148" s="976">
        <v>3</v>
      </c>
      <c r="V148" s="583">
        <v>0</v>
      </c>
      <c r="W148" s="971">
        <f t="shared" si="50"/>
        <v>2850</v>
      </c>
      <c r="X148" s="971">
        <f t="shared" si="59"/>
        <v>63090</v>
      </c>
      <c r="Y148" s="858">
        <f t="shared" si="60"/>
        <v>-4.3221110100090998E-2</v>
      </c>
      <c r="Z148" s="857">
        <f t="shared" si="61"/>
        <v>1.9648084708813454</v>
      </c>
      <c r="AA148" s="856">
        <v>0.2099009425892302</v>
      </c>
      <c r="AB148" s="856">
        <v>2.7354894302206265E-2</v>
      </c>
      <c r="AC148" s="970">
        <f t="shared" si="51"/>
        <v>1099</v>
      </c>
      <c r="AD148" s="970"/>
      <c r="AE148" s="970">
        <f t="shared" si="46"/>
        <v>0</v>
      </c>
      <c r="AF148" s="971">
        <f t="shared" si="62"/>
        <v>65940</v>
      </c>
      <c r="AG148" s="857">
        <f t="shared" si="63"/>
        <v>0</v>
      </c>
      <c r="AH148" s="576">
        <v>149</v>
      </c>
      <c r="AI148" s="856">
        <f t="shared" si="65"/>
        <v>0.1882903875391847</v>
      </c>
      <c r="AJ148" s="859">
        <v>3</v>
      </c>
      <c r="AK148" s="583">
        <v>0</v>
      </c>
      <c r="AL148" s="971">
        <f t="shared" si="64"/>
        <v>2850</v>
      </c>
      <c r="AM148" s="971">
        <f t="shared" si="52"/>
        <v>63090</v>
      </c>
      <c r="AN148" s="858">
        <f t="shared" si="53"/>
        <v>-4.3221110100090998E-2</v>
      </c>
      <c r="AO148" s="857">
        <f t="shared" si="54"/>
        <v>1.9648084708813454</v>
      </c>
      <c r="AP148" s="973">
        <f t="shared" si="55"/>
        <v>0</v>
      </c>
      <c r="AQ148" s="855">
        <f t="shared" si="56"/>
        <v>0</v>
      </c>
      <c r="AR148" s="974">
        <f t="shared" si="83"/>
        <v>0.2099009425892302</v>
      </c>
      <c r="AS148" s="975"/>
      <c r="AT148" s="976" t="e">
        <v>#N/A</v>
      </c>
      <c r="AU148" s="971" t="e">
        <f>P148-#REF!</f>
        <v>#REF!</v>
      </c>
      <c r="AV148" s="976"/>
      <c r="AW148" s="970">
        <f t="shared" si="66"/>
        <v>1099</v>
      </c>
      <c r="AX148" s="971">
        <f t="shared" si="67"/>
        <v>0</v>
      </c>
      <c r="AY148" s="971">
        <f t="shared" si="91"/>
        <v>65940</v>
      </c>
      <c r="AZ148" s="977"/>
      <c r="BA148" s="972">
        <v>6</v>
      </c>
      <c r="BB148" s="971">
        <f t="shared" si="69"/>
        <v>3297</v>
      </c>
      <c r="BC148" s="973">
        <f t="shared" si="70"/>
        <v>62643</v>
      </c>
      <c r="BD148" s="973">
        <f t="shared" si="71"/>
        <v>-447</v>
      </c>
      <c r="BE148" s="855">
        <f t="shared" si="72"/>
        <v>-7.085116500237798E-3</v>
      </c>
      <c r="BF148" s="975">
        <f t="shared" si="73"/>
        <v>0.2063583843391113</v>
      </c>
      <c r="BG148" s="975"/>
      <c r="BH148" s="971"/>
      <c r="BI148" s="970">
        <f t="shared" si="74"/>
        <v>1099</v>
      </c>
      <c r="BJ148" s="971">
        <f t="shared" si="75"/>
        <v>0</v>
      </c>
      <c r="BK148" s="971">
        <f t="shared" si="92"/>
        <v>65940</v>
      </c>
      <c r="BL148" s="977"/>
      <c r="BM148" s="972">
        <v>6</v>
      </c>
      <c r="BN148" s="971">
        <f t="shared" si="77"/>
        <v>3297</v>
      </c>
      <c r="BO148" s="973">
        <f t="shared" si="93"/>
        <v>62643</v>
      </c>
      <c r="BP148" s="973">
        <f t="shared" si="79"/>
        <v>0</v>
      </c>
      <c r="BQ148" s="855">
        <f t="shared" si="80"/>
        <v>0</v>
      </c>
      <c r="BR148" s="975">
        <f t="shared" si="81"/>
        <v>-7.085116500237798E-3</v>
      </c>
      <c r="BS148" s="975"/>
      <c r="BT148" s="978"/>
      <c r="BU148" s="978"/>
      <c r="BV148" s="978">
        <v>0.2034266125739061</v>
      </c>
      <c r="BW148" s="978">
        <f t="shared" si="57"/>
        <v>0.17190094258923019</v>
      </c>
    </row>
    <row r="149" spans="1:75" hidden="1">
      <c r="A149" s="968">
        <v>2606</v>
      </c>
      <c r="B149" s="968" t="s">
        <v>285</v>
      </c>
      <c r="C149" s="969" t="s">
        <v>829</v>
      </c>
      <c r="D149" s="984" t="s">
        <v>337</v>
      </c>
      <c r="E149" s="955" t="s">
        <v>337</v>
      </c>
      <c r="F149" s="955"/>
      <c r="G149" s="955" t="str">
        <f>IFERROR(VLOOKUP(D149,[3]전용!E:J,6,0),"")</f>
        <v/>
      </c>
      <c r="H149" s="854">
        <v>15440</v>
      </c>
      <c r="I149" s="955">
        <v>5</v>
      </c>
      <c r="J149" s="955" t="s">
        <v>286</v>
      </c>
      <c r="K149" s="955">
        <v>12</v>
      </c>
      <c r="L149" s="970">
        <v>599</v>
      </c>
      <c r="M149" s="971">
        <f t="shared" si="48"/>
        <v>35940</v>
      </c>
      <c r="N149" s="855" t="e">
        <f>_xlfn.XLOOKUP(D149,#REF!,#REF!)</f>
        <v>#REF!</v>
      </c>
      <c r="O149" s="855"/>
      <c r="P149" s="970">
        <v>599</v>
      </c>
      <c r="Q149" s="970">
        <f t="shared" si="49"/>
        <v>0</v>
      </c>
      <c r="R149" s="971">
        <f t="shared" si="90"/>
        <v>35940</v>
      </c>
      <c r="S149" s="856">
        <f t="shared" si="58"/>
        <v>0.15949198135137646</v>
      </c>
      <c r="T149" s="971"/>
      <c r="U149" s="971"/>
      <c r="V149" s="972">
        <v>6</v>
      </c>
      <c r="W149" s="971">
        <f t="shared" si="50"/>
        <v>1797</v>
      </c>
      <c r="X149" s="971">
        <f t="shared" si="59"/>
        <v>34143</v>
      </c>
      <c r="Y149" s="858">
        <f t="shared" si="60"/>
        <v>-5.0000000000000044E-2</v>
      </c>
      <c r="Z149" s="857">
        <f t="shared" si="61"/>
        <v>2.2113341968911917</v>
      </c>
      <c r="AA149" s="856">
        <v>0.13449198135137644</v>
      </c>
      <c r="AB149" s="856">
        <v>3.1367308253935538E-3</v>
      </c>
      <c r="AC149" s="970">
        <f t="shared" si="51"/>
        <v>599</v>
      </c>
      <c r="AD149" s="970"/>
      <c r="AE149" s="970">
        <f t="shared" si="46"/>
        <v>0</v>
      </c>
      <c r="AF149" s="971">
        <f t="shared" si="62"/>
        <v>35940</v>
      </c>
      <c r="AG149" s="857">
        <f t="shared" si="63"/>
        <v>0</v>
      </c>
      <c r="AH149" s="576">
        <v>0</v>
      </c>
      <c r="AI149" s="856">
        <f t="shared" si="65"/>
        <v>0.10949198135137642</v>
      </c>
      <c r="AJ149" s="859">
        <v>0</v>
      </c>
      <c r="AK149" s="583">
        <v>6</v>
      </c>
      <c r="AL149" s="971">
        <f t="shared" si="64"/>
        <v>1797</v>
      </c>
      <c r="AM149" s="971">
        <f t="shared" si="52"/>
        <v>34143</v>
      </c>
      <c r="AN149" s="858">
        <f t="shared" si="53"/>
        <v>-5.0000000000000044E-2</v>
      </c>
      <c r="AO149" s="857">
        <f t="shared" si="54"/>
        <v>2.2113341968911917</v>
      </c>
      <c r="AP149" s="973">
        <f t="shared" si="55"/>
        <v>0</v>
      </c>
      <c r="AQ149" s="855">
        <f t="shared" si="56"/>
        <v>0</v>
      </c>
      <c r="AR149" s="974">
        <f t="shared" si="83"/>
        <v>0.13449198135137644</v>
      </c>
      <c r="AS149" s="975"/>
      <c r="AT149" s="976"/>
      <c r="AU149" s="971" t="e">
        <f>P149-#REF!</f>
        <v>#REF!</v>
      </c>
      <c r="AV149" s="976"/>
      <c r="AW149" s="970">
        <f t="shared" si="66"/>
        <v>599</v>
      </c>
      <c r="AX149" s="971">
        <f t="shared" si="67"/>
        <v>0</v>
      </c>
      <c r="AY149" s="971">
        <f t="shared" si="91"/>
        <v>35940</v>
      </c>
      <c r="AZ149" s="977"/>
      <c r="BA149" s="972">
        <v>6</v>
      </c>
      <c r="BB149" s="971">
        <f t="shared" si="69"/>
        <v>1797</v>
      </c>
      <c r="BC149" s="973">
        <f t="shared" si="70"/>
        <v>34143</v>
      </c>
      <c r="BD149" s="973">
        <f t="shared" si="71"/>
        <v>0</v>
      </c>
      <c r="BE149" s="855">
        <f t="shared" si="72"/>
        <v>0</v>
      </c>
      <c r="BF149" s="975">
        <f t="shared" si="73"/>
        <v>0.13449198135137644</v>
      </c>
      <c r="BG149" s="975"/>
      <c r="BH149" s="971">
        <f t="shared" ref="BH149:BH150" si="94">AX149*1.1</f>
        <v>0</v>
      </c>
      <c r="BI149" s="970">
        <f t="shared" si="74"/>
        <v>599</v>
      </c>
      <c r="BJ149" s="971">
        <f t="shared" si="75"/>
        <v>0</v>
      </c>
      <c r="BK149" s="971">
        <f t="shared" si="92"/>
        <v>35940</v>
      </c>
      <c r="BL149" s="977"/>
      <c r="BM149" s="972">
        <v>6</v>
      </c>
      <c r="BN149" s="971">
        <f t="shared" si="77"/>
        <v>1797</v>
      </c>
      <c r="BO149" s="973">
        <f t="shared" si="93"/>
        <v>34143</v>
      </c>
      <c r="BP149" s="973">
        <f t="shared" si="79"/>
        <v>0</v>
      </c>
      <c r="BQ149" s="855">
        <f t="shared" si="80"/>
        <v>0</v>
      </c>
      <c r="BR149" s="975">
        <f t="shared" si="81"/>
        <v>0</v>
      </c>
      <c r="BS149" s="975"/>
      <c r="BT149" s="978"/>
      <c r="BU149" s="978"/>
      <c r="BV149" s="978">
        <v>0.13449198135137644</v>
      </c>
      <c r="BW149" s="978">
        <f t="shared" si="57"/>
        <v>0.13449198135137644</v>
      </c>
    </row>
    <row r="150" spans="1:75" hidden="1">
      <c r="A150" s="968">
        <v>2606</v>
      </c>
      <c r="B150" s="968" t="s">
        <v>285</v>
      </c>
      <c r="C150" s="969" t="s">
        <v>829</v>
      </c>
      <c r="D150" s="984" t="s">
        <v>337</v>
      </c>
      <c r="E150" s="955" t="s">
        <v>337</v>
      </c>
      <c r="F150" s="955"/>
      <c r="G150" s="955" t="str">
        <f>IFERROR(VLOOKUP(D150,[3]전용!E:J,6,0),"")</f>
        <v/>
      </c>
      <c r="H150" s="854">
        <v>15440</v>
      </c>
      <c r="I150" s="955">
        <v>5</v>
      </c>
      <c r="J150" s="955" t="s">
        <v>288</v>
      </c>
      <c r="K150" s="955">
        <v>12</v>
      </c>
      <c r="L150" s="970">
        <v>549</v>
      </c>
      <c r="M150" s="971">
        <f t="shared" si="48"/>
        <v>32940</v>
      </c>
      <c r="N150" s="855" t="e">
        <f>_xlfn.XLOOKUP(D150,#REF!,#REF!)</f>
        <v>#REF!</v>
      </c>
      <c r="O150" s="855"/>
      <c r="P150" s="970">
        <v>549</v>
      </c>
      <c r="Q150" s="970">
        <f t="shared" si="49"/>
        <v>0</v>
      </c>
      <c r="R150" s="971">
        <f t="shared" si="90"/>
        <v>32940</v>
      </c>
      <c r="S150" s="856">
        <f t="shared" si="58"/>
        <v>0.15949198135137646</v>
      </c>
      <c r="T150" s="971"/>
      <c r="U150" s="971"/>
      <c r="V150" s="972">
        <v>6</v>
      </c>
      <c r="W150" s="971">
        <f t="shared" si="50"/>
        <v>1647</v>
      </c>
      <c r="X150" s="971">
        <f t="shared" si="59"/>
        <v>31293</v>
      </c>
      <c r="Y150" s="858">
        <f t="shared" si="60"/>
        <v>-5.0000000000000044E-2</v>
      </c>
      <c r="Z150" s="857">
        <f t="shared" si="61"/>
        <v>2.0267487046632122</v>
      </c>
      <c r="AA150" s="856">
        <v>0.13449198135137644</v>
      </c>
      <c r="AB150" s="856">
        <v>3.1367308253935538E-3</v>
      </c>
      <c r="AC150" s="970">
        <f t="shared" si="51"/>
        <v>549</v>
      </c>
      <c r="AD150" s="970"/>
      <c r="AE150" s="970">
        <f t="shared" si="46"/>
        <v>0</v>
      </c>
      <c r="AF150" s="971">
        <f t="shared" si="62"/>
        <v>32940</v>
      </c>
      <c r="AG150" s="857">
        <f t="shared" si="63"/>
        <v>0</v>
      </c>
      <c r="AH150" s="576">
        <v>0</v>
      </c>
      <c r="AI150" s="856">
        <f t="shared" si="65"/>
        <v>0.10949198135137642</v>
      </c>
      <c r="AJ150" s="859">
        <v>0</v>
      </c>
      <c r="AK150" s="583">
        <v>6</v>
      </c>
      <c r="AL150" s="971">
        <f t="shared" si="64"/>
        <v>1647</v>
      </c>
      <c r="AM150" s="971">
        <f t="shared" si="52"/>
        <v>31293</v>
      </c>
      <c r="AN150" s="858">
        <f t="shared" si="53"/>
        <v>-5.0000000000000044E-2</v>
      </c>
      <c r="AO150" s="857">
        <f t="shared" si="54"/>
        <v>2.0267487046632122</v>
      </c>
      <c r="AP150" s="973">
        <f t="shared" si="55"/>
        <v>0</v>
      </c>
      <c r="AQ150" s="855">
        <f t="shared" si="56"/>
        <v>0</v>
      </c>
      <c r="AR150" s="974">
        <f t="shared" si="83"/>
        <v>0.13449198135137644</v>
      </c>
      <c r="AS150" s="975"/>
      <c r="AT150" s="976"/>
      <c r="AU150" s="971" t="e">
        <f>P150-#REF!</f>
        <v>#REF!</v>
      </c>
      <c r="AV150" s="976"/>
      <c r="AW150" s="970">
        <f t="shared" si="66"/>
        <v>549</v>
      </c>
      <c r="AX150" s="971">
        <f t="shared" si="67"/>
        <v>0</v>
      </c>
      <c r="AY150" s="971">
        <f t="shared" si="91"/>
        <v>32940</v>
      </c>
      <c r="AZ150" s="977"/>
      <c r="BA150" s="972">
        <v>6</v>
      </c>
      <c r="BB150" s="971">
        <f t="shared" si="69"/>
        <v>1647</v>
      </c>
      <c r="BC150" s="973">
        <f t="shared" si="70"/>
        <v>31293</v>
      </c>
      <c r="BD150" s="973">
        <f t="shared" si="71"/>
        <v>0</v>
      </c>
      <c r="BE150" s="855">
        <f t="shared" si="72"/>
        <v>0</v>
      </c>
      <c r="BF150" s="975">
        <f t="shared" si="73"/>
        <v>0.13449198135137644</v>
      </c>
      <c r="BG150" s="975"/>
      <c r="BH150" s="971">
        <f t="shared" si="94"/>
        <v>0</v>
      </c>
      <c r="BI150" s="970">
        <f t="shared" si="74"/>
        <v>549</v>
      </c>
      <c r="BJ150" s="971">
        <f t="shared" si="75"/>
        <v>0</v>
      </c>
      <c r="BK150" s="971">
        <f t="shared" si="92"/>
        <v>32940</v>
      </c>
      <c r="BL150" s="977"/>
      <c r="BM150" s="972">
        <v>6</v>
      </c>
      <c r="BN150" s="971">
        <f t="shared" si="77"/>
        <v>1647</v>
      </c>
      <c r="BO150" s="973">
        <f t="shared" si="93"/>
        <v>31293</v>
      </c>
      <c r="BP150" s="973">
        <f t="shared" si="79"/>
        <v>0</v>
      </c>
      <c r="BQ150" s="855">
        <f t="shared" si="80"/>
        <v>0</v>
      </c>
      <c r="BR150" s="975">
        <f t="shared" si="81"/>
        <v>0</v>
      </c>
      <c r="BS150" s="975"/>
      <c r="BT150" s="978"/>
      <c r="BU150" s="978"/>
      <c r="BV150" s="978">
        <v>0.13449198135137644</v>
      </c>
      <c r="BW150" s="978">
        <f t="shared" si="57"/>
        <v>0.13449198135137644</v>
      </c>
    </row>
    <row r="151" spans="1:75" ht="17" hidden="1">
      <c r="A151" s="968">
        <v>2606</v>
      </c>
      <c r="B151" s="968" t="s">
        <v>285</v>
      </c>
      <c r="C151" s="969" t="s">
        <v>829</v>
      </c>
      <c r="D151" s="984" t="s">
        <v>322</v>
      </c>
      <c r="E151" s="955" t="s">
        <v>517</v>
      </c>
      <c r="F151" s="955"/>
      <c r="G151" s="955" t="str">
        <f>IFERROR(VLOOKUP(D151,[3]전용!E:J,6,0),"")</f>
        <v/>
      </c>
      <c r="H151" s="854">
        <v>15880</v>
      </c>
      <c r="I151" s="955">
        <v>5</v>
      </c>
      <c r="J151" s="955" t="s">
        <v>286</v>
      </c>
      <c r="K151" s="955">
        <v>12</v>
      </c>
      <c r="L151" s="970">
        <v>599</v>
      </c>
      <c r="M151" s="971">
        <f t="shared" si="48"/>
        <v>35940</v>
      </c>
      <c r="N151" s="855">
        <v>0.23697521988233267</v>
      </c>
      <c r="O151" s="855"/>
      <c r="P151" s="970">
        <v>599</v>
      </c>
      <c r="Q151" s="970">
        <f t="shared" si="49"/>
        <v>0</v>
      </c>
      <c r="R151" s="576">
        <f>(P151*((I151*12)-U151))</f>
        <v>32346</v>
      </c>
      <c r="S151" s="856">
        <f t="shared" si="58"/>
        <v>0.18990700037568076</v>
      </c>
      <c r="T151" s="580">
        <v>149</v>
      </c>
      <c r="U151" s="583">
        <v>6</v>
      </c>
      <c r="V151" s="972">
        <v>0</v>
      </c>
      <c r="W151" s="971">
        <f t="shared" si="50"/>
        <v>2700</v>
      </c>
      <c r="X151" s="971">
        <f t="shared" si="59"/>
        <v>29646</v>
      </c>
      <c r="Y151" s="858">
        <f t="shared" si="60"/>
        <v>-8.347245409015025E-2</v>
      </c>
      <c r="Z151" s="857">
        <f t="shared" si="61"/>
        <v>1.8668765743073048</v>
      </c>
      <c r="AA151" s="856">
        <v>0.14817077333060563</v>
      </c>
      <c r="AB151" s="856">
        <v>3.0928482853770779E-3</v>
      </c>
      <c r="AC151" s="970">
        <f t="shared" si="51"/>
        <v>599</v>
      </c>
      <c r="AD151" s="970"/>
      <c r="AE151" s="970">
        <f t="shared" si="46"/>
        <v>0</v>
      </c>
      <c r="AF151" s="971">
        <f t="shared" si="62"/>
        <v>35940</v>
      </c>
      <c r="AG151" s="857">
        <f t="shared" si="63"/>
        <v>0.11111111111111116</v>
      </c>
      <c r="AH151" s="576">
        <v>0</v>
      </c>
      <c r="AI151" s="856">
        <f t="shared" si="65"/>
        <v>0.25432337401872546</v>
      </c>
      <c r="AJ151" s="859">
        <v>0</v>
      </c>
      <c r="AK151" s="583">
        <v>0</v>
      </c>
      <c r="AL151" s="971">
        <f t="shared" si="64"/>
        <v>0</v>
      </c>
      <c r="AM151" s="971">
        <f t="shared" si="52"/>
        <v>35940</v>
      </c>
      <c r="AN151" s="858">
        <f t="shared" si="53"/>
        <v>0</v>
      </c>
      <c r="AO151" s="857">
        <f t="shared" si="54"/>
        <v>2.2632241813602016</v>
      </c>
      <c r="AP151" s="973">
        <f t="shared" si="55"/>
        <v>6294</v>
      </c>
      <c r="AQ151" s="855">
        <f t="shared" si="56"/>
        <v>0.21230520137623965</v>
      </c>
      <c r="AR151" s="974">
        <f t="shared" si="83"/>
        <v>0.25432337401872546</v>
      </c>
      <c r="AS151" s="975" t="s">
        <v>836</v>
      </c>
      <c r="AT151" s="976"/>
      <c r="AU151" s="971" t="e">
        <f>P151-#REF!</f>
        <v>#REF!</v>
      </c>
      <c r="AV151" s="976"/>
      <c r="AW151" s="970">
        <f t="shared" si="66"/>
        <v>599</v>
      </c>
      <c r="AX151" s="971">
        <f t="shared" si="67"/>
        <v>0</v>
      </c>
      <c r="AY151" s="971">
        <f t="shared" si="91"/>
        <v>35940</v>
      </c>
      <c r="AZ151" s="580">
        <v>149</v>
      </c>
      <c r="BA151" s="583">
        <v>6</v>
      </c>
      <c r="BB151" s="971">
        <f t="shared" si="69"/>
        <v>1797</v>
      </c>
      <c r="BC151" s="973">
        <f t="shared" si="70"/>
        <v>34143</v>
      </c>
      <c r="BD151" s="973">
        <f t="shared" si="71"/>
        <v>-1797</v>
      </c>
      <c r="BE151" s="855">
        <f t="shared" si="72"/>
        <v>-5.0000000000000044E-2</v>
      </c>
      <c r="BF151" s="975">
        <f t="shared" si="73"/>
        <v>0.22932337401872543</v>
      </c>
      <c r="BG151" s="975"/>
      <c r="BH151" s="971">
        <f>AX151*1.1</f>
        <v>0</v>
      </c>
      <c r="BI151" s="970">
        <f t="shared" si="74"/>
        <v>599</v>
      </c>
      <c r="BJ151" s="971">
        <f t="shared" si="75"/>
        <v>0</v>
      </c>
      <c r="BK151" s="971">
        <f t="shared" si="92"/>
        <v>35940</v>
      </c>
      <c r="BL151" s="580">
        <v>149</v>
      </c>
      <c r="BM151" s="583">
        <v>6</v>
      </c>
      <c r="BN151" s="971">
        <f t="shared" si="77"/>
        <v>1797</v>
      </c>
      <c r="BO151" s="709">
        <f>BK151+BN151</f>
        <v>37737</v>
      </c>
      <c r="BP151" s="973">
        <f t="shared" si="79"/>
        <v>3594</v>
      </c>
      <c r="BQ151" s="855">
        <f t="shared" si="80"/>
        <v>0.10526315789473695</v>
      </c>
      <c r="BR151" s="975">
        <f t="shared" si="81"/>
        <v>2.6315789473684292E-3</v>
      </c>
      <c r="BS151" s="975"/>
      <c r="BT151" s="978"/>
      <c r="BU151" s="978"/>
      <c r="BV151" s="978">
        <v>0.14918726126461643</v>
      </c>
      <c r="BW151" s="978">
        <f t="shared" si="57"/>
        <v>0.14817077333060563</v>
      </c>
    </row>
    <row r="152" spans="1:75" ht="17" hidden="1">
      <c r="A152" s="979">
        <v>2606</v>
      </c>
      <c r="B152" s="979" t="s">
        <v>285</v>
      </c>
      <c r="C152" s="980" t="s">
        <v>829</v>
      </c>
      <c r="D152" s="1028" t="s">
        <v>322</v>
      </c>
      <c r="E152" s="955" t="s">
        <v>518</v>
      </c>
      <c r="F152" s="955"/>
      <c r="G152" s="955" t="str">
        <f>IFERROR(VLOOKUP(D152,[3]전용!E:J,6,0),"")</f>
        <v/>
      </c>
      <c r="H152" s="854">
        <v>15880</v>
      </c>
      <c r="I152" s="955">
        <v>5</v>
      </c>
      <c r="J152" s="955" t="s">
        <v>288</v>
      </c>
      <c r="K152" s="955">
        <v>12</v>
      </c>
      <c r="L152" s="970">
        <v>549</v>
      </c>
      <c r="M152" s="971">
        <f t="shared" si="48"/>
        <v>32940</v>
      </c>
      <c r="N152" s="855">
        <v>0.23697521988233267</v>
      </c>
      <c r="O152" s="855"/>
      <c r="P152" s="970">
        <v>549</v>
      </c>
      <c r="Q152" s="970">
        <f t="shared" si="49"/>
        <v>0</v>
      </c>
      <c r="R152" s="971">
        <f>P152*LEFT(I152,1)*12</f>
        <v>32940</v>
      </c>
      <c r="S152" s="856">
        <f t="shared" si="58"/>
        <v>0.1846006458260519</v>
      </c>
      <c r="T152" s="976">
        <v>149</v>
      </c>
      <c r="U152" s="972">
        <v>6</v>
      </c>
      <c r="V152" s="972">
        <v>0</v>
      </c>
      <c r="W152" s="971">
        <f t="shared" si="50"/>
        <v>2400</v>
      </c>
      <c r="X152" s="971">
        <f t="shared" si="59"/>
        <v>30540</v>
      </c>
      <c r="Y152" s="858">
        <f t="shared" si="60"/>
        <v>-7.2859744990892539E-2</v>
      </c>
      <c r="Z152" s="857">
        <f t="shared" si="61"/>
        <v>1.9231738035264483</v>
      </c>
      <c r="AA152" s="856">
        <v>0.14817077333060563</v>
      </c>
      <c r="AB152" s="856">
        <v>3.0928482853770779E-3</v>
      </c>
      <c r="AC152" s="970">
        <f t="shared" si="51"/>
        <v>549</v>
      </c>
      <c r="AD152" s="970"/>
      <c r="AE152" s="970">
        <f t="shared" si="46"/>
        <v>0</v>
      </c>
      <c r="AF152" s="971">
        <f t="shared" si="62"/>
        <v>32940</v>
      </c>
      <c r="AG152" s="857">
        <f t="shared" si="63"/>
        <v>0</v>
      </c>
      <c r="AH152" s="576">
        <v>0</v>
      </c>
      <c r="AI152" s="856">
        <f t="shared" si="65"/>
        <v>0.18746350417539931</v>
      </c>
      <c r="AJ152" s="859">
        <v>0</v>
      </c>
      <c r="AK152" s="583">
        <v>0</v>
      </c>
      <c r="AL152" s="971">
        <f t="shared" si="64"/>
        <v>0</v>
      </c>
      <c r="AM152" s="971">
        <f t="shared" si="52"/>
        <v>32940</v>
      </c>
      <c r="AN152" s="858">
        <f t="shared" si="53"/>
        <v>0</v>
      </c>
      <c r="AO152" s="857">
        <f t="shared" si="54"/>
        <v>2.0743073047858944</v>
      </c>
      <c r="AP152" s="973">
        <f t="shared" si="55"/>
        <v>2400</v>
      </c>
      <c r="AQ152" s="855">
        <f t="shared" si="56"/>
        <v>7.8585461689587355E-2</v>
      </c>
      <c r="AR152" s="974">
        <f t="shared" si="83"/>
        <v>0.18746350417539931</v>
      </c>
      <c r="AS152" s="975" t="s">
        <v>836</v>
      </c>
      <c r="AT152" s="976"/>
      <c r="AU152" s="971" t="e">
        <f>P152-#REF!</f>
        <v>#REF!</v>
      </c>
      <c r="AV152" s="976"/>
      <c r="AW152" s="970">
        <f t="shared" si="66"/>
        <v>549</v>
      </c>
      <c r="AX152" s="971">
        <f t="shared" si="67"/>
        <v>0</v>
      </c>
      <c r="AY152" s="971">
        <f t="shared" si="91"/>
        <v>32940</v>
      </c>
      <c r="AZ152" s="976"/>
      <c r="BA152" s="972">
        <v>6</v>
      </c>
      <c r="BB152" s="971">
        <f t="shared" si="69"/>
        <v>1647</v>
      </c>
      <c r="BC152" s="973">
        <f t="shared" si="70"/>
        <v>31293</v>
      </c>
      <c r="BD152" s="973">
        <f t="shared" si="71"/>
        <v>-1647</v>
      </c>
      <c r="BE152" s="855">
        <f t="shared" si="72"/>
        <v>-5.0000000000000044E-2</v>
      </c>
      <c r="BF152" s="975">
        <f t="shared" si="73"/>
        <v>0.16246350417539929</v>
      </c>
      <c r="BG152" s="975"/>
      <c r="BH152" s="971">
        <f>AX152*1.1</f>
        <v>0</v>
      </c>
      <c r="BI152" s="970">
        <f t="shared" si="74"/>
        <v>549</v>
      </c>
      <c r="BJ152" s="971">
        <f t="shared" si="75"/>
        <v>0</v>
      </c>
      <c r="BK152" s="971">
        <f t="shared" si="92"/>
        <v>32940</v>
      </c>
      <c r="BL152" s="976"/>
      <c r="BM152" s="972">
        <v>6</v>
      </c>
      <c r="BN152" s="971">
        <f t="shared" si="77"/>
        <v>1647</v>
      </c>
      <c r="BO152" s="973">
        <f>BK152-BN152</f>
        <v>31293</v>
      </c>
      <c r="BP152" s="973">
        <f t="shared" si="79"/>
        <v>0</v>
      </c>
      <c r="BQ152" s="855">
        <f t="shared" si="80"/>
        <v>0</v>
      </c>
      <c r="BR152" s="975">
        <f t="shared" si="81"/>
        <v>-5.0000000000000044E-2</v>
      </c>
      <c r="BS152" s="975"/>
      <c r="BT152" s="978"/>
      <c r="BU152" s="978"/>
      <c r="BV152" s="978">
        <v>0.14918726126461643</v>
      </c>
      <c r="BW152" s="978">
        <f t="shared" si="57"/>
        <v>0.14817077333060563</v>
      </c>
    </row>
    <row r="153" spans="1:75">
      <c r="A153" s="979">
        <v>2606</v>
      </c>
      <c r="B153" s="979" t="s">
        <v>114</v>
      </c>
      <c r="C153" s="980" t="s">
        <v>831</v>
      </c>
      <c r="D153" s="980" t="s">
        <v>109</v>
      </c>
      <c r="E153" s="955"/>
      <c r="F153" s="955"/>
      <c r="G153" s="955" t="str">
        <f>IFERROR(VLOOKUP(D153,[3]전용!E:J,6,0),"")</f>
        <v/>
      </c>
      <c r="H153" s="854">
        <v>35700</v>
      </c>
      <c r="I153" s="955">
        <v>5</v>
      </c>
      <c r="J153" s="955" t="s">
        <v>286</v>
      </c>
      <c r="K153" s="955">
        <v>4</v>
      </c>
      <c r="L153" s="970">
        <v>1499</v>
      </c>
      <c r="M153" s="971">
        <f t="shared" si="48"/>
        <v>89940</v>
      </c>
      <c r="N153" s="855">
        <v>0.16449114703618173</v>
      </c>
      <c r="O153" s="855"/>
      <c r="P153" s="970">
        <v>1499</v>
      </c>
      <c r="Q153" s="970">
        <f t="shared" si="49"/>
        <v>0</v>
      </c>
      <c r="R153" s="971">
        <f t="shared" ref="R153:R185" si="95">P153*LEFT(I153,1)*12</f>
        <v>89940</v>
      </c>
      <c r="S153" s="856">
        <f t="shared" si="58"/>
        <v>0.26696596354187629</v>
      </c>
      <c r="T153" s="971"/>
      <c r="U153" s="971"/>
      <c r="V153" s="972">
        <v>0</v>
      </c>
      <c r="W153" s="971">
        <f t="shared" si="50"/>
        <v>0</v>
      </c>
      <c r="X153" s="971">
        <f t="shared" si="59"/>
        <v>89940</v>
      </c>
      <c r="Y153" s="858">
        <f t="shared" si="60"/>
        <v>0</v>
      </c>
      <c r="Z153" s="857">
        <f t="shared" si="61"/>
        <v>2.5193277310924369</v>
      </c>
      <c r="AA153" s="856">
        <v>0.26696596354187629</v>
      </c>
      <c r="AB153" s="856">
        <v>5.0881020877391013E-3</v>
      </c>
      <c r="AC153" s="970">
        <f t="shared" si="51"/>
        <v>1499</v>
      </c>
      <c r="AD153" s="970"/>
      <c r="AE153" s="970">
        <f t="shared" si="46"/>
        <v>0</v>
      </c>
      <c r="AF153" s="971">
        <f t="shared" si="62"/>
        <v>89940</v>
      </c>
      <c r="AG153" s="857">
        <f t="shared" si="63"/>
        <v>0</v>
      </c>
      <c r="AH153" s="576">
        <v>0</v>
      </c>
      <c r="AI153" s="856">
        <f t="shared" si="65"/>
        <v>0.26696596354187629</v>
      </c>
      <c r="AJ153" s="859">
        <v>0</v>
      </c>
      <c r="AK153" s="583">
        <v>0</v>
      </c>
      <c r="AL153" s="971">
        <f t="shared" si="64"/>
        <v>0</v>
      </c>
      <c r="AM153" s="971">
        <f t="shared" si="52"/>
        <v>89940</v>
      </c>
      <c r="AN153" s="858">
        <f t="shared" si="53"/>
        <v>0</v>
      </c>
      <c r="AO153" s="857">
        <f t="shared" si="54"/>
        <v>2.5193277310924369</v>
      </c>
      <c r="AP153" s="973">
        <f t="shared" si="55"/>
        <v>0</v>
      </c>
      <c r="AQ153" s="855">
        <f t="shared" si="56"/>
        <v>0</v>
      </c>
      <c r="AR153" s="974">
        <f t="shared" si="83"/>
        <v>0.26696596354187629</v>
      </c>
      <c r="AS153" s="975"/>
      <c r="AT153" s="976"/>
      <c r="AU153" s="971"/>
      <c r="AV153" s="976"/>
      <c r="AW153" s="970"/>
      <c r="AX153" s="971"/>
      <c r="AY153" s="971"/>
      <c r="AZ153" s="976"/>
      <c r="BA153" s="972"/>
      <c r="BB153" s="971"/>
      <c r="BC153" s="973"/>
      <c r="BD153" s="973"/>
      <c r="BE153" s="855"/>
      <c r="BF153" s="975"/>
      <c r="BG153" s="975"/>
      <c r="BH153" s="971"/>
      <c r="BI153" s="970"/>
      <c r="BJ153" s="971"/>
      <c r="BK153" s="971"/>
      <c r="BL153" s="976"/>
      <c r="BM153" s="972"/>
      <c r="BN153" s="971"/>
      <c r="BO153" s="973"/>
      <c r="BP153" s="973"/>
      <c r="BQ153" s="855"/>
      <c r="BR153" s="975"/>
      <c r="BS153" s="975"/>
      <c r="BT153" s="978"/>
      <c r="BU153" s="978"/>
      <c r="BV153" s="978">
        <v>0.2</v>
      </c>
      <c r="BW153" s="978">
        <f t="shared" si="57"/>
        <v>0.22896596354187629</v>
      </c>
    </row>
    <row r="154" spans="1:75">
      <c r="A154" s="979">
        <v>2606</v>
      </c>
      <c r="B154" s="979" t="s">
        <v>114</v>
      </c>
      <c r="C154" s="980" t="s">
        <v>831</v>
      </c>
      <c r="D154" s="980" t="s">
        <v>912</v>
      </c>
      <c r="E154" s="955"/>
      <c r="F154" s="955"/>
      <c r="G154" s="955" t="str">
        <f>IFERROR(VLOOKUP(D154,[3]전용!E:J,6,0),"")</f>
        <v/>
      </c>
      <c r="H154" s="854">
        <v>43798</v>
      </c>
      <c r="I154" s="955">
        <v>5</v>
      </c>
      <c r="J154" s="955" t="s">
        <v>286</v>
      </c>
      <c r="K154" s="955">
        <v>4</v>
      </c>
      <c r="L154" s="970">
        <v>1849</v>
      </c>
      <c r="M154" s="971">
        <f t="shared" si="48"/>
        <v>110940</v>
      </c>
      <c r="N154" s="855">
        <v>0.14932140691328077</v>
      </c>
      <c r="O154" s="855"/>
      <c r="P154" s="970">
        <v>1849</v>
      </c>
      <c r="Q154" s="970">
        <f t="shared" si="49"/>
        <v>0</v>
      </c>
      <c r="R154" s="971">
        <f t="shared" si="95"/>
        <v>110940</v>
      </c>
      <c r="S154" s="856">
        <f t="shared" si="58"/>
        <v>-2.0461939017560597E-2</v>
      </c>
      <c r="T154" s="971"/>
      <c r="U154" s="971"/>
      <c r="V154" s="972">
        <v>0</v>
      </c>
      <c r="W154" s="971">
        <f t="shared" si="50"/>
        <v>0</v>
      </c>
      <c r="X154" s="971">
        <f t="shared" si="59"/>
        <v>110940</v>
      </c>
      <c r="Y154" s="858">
        <f t="shared" si="60"/>
        <v>0</v>
      </c>
      <c r="Z154" s="857">
        <f t="shared" si="61"/>
        <v>2.5329923740810081</v>
      </c>
      <c r="AA154" s="856">
        <v>-2.0461939017560597E-2</v>
      </c>
      <c r="AB154" s="856">
        <v>4.8512527041428381E-3</v>
      </c>
      <c r="AC154" s="970">
        <f t="shared" si="51"/>
        <v>1949</v>
      </c>
      <c r="AD154" s="970">
        <v>100</v>
      </c>
      <c r="AE154" s="970">
        <f t="shared" si="46"/>
        <v>184.9</v>
      </c>
      <c r="AF154" s="971">
        <f t="shared" si="62"/>
        <v>116940</v>
      </c>
      <c r="AG154" s="857">
        <f t="shared" si="63"/>
        <v>5.4083288263926388E-2</v>
      </c>
      <c r="AH154" s="576">
        <v>0</v>
      </c>
      <c r="AI154" s="856">
        <f t="shared" si="65"/>
        <v>4.8213020419973149E-2</v>
      </c>
      <c r="AJ154" s="859">
        <v>0</v>
      </c>
      <c r="AK154" s="583">
        <v>0</v>
      </c>
      <c r="AL154" s="971">
        <f t="shared" si="64"/>
        <v>0</v>
      </c>
      <c r="AM154" s="971">
        <f t="shared" si="52"/>
        <v>116940</v>
      </c>
      <c r="AN154" s="858">
        <f t="shared" si="53"/>
        <v>0</v>
      </c>
      <c r="AO154" s="857">
        <f t="shared" si="54"/>
        <v>2.6699849308187589</v>
      </c>
      <c r="AP154" s="973">
        <f t="shared" si="55"/>
        <v>6000</v>
      </c>
      <c r="AQ154" s="855">
        <f t="shared" si="56"/>
        <v>5.4083288263926388E-2</v>
      </c>
      <c r="AR154" s="974">
        <f>IFERROR(AA154+AQ154*0.9,"")+2%</f>
        <v>4.8213020419973149E-2</v>
      </c>
      <c r="AS154" s="975"/>
      <c r="AT154" s="976"/>
      <c r="AU154" s="971"/>
      <c r="AV154" s="976"/>
      <c r="AW154" s="970"/>
      <c r="AX154" s="971"/>
      <c r="AY154" s="971"/>
      <c r="AZ154" s="976"/>
      <c r="BA154" s="972"/>
      <c r="BB154" s="971"/>
      <c r="BC154" s="973"/>
      <c r="BD154" s="973"/>
      <c r="BE154" s="855"/>
      <c r="BF154" s="975"/>
      <c r="BG154" s="975"/>
      <c r="BH154" s="971"/>
      <c r="BI154" s="970"/>
      <c r="BJ154" s="971"/>
      <c r="BK154" s="971"/>
      <c r="BL154" s="976"/>
      <c r="BM154" s="972"/>
      <c r="BN154" s="971"/>
      <c r="BO154" s="973"/>
      <c r="BP154" s="973"/>
      <c r="BQ154" s="855"/>
      <c r="BR154" s="975"/>
      <c r="BS154" s="975"/>
      <c r="BT154" s="978"/>
      <c r="BU154" s="978"/>
      <c r="BV154" s="978">
        <v>0.25</v>
      </c>
      <c r="BW154" s="978">
        <f t="shared" si="57"/>
        <v>-2.0461939017560597E-2</v>
      </c>
    </row>
    <row r="155" spans="1:75">
      <c r="A155" s="979">
        <v>2606</v>
      </c>
      <c r="B155" s="979" t="s">
        <v>114</v>
      </c>
      <c r="C155" s="980" t="s">
        <v>831</v>
      </c>
      <c r="D155" s="980" t="s">
        <v>110</v>
      </c>
      <c r="E155" s="955"/>
      <c r="F155" s="955"/>
      <c r="G155" s="955" t="str">
        <f>IFERROR(VLOOKUP(D155,[3]전용!E:J,6,0),"")</f>
        <v/>
      </c>
      <c r="H155" s="854">
        <v>40525</v>
      </c>
      <c r="I155" s="955">
        <v>5</v>
      </c>
      <c r="J155" s="955" t="s">
        <v>286</v>
      </c>
      <c r="K155" s="955">
        <v>4</v>
      </c>
      <c r="L155" s="970">
        <v>1599</v>
      </c>
      <c r="M155" s="971">
        <f t="shared" si="48"/>
        <v>95940</v>
      </c>
      <c r="N155" s="855">
        <v>0.15473981415296645</v>
      </c>
      <c r="O155" s="855"/>
      <c r="P155" s="970">
        <v>1599</v>
      </c>
      <c r="Q155" s="970">
        <f t="shared" si="49"/>
        <v>0</v>
      </c>
      <c r="R155" s="971">
        <f t="shared" si="95"/>
        <v>95940</v>
      </c>
      <c r="S155" s="856">
        <f t="shared" si="58"/>
        <v>0.15650023750499689</v>
      </c>
      <c r="T155" s="971"/>
      <c r="U155" s="971"/>
      <c r="V155" s="972">
        <v>0</v>
      </c>
      <c r="W155" s="971">
        <f t="shared" si="50"/>
        <v>0</v>
      </c>
      <c r="X155" s="971">
        <f t="shared" si="59"/>
        <v>95940</v>
      </c>
      <c r="Y155" s="858">
        <f t="shared" si="60"/>
        <v>0</v>
      </c>
      <c r="Z155" s="857">
        <f t="shared" si="61"/>
        <v>2.3674275138803207</v>
      </c>
      <c r="AA155" s="856">
        <v>0.15650023750499689</v>
      </c>
      <c r="AB155" s="856">
        <v>5.7558019581718739E-3</v>
      </c>
      <c r="AC155" s="970">
        <f t="shared" si="51"/>
        <v>1599</v>
      </c>
      <c r="AD155" s="970"/>
      <c r="AE155" s="970">
        <f t="shared" si="46"/>
        <v>0</v>
      </c>
      <c r="AF155" s="971">
        <f t="shared" si="62"/>
        <v>95940</v>
      </c>
      <c r="AG155" s="857">
        <f t="shared" si="63"/>
        <v>0</v>
      </c>
      <c r="AH155" s="576">
        <v>0</v>
      </c>
      <c r="AI155" s="856">
        <f t="shared" si="65"/>
        <v>0.15650023750499689</v>
      </c>
      <c r="AJ155" s="859">
        <v>0</v>
      </c>
      <c r="AK155" s="583">
        <v>0</v>
      </c>
      <c r="AL155" s="971">
        <f t="shared" si="64"/>
        <v>0</v>
      </c>
      <c r="AM155" s="971">
        <f t="shared" si="52"/>
        <v>95940</v>
      </c>
      <c r="AN155" s="858">
        <f t="shared" si="53"/>
        <v>0</v>
      </c>
      <c r="AO155" s="857">
        <f t="shared" si="54"/>
        <v>2.3674275138803207</v>
      </c>
      <c r="AP155" s="973">
        <f t="shared" si="55"/>
        <v>0</v>
      </c>
      <c r="AQ155" s="855">
        <f t="shared" si="56"/>
        <v>0</v>
      </c>
      <c r="AR155" s="974">
        <f t="shared" si="83"/>
        <v>0.15650023750499689</v>
      </c>
      <c r="AS155" s="975"/>
      <c r="AT155" s="976"/>
      <c r="AU155" s="971"/>
      <c r="AV155" s="976"/>
      <c r="AW155" s="970"/>
      <c r="AX155" s="971"/>
      <c r="AY155" s="971"/>
      <c r="AZ155" s="976"/>
      <c r="BA155" s="972"/>
      <c r="BB155" s="971"/>
      <c r="BC155" s="973"/>
      <c r="BD155" s="973"/>
      <c r="BE155" s="855"/>
      <c r="BF155" s="975"/>
      <c r="BG155" s="975"/>
      <c r="BH155" s="971"/>
      <c r="BI155" s="970"/>
      <c r="BJ155" s="971"/>
      <c r="BK155" s="971"/>
      <c r="BL155" s="976"/>
      <c r="BM155" s="972"/>
      <c r="BN155" s="971"/>
      <c r="BO155" s="973"/>
      <c r="BP155" s="973"/>
      <c r="BQ155" s="855"/>
      <c r="BR155" s="975"/>
      <c r="BS155" s="975"/>
      <c r="BT155" s="978"/>
      <c r="BU155" s="978"/>
      <c r="BV155" s="978">
        <v>0.16</v>
      </c>
      <c r="BW155" s="978">
        <f t="shared" si="57"/>
        <v>0.15650023750499689</v>
      </c>
    </row>
    <row r="156" spans="1:75">
      <c r="A156" s="979">
        <v>2606</v>
      </c>
      <c r="B156" s="979" t="s">
        <v>114</v>
      </c>
      <c r="C156" s="1148" t="s">
        <v>831</v>
      </c>
      <c r="D156" s="980" t="s">
        <v>913</v>
      </c>
      <c r="E156" s="955"/>
      <c r="F156" s="955"/>
      <c r="G156" s="955" t="str">
        <f>IFERROR(VLOOKUP(D156,[3]전용!E:J,6,0),"")</f>
        <v/>
      </c>
      <c r="H156" s="854"/>
      <c r="I156" s="955">
        <v>5</v>
      </c>
      <c r="J156" s="955" t="s">
        <v>286</v>
      </c>
      <c r="K156" s="955">
        <v>4</v>
      </c>
      <c r="L156" s="970">
        <v>1899</v>
      </c>
      <c r="M156" s="971">
        <f t="shared" si="48"/>
        <v>113940</v>
      </c>
      <c r="N156" s="855">
        <v>4.9429075927015939E-2</v>
      </c>
      <c r="O156" s="855"/>
      <c r="P156" s="970">
        <v>1899</v>
      </c>
      <c r="Q156" s="970">
        <f t="shared" si="49"/>
        <v>0</v>
      </c>
      <c r="R156" s="971">
        <f t="shared" si="95"/>
        <v>113940</v>
      </c>
      <c r="S156" s="856">
        <f t="shared" si="58"/>
        <v>0.12598946619889798</v>
      </c>
      <c r="T156" s="971"/>
      <c r="U156" s="971"/>
      <c r="V156" s="972">
        <v>0</v>
      </c>
      <c r="W156" s="971">
        <f t="shared" si="50"/>
        <v>0</v>
      </c>
      <c r="X156" s="971">
        <f t="shared" si="59"/>
        <v>113940</v>
      </c>
      <c r="Y156" s="858">
        <f t="shared" si="60"/>
        <v>0</v>
      </c>
      <c r="Z156" s="857" t="str">
        <f t="shared" si="61"/>
        <v/>
      </c>
      <c r="AA156" s="856">
        <v>0.12598946619889798</v>
      </c>
      <c r="AB156" s="856">
        <v>1.6010707856494513E-2</v>
      </c>
      <c r="AC156" s="1041">
        <f t="shared" si="51"/>
        <v>1899</v>
      </c>
      <c r="AD156" s="970"/>
      <c r="AE156" s="970">
        <f t="shared" si="46"/>
        <v>0</v>
      </c>
      <c r="AF156" s="971">
        <f t="shared" si="62"/>
        <v>113940</v>
      </c>
      <c r="AG156" s="857">
        <f t="shared" si="63"/>
        <v>0</v>
      </c>
      <c r="AH156" s="576">
        <v>0</v>
      </c>
      <c r="AI156" s="856">
        <f t="shared" si="65"/>
        <v>0.12598946619889798</v>
      </c>
      <c r="AJ156" s="859">
        <v>0</v>
      </c>
      <c r="AK156" s="583">
        <v>0</v>
      </c>
      <c r="AL156" s="971">
        <f t="shared" si="64"/>
        <v>0</v>
      </c>
      <c r="AM156" s="971">
        <f t="shared" si="52"/>
        <v>113940</v>
      </c>
      <c r="AN156" s="858">
        <f t="shared" si="53"/>
        <v>0</v>
      </c>
      <c r="AO156" s="857" t="str">
        <f t="shared" si="54"/>
        <v/>
      </c>
      <c r="AP156" s="973">
        <f t="shared" si="55"/>
        <v>0</v>
      </c>
      <c r="AQ156" s="855">
        <f t="shared" si="56"/>
        <v>0</v>
      </c>
      <c r="AR156" s="974">
        <f t="shared" si="83"/>
        <v>0.12598946619889798</v>
      </c>
      <c r="AS156" s="975"/>
      <c r="AT156" s="976"/>
      <c r="AU156" s="971"/>
      <c r="AV156" s="976"/>
      <c r="AW156" s="970"/>
      <c r="AX156" s="971"/>
      <c r="AY156" s="971"/>
      <c r="AZ156" s="976"/>
      <c r="BA156" s="972"/>
      <c r="BB156" s="971"/>
      <c r="BC156" s="973"/>
      <c r="BD156" s="973"/>
      <c r="BE156" s="855"/>
      <c r="BF156" s="975"/>
      <c r="BG156" s="975"/>
      <c r="BH156" s="971"/>
      <c r="BI156" s="970"/>
      <c r="BJ156" s="971"/>
      <c r="BK156" s="971"/>
      <c r="BL156" s="976"/>
      <c r="BM156" s="972"/>
      <c r="BN156" s="971"/>
      <c r="BO156" s="973"/>
      <c r="BP156" s="973"/>
      <c r="BQ156" s="855"/>
      <c r="BR156" s="975"/>
      <c r="BS156" s="975"/>
      <c r="BT156" s="978"/>
      <c r="BU156" s="978"/>
      <c r="BV156" s="978">
        <v>0.13</v>
      </c>
      <c r="BW156" s="978">
        <f t="shared" si="57"/>
        <v>0.12598946619889798</v>
      </c>
    </row>
    <row r="157" spans="1:75">
      <c r="A157" s="979">
        <v>2606</v>
      </c>
      <c r="B157" s="979" t="s">
        <v>114</v>
      </c>
      <c r="C157" s="980" t="s">
        <v>831</v>
      </c>
      <c r="D157" s="980" t="s">
        <v>111</v>
      </c>
      <c r="E157" s="955"/>
      <c r="F157" s="955"/>
      <c r="G157" s="955" t="str">
        <f>IFERROR(VLOOKUP(D157,[3]전용!E:J,6,0),"")</f>
        <v/>
      </c>
      <c r="H157" s="854">
        <v>45026</v>
      </c>
      <c r="I157" s="955">
        <v>5</v>
      </c>
      <c r="J157" s="955" t="s">
        <v>286</v>
      </c>
      <c r="K157" s="955">
        <v>4</v>
      </c>
      <c r="L157" s="970">
        <v>1699</v>
      </c>
      <c r="M157" s="971">
        <f t="shared" si="48"/>
        <v>101940</v>
      </c>
      <c r="N157" s="855">
        <v>0.14135557038025348</v>
      </c>
      <c r="O157" s="855"/>
      <c r="P157" s="970">
        <v>1699</v>
      </c>
      <c r="Q157" s="970">
        <f t="shared" si="49"/>
        <v>0</v>
      </c>
      <c r="R157" s="971">
        <f t="shared" si="95"/>
        <v>101940</v>
      </c>
      <c r="S157" s="856">
        <f t="shared" si="58"/>
        <v>-2.8799283937640204E-2</v>
      </c>
      <c r="T157" s="971"/>
      <c r="U157" s="971"/>
      <c r="V157" s="972">
        <v>0</v>
      </c>
      <c r="W157" s="971">
        <f t="shared" si="50"/>
        <v>0</v>
      </c>
      <c r="X157" s="971">
        <f t="shared" si="59"/>
        <v>101940</v>
      </c>
      <c r="Y157" s="858">
        <f t="shared" si="60"/>
        <v>0</v>
      </c>
      <c r="Z157" s="857">
        <f t="shared" si="61"/>
        <v>2.2640252298671877</v>
      </c>
      <c r="AA157" s="856">
        <v>-2.8799283937640204E-2</v>
      </c>
      <c r="AB157" s="856">
        <v>8.7179472606119454E-2</v>
      </c>
      <c r="AC157" s="970">
        <f t="shared" si="51"/>
        <v>1799</v>
      </c>
      <c r="AD157" s="970">
        <v>100</v>
      </c>
      <c r="AE157" s="970">
        <f t="shared" si="46"/>
        <v>169.9</v>
      </c>
      <c r="AF157" s="971">
        <f t="shared" si="62"/>
        <v>107940</v>
      </c>
      <c r="AG157" s="857">
        <f t="shared" si="63"/>
        <v>5.885815185403187E-2</v>
      </c>
      <c r="AH157" s="576">
        <v>0</v>
      </c>
      <c r="AI157" s="856">
        <f t="shared" si="65"/>
        <v>4.4173052730988482E-2</v>
      </c>
      <c r="AJ157" s="859">
        <v>0</v>
      </c>
      <c r="AK157" s="583">
        <v>0</v>
      </c>
      <c r="AL157" s="971">
        <f t="shared" si="64"/>
        <v>0</v>
      </c>
      <c r="AM157" s="971">
        <f t="shared" si="52"/>
        <v>107940</v>
      </c>
      <c r="AN157" s="858">
        <f t="shared" si="53"/>
        <v>0</v>
      </c>
      <c r="AO157" s="857">
        <f t="shared" si="54"/>
        <v>2.3972815706480701</v>
      </c>
      <c r="AP157" s="973">
        <f t="shared" si="55"/>
        <v>6000</v>
      </c>
      <c r="AQ157" s="855">
        <f t="shared" si="56"/>
        <v>5.885815185403187E-2</v>
      </c>
      <c r="AR157" s="974">
        <f>IFERROR(AA157+AQ157*0.9,"")+2%</f>
        <v>4.4173052730988482E-2</v>
      </c>
      <c r="AS157" s="975"/>
      <c r="AT157" s="976"/>
      <c r="AU157" s="971"/>
      <c r="AV157" s="976"/>
      <c r="AW157" s="970"/>
      <c r="AX157" s="971"/>
      <c r="AY157" s="971"/>
      <c r="AZ157" s="976"/>
      <c r="BA157" s="972"/>
      <c r="BB157" s="971"/>
      <c r="BC157" s="973"/>
      <c r="BD157" s="973"/>
      <c r="BE157" s="855"/>
      <c r="BF157" s="975"/>
      <c r="BG157" s="975"/>
      <c r="BH157" s="971"/>
      <c r="BI157" s="970"/>
      <c r="BJ157" s="971"/>
      <c r="BK157" s="971"/>
      <c r="BL157" s="976"/>
      <c r="BM157" s="972"/>
      <c r="BN157" s="971"/>
      <c r="BO157" s="973"/>
      <c r="BP157" s="973"/>
      <c r="BQ157" s="855"/>
      <c r="BR157" s="975"/>
      <c r="BS157" s="975"/>
      <c r="BT157" s="978"/>
      <c r="BU157" s="978"/>
      <c r="BV157" s="978">
        <v>0.02</v>
      </c>
      <c r="BW157" s="978">
        <f t="shared" si="57"/>
        <v>-2.8799283937640204E-2</v>
      </c>
    </row>
    <row r="158" spans="1:75">
      <c r="A158" s="979">
        <v>2606</v>
      </c>
      <c r="B158" s="979" t="s">
        <v>114</v>
      </c>
      <c r="C158" s="980" t="s">
        <v>831</v>
      </c>
      <c r="D158" s="980" t="s">
        <v>107</v>
      </c>
      <c r="E158" s="955"/>
      <c r="F158" s="955"/>
      <c r="G158" s="955" t="str">
        <f>IFERROR(VLOOKUP(D158,[3]전용!E:J,6,0),"")</f>
        <v/>
      </c>
      <c r="H158" s="854">
        <v>40800</v>
      </c>
      <c r="I158" s="955">
        <v>5</v>
      </c>
      <c r="J158" s="955" t="s">
        <v>286</v>
      </c>
      <c r="K158" s="955">
        <v>4</v>
      </c>
      <c r="L158" s="970">
        <v>2249</v>
      </c>
      <c r="M158" s="971">
        <f t="shared" si="48"/>
        <v>134940</v>
      </c>
      <c r="N158" s="855">
        <v>7.4402147388970177E-2</v>
      </c>
      <c r="O158" s="855"/>
      <c r="P158" s="970">
        <v>2249</v>
      </c>
      <c r="Q158" s="970">
        <f t="shared" si="49"/>
        <v>0</v>
      </c>
      <c r="R158" s="971">
        <f t="shared" si="95"/>
        <v>134940</v>
      </c>
      <c r="S158" s="856">
        <f t="shared" si="58"/>
        <v>9.7889139572870498E-3</v>
      </c>
      <c r="T158" s="971"/>
      <c r="U158" s="971"/>
      <c r="V158" s="972">
        <v>0</v>
      </c>
      <c r="W158" s="971">
        <f t="shared" si="50"/>
        <v>0</v>
      </c>
      <c r="X158" s="971">
        <f t="shared" si="59"/>
        <v>134940</v>
      </c>
      <c r="Y158" s="858">
        <f t="shared" si="60"/>
        <v>0</v>
      </c>
      <c r="Z158" s="857">
        <f t="shared" si="61"/>
        <v>3.3073529411764704</v>
      </c>
      <c r="AA158" s="856">
        <v>9.7889139572870498E-3</v>
      </c>
      <c r="AB158" s="856">
        <v>6.9349239512650318E-2</v>
      </c>
      <c r="AC158" s="970">
        <f t="shared" si="51"/>
        <v>2349</v>
      </c>
      <c r="AD158" s="970">
        <v>100</v>
      </c>
      <c r="AE158" s="970">
        <f t="shared" si="46"/>
        <v>168.67499999999998</v>
      </c>
      <c r="AF158" s="971">
        <f t="shared" si="62"/>
        <v>140940</v>
      </c>
      <c r="AG158" s="857">
        <f t="shared" si="63"/>
        <v>4.4464206313917343E-2</v>
      </c>
      <c r="AH158" s="576">
        <v>0</v>
      </c>
      <c r="AI158" s="856">
        <f t="shared" si="65"/>
        <v>3.2021017114245723E-2</v>
      </c>
      <c r="AJ158" s="859">
        <v>0</v>
      </c>
      <c r="AK158" s="583">
        <v>0</v>
      </c>
      <c r="AL158" s="971">
        <f t="shared" si="64"/>
        <v>0</v>
      </c>
      <c r="AM158" s="971">
        <f t="shared" si="52"/>
        <v>140940</v>
      </c>
      <c r="AN158" s="858">
        <f t="shared" si="53"/>
        <v>0</v>
      </c>
      <c r="AO158" s="857">
        <f t="shared" si="54"/>
        <v>3.4544117647058825</v>
      </c>
      <c r="AP158" s="973">
        <f t="shared" si="55"/>
        <v>6000</v>
      </c>
      <c r="AQ158" s="855">
        <f t="shared" si="56"/>
        <v>4.4464206313917343E-2</v>
      </c>
      <c r="AR158" s="974">
        <f t="shared" si="83"/>
        <v>3.2021017114245723E-2</v>
      </c>
      <c r="AS158" s="975"/>
      <c r="AT158" s="976"/>
      <c r="AU158" s="971"/>
      <c r="AV158" s="976"/>
      <c r="AW158" s="970"/>
      <c r="AX158" s="971"/>
      <c r="AY158" s="971"/>
      <c r="AZ158" s="976"/>
      <c r="BA158" s="972"/>
      <c r="BB158" s="971"/>
      <c r="BC158" s="973"/>
      <c r="BD158" s="973"/>
      <c r="BE158" s="855"/>
      <c r="BF158" s="975"/>
      <c r="BG158" s="975"/>
      <c r="BH158" s="971"/>
      <c r="BI158" s="970"/>
      <c r="BJ158" s="971"/>
      <c r="BK158" s="971"/>
      <c r="BL158" s="976"/>
      <c r="BM158" s="972"/>
      <c r="BN158" s="971"/>
      <c r="BO158" s="973"/>
      <c r="BP158" s="973"/>
      <c r="BQ158" s="855"/>
      <c r="BR158" s="975"/>
      <c r="BS158" s="975"/>
      <c r="BT158" s="978"/>
      <c r="BU158" s="978"/>
      <c r="BV158" s="978">
        <v>7.0000000000000007E-2</v>
      </c>
      <c r="BW158" s="978">
        <f t="shared" si="57"/>
        <v>9.7889139572870498E-3</v>
      </c>
    </row>
    <row r="159" spans="1:75">
      <c r="A159" s="979">
        <v>2606</v>
      </c>
      <c r="B159" s="979" t="s">
        <v>114</v>
      </c>
      <c r="C159" s="980" t="s">
        <v>831</v>
      </c>
      <c r="D159" s="983" t="s">
        <v>112</v>
      </c>
      <c r="E159" s="955"/>
      <c r="F159" s="955"/>
      <c r="G159" s="955" t="str">
        <f>IFERROR(VLOOKUP(D159,[3]전용!E:J,6,0),"")</f>
        <v/>
      </c>
      <c r="H159" s="854">
        <v>64680</v>
      </c>
      <c r="I159" s="955">
        <v>5</v>
      </c>
      <c r="J159" s="955" t="s">
        <v>286</v>
      </c>
      <c r="K159" s="955">
        <v>4</v>
      </c>
      <c r="L159" s="970">
        <v>2499</v>
      </c>
      <c r="M159" s="971">
        <f t="shared" si="48"/>
        <v>149940</v>
      </c>
      <c r="N159" s="855">
        <v>0.1317485863418878</v>
      </c>
      <c r="O159" s="855"/>
      <c r="P159" s="970">
        <v>2499</v>
      </c>
      <c r="Q159" s="970">
        <f t="shared" si="49"/>
        <v>0</v>
      </c>
      <c r="R159" s="971">
        <f t="shared" si="95"/>
        <v>149940</v>
      </c>
      <c r="S159" s="856">
        <f t="shared" si="58"/>
        <v>-7.8198024949484024E-3</v>
      </c>
      <c r="T159" s="971"/>
      <c r="U159" s="971"/>
      <c r="V159" s="972">
        <v>0</v>
      </c>
      <c r="W159" s="971">
        <f t="shared" si="50"/>
        <v>0</v>
      </c>
      <c r="X159" s="971">
        <f t="shared" si="59"/>
        <v>149940</v>
      </c>
      <c r="Y159" s="858">
        <f t="shared" si="60"/>
        <v>0</v>
      </c>
      <c r="Z159" s="857">
        <f t="shared" si="61"/>
        <v>2.3181818181818183</v>
      </c>
      <c r="AA159" s="856">
        <v>-7.8198024949484024E-3</v>
      </c>
      <c r="AB159" s="856">
        <v>8.5471580764518107E-2</v>
      </c>
      <c r="AC159" s="970">
        <f t="shared" si="51"/>
        <v>2599</v>
      </c>
      <c r="AD159" s="970">
        <v>100</v>
      </c>
      <c r="AE159" s="970">
        <f t="shared" si="46"/>
        <v>249.9</v>
      </c>
      <c r="AF159" s="971">
        <f t="shared" si="62"/>
        <v>155940</v>
      </c>
      <c r="AG159" s="857">
        <f t="shared" si="63"/>
        <v>4.0016006402560977E-2</v>
      </c>
      <c r="AH159" s="576">
        <v>0</v>
      </c>
      <c r="AI159" s="856">
        <f t="shared" si="65"/>
        <v>2.8194603267356476E-2</v>
      </c>
      <c r="AJ159" s="859">
        <v>0</v>
      </c>
      <c r="AK159" s="583">
        <v>0</v>
      </c>
      <c r="AL159" s="971">
        <f t="shared" si="64"/>
        <v>0</v>
      </c>
      <c r="AM159" s="971">
        <f t="shared" si="52"/>
        <v>155940</v>
      </c>
      <c r="AN159" s="858">
        <f t="shared" si="53"/>
        <v>0</v>
      </c>
      <c r="AO159" s="857">
        <f t="shared" si="54"/>
        <v>2.4109461966604822</v>
      </c>
      <c r="AP159" s="973">
        <f t="shared" si="55"/>
        <v>6000</v>
      </c>
      <c r="AQ159" s="855">
        <f t="shared" si="56"/>
        <v>4.0016006402560977E-2</v>
      </c>
      <c r="AR159" s="974">
        <f>IFERROR(AA159+AQ159*0.9,"")</f>
        <v>2.8194603267356476E-2</v>
      </c>
      <c r="AS159" s="975"/>
      <c r="AT159" s="976"/>
      <c r="AU159" s="971"/>
      <c r="AV159" s="976"/>
      <c r="AW159" s="970"/>
      <c r="AX159" s="971"/>
      <c r="AY159" s="971"/>
      <c r="AZ159" s="976"/>
      <c r="BA159" s="972"/>
      <c r="BB159" s="971"/>
      <c r="BC159" s="973"/>
      <c r="BD159" s="973"/>
      <c r="BE159" s="855"/>
      <c r="BF159" s="975"/>
      <c r="BG159" s="975"/>
      <c r="BH159" s="971"/>
      <c r="BI159" s="970"/>
      <c r="BJ159" s="971"/>
      <c r="BK159" s="971"/>
      <c r="BL159" s="976"/>
      <c r="BM159" s="972"/>
      <c r="BN159" s="971"/>
      <c r="BO159" s="973"/>
      <c r="BP159" s="973"/>
      <c r="BQ159" s="855"/>
      <c r="BR159" s="975"/>
      <c r="BS159" s="975"/>
      <c r="BT159" s="978"/>
      <c r="BU159" s="978"/>
      <c r="BV159" s="978">
        <v>0.08</v>
      </c>
      <c r="BW159" s="978">
        <f t="shared" si="57"/>
        <v>-7.8198024949484024E-3</v>
      </c>
    </row>
    <row r="160" spans="1:75">
      <c r="A160" s="979">
        <v>2606</v>
      </c>
      <c r="B160" s="979" t="s">
        <v>114</v>
      </c>
      <c r="C160" s="980" t="s">
        <v>831</v>
      </c>
      <c r="D160" s="980" t="s">
        <v>108</v>
      </c>
      <c r="E160" s="955"/>
      <c r="F160" s="955"/>
      <c r="G160" s="955" t="str">
        <f>IFERROR(VLOOKUP(D160,[3]전용!E:J,6,0),"")</f>
        <v/>
      </c>
      <c r="H160" s="854">
        <v>44880</v>
      </c>
      <c r="I160" s="955">
        <v>5</v>
      </c>
      <c r="J160" s="955" t="s">
        <v>286</v>
      </c>
      <c r="K160" s="955">
        <v>4</v>
      </c>
      <c r="L160" s="970">
        <v>2499</v>
      </c>
      <c r="M160" s="971">
        <f t="shared" si="48"/>
        <v>149940</v>
      </c>
      <c r="N160" s="855">
        <v>9.1748586341887817E-2</v>
      </c>
      <c r="O160" s="855"/>
      <c r="P160" s="970">
        <v>2499</v>
      </c>
      <c r="Q160" s="970">
        <f t="shared" si="49"/>
        <v>0</v>
      </c>
      <c r="R160" s="971">
        <f t="shared" si="95"/>
        <v>149940</v>
      </c>
      <c r="S160" s="856">
        <f t="shared" si="58"/>
        <v>0.12232310690231166</v>
      </c>
      <c r="T160" s="971"/>
      <c r="U160" s="971"/>
      <c r="V160" s="972">
        <v>0</v>
      </c>
      <c r="W160" s="971">
        <f t="shared" si="50"/>
        <v>0</v>
      </c>
      <c r="X160" s="971">
        <f t="shared" si="59"/>
        <v>149940</v>
      </c>
      <c r="Y160" s="858">
        <f t="shared" si="60"/>
        <v>0</v>
      </c>
      <c r="Z160" s="857">
        <f t="shared" si="61"/>
        <v>3.3409090909090908</v>
      </c>
      <c r="AA160" s="856">
        <v>0.12232310690231166</v>
      </c>
      <c r="AB160" s="856">
        <v>2.4861790920522417E-2</v>
      </c>
      <c r="AC160" s="970">
        <f t="shared" si="51"/>
        <v>2499</v>
      </c>
      <c r="AD160" s="970"/>
      <c r="AE160" s="970">
        <f t="shared" si="46"/>
        <v>0</v>
      </c>
      <c r="AF160" s="971">
        <f t="shared" si="62"/>
        <v>149940</v>
      </c>
      <c r="AG160" s="857">
        <f t="shared" si="63"/>
        <v>0</v>
      </c>
      <c r="AH160" s="576">
        <v>0</v>
      </c>
      <c r="AI160" s="856">
        <f t="shared" si="65"/>
        <v>0.12232310690231166</v>
      </c>
      <c r="AJ160" s="859">
        <v>0</v>
      </c>
      <c r="AK160" s="583">
        <v>0</v>
      </c>
      <c r="AL160" s="971">
        <f t="shared" si="64"/>
        <v>0</v>
      </c>
      <c r="AM160" s="971">
        <f t="shared" si="52"/>
        <v>149940</v>
      </c>
      <c r="AN160" s="858">
        <f t="shared" si="53"/>
        <v>0</v>
      </c>
      <c r="AO160" s="857">
        <f t="shared" si="54"/>
        <v>3.3409090909090908</v>
      </c>
      <c r="AP160" s="973">
        <f t="shared" si="55"/>
        <v>0</v>
      </c>
      <c r="AQ160" s="855">
        <f t="shared" si="56"/>
        <v>0</v>
      </c>
      <c r="AR160" s="974">
        <f t="shared" si="83"/>
        <v>0.12232310690231166</v>
      </c>
      <c r="AS160" s="975"/>
      <c r="AT160" s="976"/>
      <c r="AU160" s="971"/>
      <c r="AV160" s="976"/>
      <c r="AW160" s="970"/>
      <c r="AX160" s="971"/>
      <c r="AY160" s="971"/>
      <c r="AZ160" s="976"/>
      <c r="BA160" s="972"/>
      <c r="BB160" s="971"/>
      <c r="BC160" s="973"/>
      <c r="BD160" s="973"/>
      <c r="BE160" s="855"/>
      <c r="BF160" s="975"/>
      <c r="BG160" s="975"/>
      <c r="BH160" s="971"/>
      <c r="BI160" s="970"/>
      <c r="BJ160" s="971"/>
      <c r="BK160" s="971"/>
      <c r="BL160" s="976"/>
      <c r="BM160" s="972"/>
      <c r="BN160" s="971"/>
      <c r="BO160" s="973"/>
      <c r="BP160" s="973"/>
      <c r="BQ160" s="855"/>
      <c r="BR160" s="975"/>
      <c r="BS160" s="975"/>
      <c r="BT160" s="978"/>
      <c r="BU160" s="978"/>
      <c r="BV160" s="978">
        <v>0.12</v>
      </c>
      <c r="BW160" s="978">
        <f t="shared" si="57"/>
        <v>0.12232310690231166</v>
      </c>
    </row>
    <row r="161" spans="1:75">
      <c r="A161" s="979">
        <v>2606</v>
      </c>
      <c r="B161" s="979" t="s">
        <v>114</v>
      </c>
      <c r="C161" s="980" t="s">
        <v>831</v>
      </c>
      <c r="D161" s="983" t="s">
        <v>113</v>
      </c>
      <c r="E161" s="955"/>
      <c r="F161" s="955"/>
      <c r="G161" s="955" t="str">
        <f>IFERROR(VLOOKUP(D161,[3]전용!E:J,6,0),"")</f>
        <v/>
      </c>
      <c r="H161" s="854">
        <v>72060</v>
      </c>
      <c r="I161" s="955">
        <v>5</v>
      </c>
      <c r="J161" s="955" t="s">
        <v>286</v>
      </c>
      <c r="K161" s="955">
        <v>4</v>
      </c>
      <c r="L161" s="970">
        <v>2699</v>
      </c>
      <c r="M161" s="971">
        <f t="shared" si="48"/>
        <v>161940</v>
      </c>
      <c r="N161" s="855">
        <v>0.15000800320128049</v>
      </c>
      <c r="O161" s="855"/>
      <c r="P161" s="970">
        <v>2699</v>
      </c>
      <c r="Q161" s="970">
        <f t="shared" si="49"/>
        <v>0</v>
      </c>
      <c r="R161" s="971">
        <f t="shared" si="95"/>
        <v>161940</v>
      </c>
      <c r="S161" s="856">
        <f t="shared" si="58"/>
        <v>-2.9180465031913905E-2</v>
      </c>
      <c r="T161" s="971"/>
      <c r="U161" s="971"/>
      <c r="V161" s="972">
        <v>0</v>
      </c>
      <c r="W161" s="971">
        <f t="shared" si="50"/>
        <v>0</v>
      </c>
      <c r="X161" s="971">
        <f t="shared" si="59"/>
        <v>161940</v>
      </c>
      <c r="Y161" s="858">
        <f t="shared" si="60"/>
        <v>0</v>
      </c>
      <c r="Z161" s="857">
        <f t="shared" si="61"/>
        <v>2.2472939217318899</v>
      </c>
      <c r="AA161" s="856">
        <v>-2.9180465031913905E-2</v>
      </c>
      <c r="AB161" s="856">
        <v>0.19425256875518768</v>
      </c>
      <c r="AC161" s="970">
        <f t="shared" si="51"/>
        <v>2799</v>
      </c>
      <c r="AD161" s="970">
        <v>100</v>
      </c>
      <c r="AE161" s="970">
        <f t="shared" si="46"/>
        <v>269.90000000000003</v>
      </c>
      <c r="AF161" s="971">
        <f t="shared" si="62"/>
        <v>167940</v>
      </c>
      <c r="AG161" s="857">
        <f t="shared" si="63"/>
        <v>3.7050759540570688E-2</v>
      </c>
      <c r="AH161" s="576">
        <v>0</v>
      </c>
      <c r="AI161" s="856">
        <f t="shared" si="65"/>
        <v>2.4165218554599719E-2</v>
      </c>
      <c r="AJ161" s="859">
        <v>0</v>
      </c>
      <c r="AK161" s="583">
        <v>0</v>
      </c>
      <c r="AL161" s="971">
        <f t="shared" si="64"/>
        <v>0</v>
      </c>
      <c r="AM161" s="971">
        <f t="shared" si="52"/>
        <v>167940</v>
      </c>
      <c r="AN161" s="858">
        <f t="shared" si="53"/>
        <v>0</v>
      </c>
      <c r="AO161" s="857">
        <f t="shared" si="54"/>
        <v>2.330557868442964</v>
      </c>
      <c r="AP161" s="973">
        <f t="shared" si="55"/>
        <v>6000</v>
      </c>
      <c r="AQ161" s="855">
        <f t="shared" si="56"/>
        <v>3.7050759540570688E-2</v>
      </c>
      <c r="AR161" s="974">
        <f>IFERROR(AA161+AQ161*0.9,"")+2%</f>
        <v>2.4165218554599719E-2</v>
      </c>
      <c r="AS161" s="975"/>
      <c r="AT161" s="976"/>
      <c r="AU161" s="971"/>
      <c r="AV161" s="976"/>
      <c r="AW161" s="970"/>
      <c r="AX161" s="971"/>
      <c r="AY161" s="971"/>
      <c r="AZ161" s="976"/>
      <c r="BA161" s="972"/>
      <c r="BB161" s="971"/>
      <c r="BC161" s="973"/>
      <c r="BD161" s="973"/>
      <c r="BE161" s="855"/>
      <c r="BF161" s="975"/>
      <c r="BG161" s="975"/>
      <c r="BH161" s="971"/>
      <c r="BI161" s="970"/>
      <c r="BJ161" s="971"/>
      <c r="BK161" s="971"/>
      <c r="BL161" s="976"/>
      <c r="BM161" s="972"/>
      <c r="BN161" s="971"/>
      <c r="BO161" s="973"/>
      <c r="BP161" s="973"/>
      <c r="BQ161" s="855"/>
      <c r="BR161" s="975"/>
      <c r="BS161" s="975"/>
      <c r="BT161" s="978"/>
      <c r="BU161" s="978"/>
      <c r="BV161" s="978">
        <v>0.01</v>
      </c>
      <c r="BW161" s="978">
        <f t="shared" si="57"/>
        <v>-2.9180465031913905E-2</v>
      </c>
    </row>
    <row r="162" spans="1:75">
      <c r="A162" s="979">
        <v>2606</v>
      </c>
      <c r="B162" s="979" t="s">
        <v>114</v>
      </c>
      <c r="C162" s="980" t="s">
        <v>831</v>
      </c>
      <c r="D162" s="980" t="s">
        <v>102</v>
      </c>
      <c r="E162" s="955"/>
      <c r="F162" s="955"/>
      <c r="G162" s="955" t="str">
        <f>IFERROR(VLOOKUP(D162,[3]전용!E:J,6,0),"")</f>
        <v/>
      </c>
      <c r="H162" s="854">
        <v>24510</v>
      </c>
      <c r="I162" s="955">
        <v>5</v>
      </c>
      <c r="J162" s="955" t="s">
        <v>286</v>
      </c>
      <c r="K162" s="955">
        <v>4</v>
      </c>
      <c r="L162" s="970">
        <v>1599</v>
      </c>
      <c r="M162" s="971">
        <f t="shared" si="48"/>
        <v>95940</v>
      </c>
      <c r="N162" s="855">
        <v>0.13573981415296646</v>
      </c>
      <c r="O162" s="855"/>
      <c r="P162" s="970">
        <v>1599</v>
      </c>
      <c r="Q162" s="970">
        <f t="shared" si="49"/>
        <v>0</v>
      </c>
      <c r="R162" s="971">
        <f t="shared" si="95"/>
        <v>95940</v>
      </c>
      <c r="S162" s="856">
        <f t="shared" si="58"/>
        <v>0.20784624972787466</v>
      </c>
      <c r="T162" s="971"/>
      <c r="U162" s="971"/>
      <c r="V162" s="1029">
        <v>0</v>
      </c>
      <c r="W162" s="971">
        <f t="shared" si="50"/>
        <v>0</v>
      </c>
      <c r="X162" s="971">
        <f t="shared" si="59"/>
        <v>95940</v>
      </c>
      <c r="Y162" s="858">
        <f t="shared" si="60"/>
        <v>0</v>
      </c>
      <c r="Z162" s="857">
        <f t="shared" si="61"/>
        <v>3.9143206854345167</v>
      </c>
      <c r="AA162" s="856">
        <v>0.20784624972787466</v>
      </c>
      <c r="AB162" s="856">
        <v>7.7023128706586296E-3</v>
      </c>
      <c r="AC162" s="970">
        <f t="shared" si="51"/>
        <v>1599</v>
      </c>
      <c r="AD162" s="970"/>
      <c r="AE162" s="970">
        <f t="shared" si="46"/>
        <v>0</v>
      </c>
      <c r="AF162" s="971">
        <f t="shared" si="62"/>
        <v>95940</v>
      </c>
      <c r="AG162" s="857">
        <f t="shared" si="63"/>
        <v>0</v>
      </c>
      <c r="AH162" s="576">
        <v>0</v>
      </c>
      <c r="AI162" s="856">
        <f t="shared" si="65"/>
        <v>0.20784624972787466</v>
      </c>
      <c r="AJ162" s="859">
        <v>0</v>
      </c>
      <c r="AK162" s="583">
        <v>0</v>
      </c>
      <c r="AL162" s="971">
        <f t="shared" si="64"/>
        <v>0</v>
      </c>
      <c r="AM162" s="971">
        <f t="shared" si="52"/>
        <v>95940</v>
      </c>
      <c r="AN162" s="858">
        <f t="shared" si="53"/>
        <v>0</v>
      </c>
      <c r="AO162" s="857">
        <f t="shared" si="54"/>
        <v>3.9143206854345167</v>
      </c>
      <c r="AP162" s="973">
        <f t="shared" si="55"/>
        <v>0</v>
      </c>
      <c r="AQ162" s="855">
        <f t="shared" si="56"/>
        <v>0</v>
      </c>
      <c r="AR162" s="974">
        <f t="shared" si="83"/>
        <v>0.20784624972787466</v>
      </c>
      <c r="AS162" s="975"/>
      <c r="AT162" s="976"/>
      <c r="AU162" s="971"/>
      <c r="AV162" s="976"/>
      <c r="AW162" s="970"/>
      <c r="AX162" s="971"/>
      <c r="AY162" s="971"/>
      <c r="AZ162" s="976"/>
      <c r="BA162" s="972"/>
      <c r="BB162" s="971"/>
      <c r="BC162" s="973"/>
      <c r="BD162" s="973"/>
      <c r="BE162" s="855"/>
      <c r="BF162" s="975"/>
      <c r="BG162" s="975"/>
      <c r="BH162" s="971"/>
      <c r="BI162" s="970"/>
      <c r="BJ162" s="971"/>
      <c r="BK162" s="971"/>
      <c r="BL162" s="976"/>
      <c r="BM162" s="972"/>
      <c r="BN162" s="971"/>
      <c r="BO162" s="973"/>
      <c r="BP162" s="973"/>
      <c r="BQ162" s="855"/>
      <c r="BR162" s="975"/>
      <c r="BS162" s="975"/>
      <c r="BT162" s="978"/>
      <c r="BU162" s="978"/>
      <c r="BV162" s="978">
        <v>0.21</v>
      </c>
      <c r="BW162" s="978">
        <f t="shared" si="57"/>
        <v>0.16984624972787465</v>
      </c>
    </row>
    <row r="163" spans="1:75">
      <c r="A163" s="979">
        <v>2606</v>
      </c>
      <c r="B163" s="979" t="s">
        <v>114</v>
      </c>
      <c r="C163" s="980" t="s">
        <v>831</v>
      </c>
      <c r="D163" s="980" t="s">
        <v>103</v>
      </c>
      <c r="E163" s="955"/>
      <c r="F163" s="955"/>
      <c r="G163" s="955" t="str">
        <f>IFERROR(VLOOKUP(D163,[3]전용!E:J,6,0),"")</f>
        <v/>
      </c>
      <c r="H163" s="854">
        <v>27712</v>
      </c>
      <c r="I163" s="955">
        <v>5</v>
      </c>
      <c r="J163" s="955" t="s">
        <v>286</v>
      </c>
      <c r="K163" s="955">
        <v>4</v>
      </c>
      <c r="L163" s="970">
        <v>1699</v>
      </c>
      <c r="M163" s="971">
        <f t="shared" si="48"/>
        <v>101940</v>
      </c>
      <c r="N163" s="855">
        <v>3.3555703802534975E-3</v>
      </c>
      <c r="O163" s="855"/>
      <c r="P163" s="970">
        <v>1699</v>
      </c>
      <c r="Q163" s="970">
        <f t="shared" si="49"/>
        <v>0</v>
      </c>
      <c r="R163" s="971">
        <f t="shared" si="95"/>
        <v>101940</v>
      </c>
      <c r="S163" s="856">
        <f t="shared" si="58"/>
        <v>0.12376222001517392</v>
      </c>
      <c r="T163" s="971"/>
      <c r="U163" s="971"/>
      <c r="V163" s="1029">
        <v>0</v>
      </c>
      <c r="W163" s="971">
        <f t="shared" si="50"/>
        <v>0</v>
      </c>
      <c r="X163" s="971">
        <f t="shared" si="59"/>
        <v>101940</v>
      </c>
      <c r="Y163" s="865">
        <f t="shared" si="60"/>
        <v>0</v>
      </c>
      <c r="Z163" s="857">
        <f t="shared" si="61"/>
        <v>3.6785508083140877</v>
      </c>
      <c r="AA163" s="856">
        <v>0.12376222001517392</v>
      </c>
      <c r="AB163" s="856">
        <v>4.3786149579202547E-3</v>
      </c>
      <c r="AC163" s="970">
        <f t="shared" si="51"/>
        <v>1699</v>
      </c>
      <c r="AD163" s="970"/>
      <c r="AE163" s="970">
        <f t="shared" si="46"/>
        <v>0</v>
      </c>
      <c r="AF163" s="971">
        <f t="shared" si="62"/>
        <v>101940</v>
      </c>
      <c r="AG163" s="857">
        <f t="shared" si="63"/>
        <v>0</v>
      </c>
      <c r="AH163" s="576">
        <v>0</v>
      </c>
      <c r="AI163" s="856">
        <f t="shared" si="65"/>
        <v>0.12376222001517392</v>
      </c>
      <c r="AJ163" s="859">
        <v>0</v>
      </c>
      <c r="AK163" s="583">
        <v>0</v>
      </c>
      <c r="AL163" s="971">
        <f t="shared" si="64"/>
        <v>0</v>
      </c>
      <c r="AM163" s="971">
        <f t="shared" si="52"/>
        <v>101940</v>
      </c>
      <c r="AN163" s="858">
        <f t="shared" si="53"/>
        <v>0</v>
      </c>
      <c r="AO163" s="857">
        <f t="shared" si="54"/>
        <v>3.6785508083140877</v>
      </c>
      <c r="AP163" s="973">
        <f t="shared" si="55"/>
        <v>0</v>
      </c>
      <c r="AQ163" s="855">
        <f t="shared" si="56"/>
        <v>0</v>
      </c>
      <c r="AR163" s="974">
        <f t="shared" si="83"/>
        <v>0.12376222001517392</v>
      </c>
      <c r="AS163" s="975"/>
      <c r="AT163" s="976"/>
      <c r="AU163" s="971"/>
      <c r="AV163" s="976"/>
      <c r="AW163" s="970"/>
      <c r="AX163" s="971"/>
      <c r="AY163" s="971"/>
      <c r="AZ163" s="976"/>
      <c r="BA163" s="972"/>
      <c r="BB163" s="971"/>
      <c r="BC163" s="973"/>
      <c r="BD163" s="973"/>
      <c r="BE163" s="855"/>
      <c r="BF163" s="975"/>
      <c r="BG163" s="975"/>
      <c r="BH163" s="971"/>
      <c r="BI163" s="970"/>
      <c r="BJ163" s="971"/>
      <c r="BK163" s="971"/>
      <c r="BL163" s="976"/>
      <c r="BM163" s="972"/>
      <c r="BN163" s="971"/>
      <c r="BO163" s="973"/>
      <c r="BP163" s="973"/>
      <c r="BQ163" s="855"/>
      <c r="BR163" s="975"/>
      <c r="BS163" s="975"/>
      <c r="BT163" s="978"/>
      <c r="BU163" s="978"/>
      <c r="BV163" s="978">
        <v>0.12</v>
      </c>
      <c r="BW163" s="978">
        <f t="shared" si="57"/>
        <v>0.12376222001517392</v>
      </c>
    </row>
    <row r="164" spans="1:75">
      <c r="A164" s="979">
        <v>2606</v>
      </c>
      <c r="B164" s="979" t="s">
        <v>114</v>
      </c>
      <c r="C164" s="980" t="s">
        <v>831</v>
      </c>
      <c r="D164" s="980" t="s">
        <v>104</v>
      </c>
      <c r="E164" s="955"/>
      <c r="F164" s="955"/>
      <c r="G164" s="955" t="str">
        <f>IFERROR(VLOOKUP(D164,[3]전용!E:J,6,0),"")</f>
        <v/>
      </c>
      <c r="H164" s="854">
        <v>37590</v>
      </c>
      <c r="I164" s="955">
        <v>5</v>
      </c>
      <c r="J164" s="955" t="s">
        <v>286</v>
      </c>
      <c r="K164" s="955">
        <v>4</v>
      </c>
      <c r="L164" s="970">
        <v>1849</v>
      </c>
      <c r="M164" s="971">
        <f t="shared" si="48"/>
        <v>110940</v>
      </c>
      <c r="N164" s="855">
        <v>0.13232140691328076</v>
      </c>
      <c r="O164" s="855"/>
      <c r="P164" s="970">
        <v>1849</v>
      </c>
      <c r="Q164" s="970">
        <f t="shared" si="49"/>
        <v>0</v>
      </c>
      <c r="R164" s="971">
        <f t="shared" si="95"/>
        <v>110940</v>
      </c>
      <c r="S164" s="856">
        <f t="shared" si="58"/>
        <v>0.25088206240171979</v>
      </c>
      <c r="T164" s="971"/>
      <c r="U164" s="971"/>
      <c r="V164" s="1029">
        <v>0</v>
      </c>
      <c r="W164" s="971">
        <f t="shared" si="50"/>
        <v>0</v>
      </c>
      <c r="X164" s="971">
        <f t="shared" si="59"/>
        <v>110940</v>
      </c>
      <c r="Y164" s="865">
        <f t="shared" si="60"/>
        <v>0</v>
      </c>
      <c r="Z164" s="857">
        <f t="shared" si="61"/>
        <v>2.951316839584996</v>
      </c>
      <c r="AA164" s="856">
        <v>0.25088206240171979</v>
      </c>
      <c r="AB164" s="856">
        <v>2.6967020089680493E-2</v>
      </c>
      <c r="AC164" s="970">
        <f t="shared" si="51"/>
        <v>1849</v>
      </c>
      <c r="AD164" s="970"/>
      <c r="AE164" s="970">
        <f t="shared" si="46"/>
        <v>0</v>
      </c>
      <c r="AF164" s="971">
        <f t="shared" si="62"/>
        <v>110940</v>
      </c>
      <c r="AG164" s="857">
        <f t="shared" si="63"/>
        <v>0</v>
      </c>
      <c r="AH164" s="576">
        <v>0</v>
      </c>
      <c r="AI164" s="856">
        <f t="shared" si="65"/>
        <v>0.25088206240171979</v>
      </c>
      <c r="AJ164" s="859">
        <v>0</v>
      </c>
      <c r="AK164" s="583">
        <v>0</v>
      </c>
      <c r="AL164" s="971">
        <f t="shared" si="64"/>
        <v>0</v>
      </c>
      <c r="AM164" s="971">
        <f t="shared" si="52"/>
        <v>110940</v>
      </c>
      <c r="AN164" s="858">
        <f t="shared" si="53"/>
        <v>0</v>
      </c>
      <c r="AO164" s="857">
        <f t="shared" si="54"/>
        <v>2.951316839584996</v>
      </c>
      <c r="AP164" s="973">
        <f t="shared" si="55"/>
        <v>0</v>
      </c>
      <c r="AQ164" s="855">
        <f t="shared" si="56"/>
        <v>0</v>
      </c>
      <c r="AR164" s="974">
        <f t="shared" si="83"/>
        <v>0.25088206240171979</v>
      </c>
      <c r="AS164" s="975"/>
      <c r="AT164" s="976"/>
      <c r="AU164" s="971"/>
      <c r="AV164" s="976"/>
      <c r="AW164" s="970"/>
      <c r="AX164" s="971"/>
      <c r="AY164" s="971"/>
      <c r="AZ164" s="976"/>
      <c r="BA164" s="972"/>
      <c r="BB164" s="971"/>
      <c r="BC164" s="973"/>
      <c r="BD164" s="973"/>
      <c r="BE164" s="855"/>
      <c r="BF164" s="975"/>
      <c r="BG164" s="975"/>
      <c r="BH164" s="971"/>
      <c r="BI164" s="970"/>
      <c r="BJ164" s="971"/>
      <c r="BK164" s="971"/>
      <c r="BL164" s="976"/>
      <c r="BM164" s="972"/>
      <c r="BN164" s="971"/>
      <c r="BO164" s="973"/>
      <c r="BP164" s="973"/>
      <c r="BQ164" s="855"/>
      <c r="BR164" s="975"/>
      <c r="BS164" s="975"/>
      <c r="BT164" s="978"/>
      <c r="BU164" s="978"/>
      <c r="BV164" s="978">
        <v>0.151</v>
      </c>
      <c r="BW164" s="978">
        <f t="shared" si="57"/>
        <v>0.21288206240171978</v>
      </c>
    </row>
    <row r="165" spans="1:75" hidden="1">
      <c r="A165" s="1030">
        <v>2606</v>
      </c>
      <c r="B165" s="1030" t="s">
        <v>292</v>
      </c>
      <c r="C165" s="1031" t="s">
        <v>829</v>
      </c>
      <c r="D165" s="1031" t="s">
        <v>914</v>
      </c>
      <c r="E165" s="1032" t="s">
        <v>90</v>
      </c>
      <c r="F165" s="1030"/>
      <c r="G165" s="955" t="str">
        <f>IFERROR(VLOOKUP(D165,[3]전용!E:J,6,0),"")</f>
        <v/>
      </c>
      <c r="H165" s="866">
        <v>94990</v>
      </c>
      <c r="I165" s="1030">
        <v>5</v>
      </c>
      <c r="J165" s="1030" t="s">
        <v>215</v>
      </c>
      <c r="K165" s="1030" t="s">
        <v>834</v>
      </c>
      <c r="L165" s="1033">
        <v>1999</v>
      </c>
      <c r="M165" s="1034">
        <f t="shared" si="48"/>
        <v>119940</v>
      </c>
      <c r="N165" s="867">
        <v>0.33957834461858283</v>
      </c>
      <c r="O165" s="867"/>
      <c r="P165" s="1033">
        <v>1999</v>
      </c>
      <c r="Q165" s="1033">
        <f t="shared" si="49"/>
        <v>0</v>
      </c>
      <c r="R165" s="1034">
        <f t="shared" si="95"/>
        <v>119940</v>
      </c>
      <c r="S165" s="856">
        <f t="shared" si="58"/>
        <v>0.1876789493939611</v>
      </c>
      <c r="T165" s="1034"/>
      <c r="U165" s="1035"/>
      <c r="V165" s="1031">
        <v>12</v>
      </c>
      <c r="W165" s="971">
        <f t="shared" si="50"/>
        <v>11994</v>
      </c>
      <c r="X165" s="971">
        <f t="shared" si="59"/>
        <v>107946</v>
      </c>
      <c r="Y165" s="868">
        <f t="shared" si="60"/>
        <v>-9.9999999999999978E-2</v>
      </c>
      <c r="Z165" s="861">
        <f t="shared" si="61"/>
        <v>1.1363933045583745</v>
      </c>
      <c r="AA165" s="856">
        <v>0.13767894939396111</v>
      </c>
      <c r="AB165" s="856">
        <v>4.9177276837433864E-5</v>
      </c>
      <c r="AC165" s="970">
        <f t="shared" si="51"/>
        <v>1999</v>
      </c>
      <c r="AD165" s="970"/>
      <c r="AE165" s="970">
        <f t="shared" si="46"/>
        <v>0</v>
      </c>
      <c r="AF165" s="971">
        <f t="shared" si="62"/>
        <v>119940</v>
      </c>
      <c r="AG165" s="861">
        <f t="shared" si="63"/>
        <v>0</v>
      </c>
      <c r="AH165" s="576">
        <v>0</v>
      </c>
      <c r="AI165" s="856">
        <f t="shared" si="65"/>
        <v>0.14045672717173888</v>
      </c>
      <c r="AJ165" s="859">
        <v>0</v>
      </c>
      <c r="AK165" s="583">
        <v>6</v>
      </c>
      <c r="AL165" s="971">
        <f t="shared" si="64"/>
        <v>5997</v>
      </c>
      <c r="AM165" s="971">
        <f t="shared" si="52"/>
        <v>113943</v>
      </c>
      <c r="AN165" s="856">
        <f t="shared" si="53"/>
        <v>-5.0000000000000044E-2</v>
      </c>
      <c r="AO165" s="857">
        <f t="shared" si="54"/>
        <v>1.1995262659227288</v>
      </c>
      <c r="AP165" s="973">
        <f t="shared" si="55"/>
        <v>5997</v>
      </c>
      <c r="AQ165" s="855">
        <f t="shared" si="56"/>
        <v>5.555555555555558E-2</v>
      </c>
      <c r="AR165" s="974">
        <f t="shared" si="83"/>
        <v>0.1654567271717389</v>
      </c>
      <c r="AS165" s="975"/>
      <c r="AT165" s="976"/>
      <c r="AU165" s="971"/>
      <c r="AV165" s="976"/>
      <c r="AW165" s="970"/>
      <c r="AX165" s="971"/>
      <c r="AY165" s="971"/>
      <c r="AZ165" s="976"/>
      <c r="BA165" s="972"/>
      <c r="BB165" s="971"/>
      <c r="BC165" s="973"/>
      <c r="BD165" s="973"/>
      <c r="BE165" s="855"/>
      <c r="BF165" s="975"/>
      <c r="BG165" s="975"/>
      <c r="BH165" s="971"/>
      <c r="BI165" s="970"/>
      <c r="BJ165" s="971"/>
      <c r="BK165" s="971"/>
      <c r="BL165" s="976"/>
      <c r="BM165" s="972"/>
      <c r="BN165" s="971"/>
      <c r="BO165" s="973"/>
      <c r="BP165" s="973"/>
      <c r="BQ165" s="855"/>
      <c r="BR165" s="975"/>
      <c r="BS165" s="975"/>
      <c r="BT165" s="978"/>
      <c r="BU165" s="978"/>
      <c r="BV165" s="978">
        <v>0.13767894939396111</v>
      </c>
      <c r="BW165" s="978">
        <f t="shared" si="57"/>
        <v>0.13767894939396111</v>
      </c>
    </row>
    <row r="166" spans="1:75" hidden="1">
      <c r="A166" s="1030">
        <v>2606</v>
      </c>
      <c r="B166" s="1030" t="s">
        <v>292</v>
      </c>
      <c r="C166" s="1031" t="s">
        <v>829</v>
      </c>
      <c r="D166" s="1031" t="s">
        <v>464</v>
      </c>
      <c r="E166" s="1032" t="s">
        <v>837</v>
      </c>
      <c r="F166" s="1030"/>
      <c r="G166" s="955" t="str">
        <f>IFERROR(VLOOKUP(D166,[3]전용!E:J,6,0),"")</f>
        <v/>
      </c>
      <c r="H166" s="869">
        <v>68160</v>
      </c>
      <c r="I166" s="1030">
        <v>5</v>
      </c>
      <c r="J166" s="1030" t="s">
        <v>215</v>
      </c>
      <c r="K166" s="1030" t="s">
        <v>834</v>
      </c>
      <c r="L166" s="1033">
        <v>1299</v>
      </c>
      <c r="M166" s="1034">
        <f t="shared" si="48"/>
        <v>77940</v>
      </c>
      <c r="N166" s="867">
        <v>0.2882889365074166</v>
      </c>
      <c r="O166" s="867"/>
      <c r="P166" s="1033">
        <v>1299</v>
      </c>
      <c r="Q166" s="1033">
        <f t="shared" si="49"/>
        <v>0</v>
      </c>
      <c r="R166" s="1034">
        <f t="shared" si="95"/>
        <v>77940</v>
      </c>
      <c r="S166" s="856">
        <f t="shared" si="58"/>
        <v>0.1840871596150318</v>
      </c>
      <c r="T166" s="1034"/>
      <c r="U166" s="1035"/>
      <c r="V166" s="1031">
        <v>12</v>
      </c>
      <c r="W166" s="971">
        <f t="shared" si="50"/>
        <v>7794</v>
      </c>
      <c r="X166" s="971">
        <f t="shared" si="59"/>
        <v>70146</v>
      </c>
      <c r="Y166" s="865">
        <f t="shared" si="60"/>
        <v>-9.9999999999999978E-2</v>
      </c>
      <c r="Z166" s="857">
        <f t="shared" si="61"/>
        <v>1.0291373239436619</v>
      </c>
      <c r="AA166" s="856">
        <v>0.13408715961503181</v>
      </c>
      <c r="AB166" s="856">
        <v>4.1235528018488729E-5</v>
      </c>
      <c r="AC166" s="970">
        <f t="shared" si="51"/>
        <v>1299</v>
      </c>
      <c r="AD166" s="970"/>
      <c r="AE166" s="970">
        <f t="shared" si="46"/>
        <v>0</v>
      </c>
      <c r="AF166" s="971">
        <f t="shared" si="62"/>
        <v>77940</v>
      </c>
      <c r="AG166" s="857">
        <f t="shared" si="63"/>
        <v>0</v>
      </c>
      <c r="AH166" s="576">
        <v>0</v>
      </c>
      <c r="AI166" s="856">
        <f t="shared" si="65"/>
        <v>0.13686493739280958</v>
      </c>
      <c r="AJ166" s="859">
        <v>0</v>
      </c>
      <c r="AK166" s="583">
        <v>6</v>
      </c>
      <c r="AL166" s="971">
        <f t="shared" si="64"/>
        <v>3897</v>
      </c>
      <c r="AM166" s="971">
        <f t="shared" si="52"/>
        <v>74043</v>
      </c>
      <c r="AN166" s="858">
        <f t="shared" si="53"/>
        <v>-5.0000000000000044E-2</v>
      </c>
      <c r="AO166" s="857">
        <f t="shared" si="54"/>
        <v>1.0863116197183098</v>
      </c>
      <c r="AP166" s="973">
        <f t="shared" si="55"/>
        <v>3897</v>
      </c>
      <c r="AQ166" s="855">
        <f t="shared" si="56"/>
        <v>5.555555555555558E-2</v>
      </c>
      <c r="AR166" s="974">
        <f t="shared" si="83"/>
        <v>0.1618649373928096</v>
      </c>
      <c r="AS166" s="975"/>
      <c r="AT166" s="976"/>
      <c r="AU166" s="971"/>
      <c r="AV166" s="976"/>
      <c r="AW166" s="970"/>
      <c r="AX166" s="971"/>
      <c r="AY166" s="971"/>
      <c r="AZ166" s="976"/>
      <c r="BA166" s="972"/>
      <c r="BB166" s="971"/>
      <c r="BC166" s="973"/>
      <c r="BD166" s="973"/>
      <c r="BE166" s="855"/>
      <c r="BF166" s="975"/>
      <c r="BG166" s="975"/>
      <c r="BH166" s="971"/>
      <c r="BI166" s="970"/>
      <c r="BJ166" s="971"/>
      <c r="BK166" s="971"/>
      <c r="BL166" s="976"/>
      <c r="BM166" s="972"/>
      <c r="BN166" s="971"/>
      <c r="BO166" s="973"/>
      <c r="BP166" s="973"/>
      <c r="BQ166" s="855"/>
      <c r="BR166" s="975"/>
      <c r="BS166" s="975"/>
      <c r="BT166" s="978"/>
      <c r="BU166" s="978"/>
      <c r="BV166" s="978">
        <v>0.13408715961503181</v>
      </c>
      <c r="BW166" s="978">
        <f t="shared" si="57"/>
        <v>0.13408715961503181</v>
      </c>
    </row>
    <row r="167" spans="1:75" hidden="1">
      <c r="A167" s="1030">
        <v>2606</v>
      </c>
      <c r="B167" s="1030" t="s">
        <v>292</v>
      </c>
      <c r="C167" s="1031" t="s">
        <v>829</v>
      </c>
      <c r="D167" s="1031" t="s">
        <v>465</v>
      </c>
      <c r="E167" s="1032" t="s">
        <v>838</v>
      </c>
      <c r="F167" s="1030"/>
      <c r="G167" s="955" t="str">
        <f>IFERROR(VLOOKUP(D167,[3]전용!E:J,6,0),"")</f>
        <v/>
      </c>
      <c r="H167" s="869">
        <v>54480</v>
      </c>
      <c r="I167" s="1030">
        <v>5</v>
      </c>
      <c r="J167" s="1030" t="s">
        <v>215</v>
      </c>
      <c r="K167" s="1030" t="s">
        <v>834</v>
      </c>
      <c r="L167" s="1033">
        <v>1099</v>
      </c>
      <c r="M167" s="1034">
        <f t="shared" si="48"/>
        <v>65940</v>
      </c>
      <c r="N167" s="867">
        <v>0.33018659641678655</v>
      </c>
      <c r="O167" s="867"/>
      <c r="P167" s="1033">
        <v>1099</v>
      </c>
      <c r="Q167" s="1033">
        <f t="shared" si="49"/>
        <v>0</v>
      </c>
      <c r="R167" s="1034">
        <f t="shared" si="95"/>
        <v>65940</v>
      </c>
      <c r="S167" s="856">
        <f t="shared" si="58"/>
        <v>0.16452357447934668</v>
      </c>
      <c r="T167" s="1034"/>
      <c r="U167" s="1035"/>
      <c r="V167" s="1031">
        <v>12</v>
      </c>
      <c r="W167" s="971">
        <f t="shared" si="50"/>
        <v>6594</v>
      </c>
      <c r="X167" s="971">
        <f t="shared" si="59"/>
        <v>59346</v>
      </c>
      <c r="Y167" s="865">
        <f t="shared" si="60"/>
        <v>-9.9999999999999978E-2</v>
      </c>
      <c r="Z167" s="857">
        <f t="shared" si="61"/>
        <v>1.0893171806167401</v>
      </c>
      <c r="AA167" s="856">
        <v>0.1145235744793467</v>
      </c>
      <c r="AB167" s="856">
        <v>5.4629713937969786E-5</v>
      </c>
      <c r="AC167" s="970">
        <f t="shared" si="51"/>
        <v>1099</v>
      </c>
      <c r="AD167" s="970"/>
      <c r="AE167" s="970">
        <f t="shared" si="46"/>
        <v>0</v>
      </c>
      <c r="AF167" s="971">
        <f t="shared" si="62"/>
        <v>65940</v>
      </c>
      <c r="AG167" s="857">
        <f t="shared" si="63"/>
        <v>0</v>
      </c>
      <c r="AH167" s="576">
        <v>0</v>
      </c>
      <c r="AI167" s="856">
        <f t="shared" si="65"/>
        <v>0.11730135225712446</v>
      </c>
      <c r="AJ167" s="859">
        <v>0</v>
      </c>
      <c r="AK167" s="583">
        <v>6</v>
      </c>
      <c r="AL167" s="971">
        <f t="shared" si="64"/>
        <v>3297</v>
      </c>
      <c r="AM167" s="971">
        <f t="shared" si="52"/>
        <v>62643</v>
      </c>
      <c r="AN167" s="858">
        <f t="shared" si="53"/>
        <v>-5.0000000000000044E-2</v>
      </c>
      <c r="AO167" s="857">
        <f t="shared" si="54"/>
        <v>1.1498348017621145</v>
      </c>
      <c r="AP167" s="973">
        <f t="shared" si="55"/>
        <v>3297</v>
      </c>
      <c r="AQ167" s="855">
        <f t="shared" si="56"/>
        <v>5.555555555555558E-2</v>
      </c>
      <c r="AR167" s="974">
        <f t="shared" si="83"/>
        <v>0.14230135225712448</v>
      </c>
      <c r="AS167" s="975"/>
      <c r="AT167" s="976"/>
      <c r="AU167" s="971"/>
      <c r="AV167" s="976"/>
      <c r="AW167" s="970"/>
      <c r="AX167" s="971"/>
      <c r="AY167" s="971"/>
      <c r="AZ167" s="976"/>
      <c r="BA167" s="972"/>
      <c r="BB167" s="971"/>
      <c r="BC167" s="973"/>
      <c r="BD167" s="973"/>
      <c r="BE167" s="855"/>
      <c r="BF167" s="975"/>
      <c r="BG167" s="975"/>
      <c r="BH167" s="971"/>
      <c r="BI167" s="970"/>
      <c r="BJ167" s="971"/>
      <c r="BK167" s="971"/>
      <c r="BL167" s="976"/>
      <c r="BM167" s="972"/>
      <c r="BN167" s="971"/>
      <c r="BO167" s="973"/>
      <c r="BP167" s="973"/>
      <c r="BQ167" s="855"/>
      <c r="BR167" s="975"/>
      <c r="BS167" s="975"/>
      <c r="BT167" s="978"/>
      <c r="BU167" s="978"/>
      <c r="BV167" s="978">
        <v>0.1145235744793467</v>
      </c>
      <c r="BW167" s="978">
        <f t="shared" si="57"/>
        <v>0.1145235744793467</v>
      </c>
    </row>
    <row r="168" spans="1:75" hidden="1">
      <c r="A168" s="1030" t="s">
        <v>308</v>
      </c>
      <c r="B168" s="1030" t="s">
        <v>292</v>
      </c>
      <c r="C168" s="1031" t="s">
        <v>829</v>
      </c>
      <c r="D168" s="1031" t="s">
        <v>800</v>
      </c>
      <c r="E168" s="1032"/>
      <c r="F168" s="1030"/>
      <c r="G168" s="955"/>
      <c r="H168" s="869">
        <v>139900</v>
      </c>
      <c r="I168" s="1030">
        <v>5</v>
      </c>
      <c r="J168" s="1030" t="s">
        <v>215</v>
      </c>
      <c r="K168" s="1030" t="s">
        <v>834</v>
      </c>
      <c r="L168" s="1033">
        <v>2599</v>
      </c>
      <c r="M168" s="1034">
        <f t="shared" si="48"/>
        <v>155940</v>
      </c>
      <c r="N168" s="867">
        <v>0.2</v>
      </c>
      <c r="O168" s="867"/>
      <c r="P168" s="1033">
        <v>2599</v>
      </c>
      <c r="Q168" s="1033">
        <f t="shared" si="49"/>
        <v>0</v>
      </c>
      <c r="R168" s="1034">
        <f t="shared" si="95"/>
        <v>155940</v>
      </c>
      <c r="S168" s="856">
        <v>0.2</v>
      </c>
      <c r="T168" s="1034"/>
      <c r="U168" s="1035"/>
      <c r="V168" s="1031">
        <v>0</v>
      </c>
      <c r="W168" s="971">
        <f t="shared" si="50"/>
        <v>0</v>
      </c>
      <c r="X168" s="971">
        <f t="shared" si="59"/>
        <v>155940</v>
      </c>
      <c r="Y168" s="865">
        <f t="shared" si="60"/>
        <v>0</v>
      </c>
      <c r="Z168" s="857">
        <f t="shared" si="61"/>
        <v>1.1146533238027163</v>
      </c>
      <c r="AA168" s="856">
        <v>0.2</v>
      </c>
      <c r="AB168" s="856">
        <v>5.4629713937969786E-5</v>
      </c>
      <c r="AC168" s="970">
        <v>2599</v>
      </c>
      <c r="AD168" s="970"/>
      <c r="AE168" s="970">
        <f t="shared" ref="AE168:AE185" si="96">IF(AA168&gt;10%,0,IF(AA168&gt;5%,P168*0.04,IF(AA168&gt;0%,P168*0.075, P168*0.1)))</f>
        <v>0</v>
      </c>
      <c r="AF168" s="971">
        <f t="shared" si="62"/>
        <v>155940</v>
      </c>
      <c r="AG168" s="857">
        <f t="shared" si="63"/>
        <v>0</v>
      </c>
      <c r="AH168" s="576">
        <v>0</v>
      </c>
      <c r="AI168" s="856">
        <f t="shared" si="65"/>
        <v>0.14999999999999997</v>
      </c>
      <c r="AJ168" s="859">
        <v>0</v>
      </c>
      <c r="AK168" s="583">
        <v>6</v>
      </c>
      <c r="AL168" s="971">
        <f t="shared" si="64"/>
        <v>7797</v>
      </c>
      <c r="AM168" s="971">
        <f t="shared" si="52"/>
        <v>148143</v>
      </c>
      <c r="AN168" s="858">
        <f t="shared" si="53"/>
        <v>-5.0000000000000044E-2</v>
      </c>
      <c r="AO168" s="857">
        <f t="shared" si="54"/>
        <v>1.0589206576125805</v>
      </c>
      <c r="AP168" s="973">
        <f t="shared" si="55"/>
        <v>-7797</v>
      </c>
      <c r="AQ168" s="855">
        <f t="shared" si="56"/>
        <v>-5.0000000000000044E-2</v>
      </c>
      <c r="AR168" s="974">
        <f t="shared" si="83"/>
        <v>0.17499999999999999</v>
      </c>
      <c r="AS168" s="975"/>
      <c r="AT168" s="976"/>
      <c r="AU168" s="971"/>
      <c r="AV168" s="976"/>
      <c r="AW168" s="970"/>
      <c r="AX168" s="971"/>
      <c r="AY168" s="971"/>
      <c r="AZ168" s="976"/>
      <c r="BA168" s="972"/>
      <c r="BB168" s="971"/>
      <c r="BC168" s="973"/>
      <c r="BD168" s="973"/>
      <c r="BE168" s="855"/>
      <c r="BF168" s="975"/>
      <c r="BG168" s="975"/>
      <c r="BH168" s="971"/>
      <c r="BI168" s="970"/>
      <c r="BJ168" s="971"/>
      <c r="BK168" s="971"/>
      <c r="BL168" s="976"/>
      <c r="BM168" s="972"/>
      <c r="BN168" s="971"/>
      <c r="BO168" s="973"/>
      <c r="BP168" s="973"/>
      <c r="BQ168" s="855"/>
      <c r="BR168" s="975"/>
      <c r="BS168" s="975"/>
      <c r="BT168" s="978"/>
      <c r="BU168" s="978"/>
      <c r="BV168" s="978"/>
      <c r="BW168" s="978"/>
    </row>
    <row r="169" spans="1:75" hidden="1">
      <c r="A169" s="1030">
        <v>2606</v>
      </c>
      <c r="B169" s="1030" t="s">
        <v>292</v>
      </c>
      <c r="C169" s="1031" t="s">
        <v>829</v>
      </c>
      <c r="D169" s="1031" t="s">
        <v>722</v>
      </c>
      <c r="E169" s="1031"/>
      <c r="F169" s="1030"/>
      <c r="G169" s="955" t="str">
        <f>IFERROR(VLOOKUP(D169,[3]전용!E:J,6,0),"")</f>
        <v/>
      </c>
      <c r="H169" s="869">
        <v>66990</v>
      </c>
      <c r="I169" s="1030">
        <v>5</v>
      </c>
      <c r="J169" s="1030" t="s">
        <v>215</v>
      </c>
      <c r="K169" s="1030" t="s">
        <v>834</v>
      </c>
      <c r="L169" s="1033">
        <v>1349</v>
      </c>
      <c r="M169" s="1034">
        <f t="shared" si="48"/>
        <v>80940</v>
      </c>
      <c r="N169" s="867">
        <v>0.25317017439212786</v>
      </c>
      <c r="O169" s="867"/>
      <c r="P169" s="1033">
        <v>1349</v>
      </c>
      <c r="Q169" s="1033">
        <f t="shared" si="49"/>
        <v>0</v>
      </c>
      <c r="R169" s="1034">
        <f t="shared" si="95"/>
        <v>80940</v>
      </c>
      <c r="S169" s="856">
        <f t="shared" si="58"/>
        <v>0.13500000000000001</v>
      </c>
      <c r="T169" s="1034"/>
      <c r="U169" s="1035"/>
      <c r="V169" s="1031">
        <v>6</v>
      </c>
      <c r="W169" s="971">
        <f t="shared" si="50"/>
        <v>4047</v>
      </c>
      <c r="X169" s="971">
        <f t="shared" si="59"/>
        <v>76893</v>
      </c>
      <c r="Y169" s="865">
        <f t="shared" ref="Y169:Y185" si="97">X169/M169-1</f>
        <v>-5.0000000000000044E-2</v>
      </c>
      <c r="Z169" s="857">
        <f t="shared" si="61"/>
        <v>1.1478280340349305</v>
      </c>
      <c r="AA169" s="856">
        <v>0.11</v>
      </c>
      <c r="AB169" s="856">
        <v>0.02</v>
      </c>
      <c r="AC169" s="970">
        <f t="shared" si="51"/>
        <v>1349</v>
      </c>
      <c r="AD169" s="970"/>
      <c r="AE169" s="970">
        <f t="shared" si="96"/>
        <v>0</v>
      </c>
      <c r="AF169" s="971">
        <f t="shared" si="62"/>
        <v>80940</v>
      </c>
      <c r="AG169" s="857">
        <f t="shared" si="63"/>
        <v>0</v>
      </c>
      <c r="AH169" s="576">
        <v>0</v>
      </c>
      <c r="AI169" s="856">
        <f t="shared" si="65"/>
        <v>0.13631578947368417</v>
      </c>
      <c r="AJ169" s="859">
        <v>0</v>
      </c>
      <c r="AK169" s="583">
        <v>0</v>
      </c>
      <c r="AL169" s="971">
        <f t="shared" si="64"/>
        <v>0</v>
      </c>
      <c r="AM169" s="971">
        <f t="shared" si="52"/>
        <v>80940</v>
      </c>
      <c r="AN169" s="858">
        <f t="shared" si="53"/>
        <v>0</v>
      </c>
      <c r="AO169" s="857">
        <f t="shared" si="54"/>
        <v>1.2082400358262426</v>
      </c>
      <c r="AP169" s="1036">
        <f t="shared" si="55"/>
        <v>4047</v>
      </c>
      <c r="AQ169" s="855">
        <f t="shared" si="56"/>
        <v>5.2631578947368363E-2</v>
      </c>
      <c r="AR169" s="974">
        <f t="shared" si="83"/>
        <v>0.13631578947368417</v>
      </c>
      <c r="AS169" s="975"/>
      <c r="AT169" s="976"/>
      <c r="AU169" s="971"/>
      <c r="AV169" s="976"/>
      <c r="AW169" s="970"/>
      <c r="AX169" s="971"/>
      <c r="AY169" s="971"/>
      <c r="AZ169" s="976"/>
      <c r="BA169" s="972"/>
      <c r="BB169" s="971"/>
      <c r="BC169" s="973"/>
      <c r="BD169" s="973"/>
      <c r="BE169" s="855"/>
      <c r="BF169" s="975"/>
      <c r="BG169" s="975"/>
      <c r="BH169" s="971"/>
      <c r="BI169" s="970"/>
      <c r="BJ169" s="971"/>
      <c r="BK169" s="971"/>
      <c r="BL169" s="976"/>
      <c r="BM169" s="972"/>
      <c r="BN169" s="971"/>
      <c r="BO169" s="973"/>
      <c r="BP169" s="973"/>
      <c r="BQ169" s="855"/>
      <c r="BR169" s="975"/>
      <c r="BS169" s="975"/>
      <c r="BT169" s="978"/>
      <c r="BU169" s="978"/>
      <c r="BV169" s="978">
        <v>0.11</v>
      </c>
      <c r="BW169" s="978">
        <f t="shared" si="57"/>
        <v>0.11</v>
      </c>
    </row>
    <row r="170" spans="1:75" hidden="1">
      <c r="A170" s="1030">
        <v>2606</v>
      </c>
      <c r="B170" s="1030" t="s">
        <v>292</v>
      </c>
      <c r="C170" s="1031" t="s">
        <v>829</v>
      </c>
      <c r="D170" s="1031" t="s">
        <v>466</v>
      </c>
      <c r="E170" s="1032" t="s">
        <v>201</v>
      </c>
      <c r="F170" s="1030"/>
      <c r="G170" s="955" t="str">
        <f>IFERROR(VLOOKUP(D170,[3]전용!E:J,6,0),"")</f>
        <v/>
      </c>
      <c r="H170" s="869">
        <v>27960</v>
      </c>
      <c r="I170" s="1030">
        <v>5</v>
      </c>
      <c r="J170" s="1030" t="s">
        <v>215</v>
      </c>
      <c r="K170" s="1030" t="s">
        <v>834</v>
      </c>
      <c r="L170" s="1033">
        <v>649</v>
      </c>
      <c r="M170" s="1034">
        <f t="shared" si="48"/>
        <v>38940</v>
      </c>
      <c r="N170" s="867">
        <v>0.25119613375131022</v>
      </c>
      <c r="O170" s="867"/>
      <c r="P170" s="1033">
        <v>649</v>
      </c>
      <c r="Q170" s="1033">
        <f t="shared" si="49"/>
        <v>0</v>
      </c>
      <c r="R170" s="1034">
        <f t="shared" si="95"/>
        <v>38940</v>
      </c>
      <c r="S170" s="856">
        <f t="shared" si="58"/>
        <v>0.13500000000000001</v>
      </c>
      <c r="T170" s="1034"/>
      <c r="U170" s="1035"/>
      <c r="V170" s="1029">
        <v>6</v>
      </c>
      <c r="W170" s="971">
        <f t="shared" si="50"/>
        <v>1947</v>
      </c>
      <c r="X170" s="971">
        <f t="shared" si="59"/>
        <v>36993</v>
      </c>
      <c r="Y170" s="865">
        <f t="shared" si="97"/>
        <v>-5.0000000000000044E-2</v>
      </c>
      <c r="Z170" s="857">
        <f t="shared" si="61"/>
        <v>1.323068669527897</v>
      </c>
      <c r="AA170" s="856">
        <v>0.11</v>
      </c>
      <c r="AB170" s="856">
        <v>0.02</v>
      </c>
      <c r="AC170" s="970">
        <f t="shared" si="51"/>
        <v>649</v>
      </c>
      <c r="AD170" s="970"/>
      <c r="AE170" s="970">
        <f t="shared" si="96"/>
        <v>0</v>
      </c>
      <c r="AF170" s="971">
        <f t="shared" si="62"/>
        <v>38940</v>
      </c>
      <c r="AG170" s="857">
        <f t="shared" si="63"/>
        <v>0</v>
      </c>
      <c r="AH170" s="576">
        <v>0</v>
      </c>
      <c r="AI170" s="856">
        <f t="shared" si="65"/>
        <v>0.13631578947368417</v>
      </c>
      <c r="AJ170" s="859">
        <v>0</v>
      </c>
      <c r="AK170" s="583">
        <v>0</v>
      </c>
      <c r="AL170" s="971">
        <f t="shared" si="64"/>
        <v>0</v>
      </c>
      <c r="AM170" s="971">
        <f t="shared" si="52"/>
        <v>38940</v>
      </c>
      <c r="AN170" s="858">
        <f t="shared" si="53"/>
        <v>0</v>
      </c>
      <c r="AO170" s="857">
        <f t="shared" si="54"/>
        <v>1.3927038626609443</v>
      </c>
      <c r="AP170" s="1036">
        <f t="shared" si="55"/>
        <v>1947</v>
      </c>
      <c r="AQ170" s="855">
        <f t="shared" si="56"/>
        <v>5.2631578947368363E-2</v>
      </c>
      <c r="AR170" s="974">
        <f t="shared" si="83"/>
        <v>0.13631578947368417</v>
      </c>
      <c r="AS170" s="975"/>
      <c r="AT170" s="976"/>
      <c r="AU170" s="971"/>
      <c r="AV170" s="976"/>
      <c r="AW170" s="970"/>
      <c r="AX170" s="971"/>
      <c r="AY170" s="971"/>
      <c r="AZ170" s="976"/>
      <c r="BA170" s="972"/>
      <c r="BB170" s="971"/>
      <c r="BC170" s="973"/>
      <c r="BD170" s="973"/>
      <c r="BE170" s="855"/>
      <c r="BF170" s="975"/>
      <c r="BG170" s="975"/>
      <c r="BH170" s="971"/>
      <c r="BI170" s="970"/>
      <c r="BJ170" s="971"/>
      <c r="BK170" s="971"/>
      <c r="BL170" s="976"/>
      <c r="BM170" s="972"/>
      <c r="BN170" s="971"/>
      <c r="BO170" s="973"/>
      <c r="BP170" s="973"/>
      <c r="BQ170" s="855"/>
      <c r="BR170" s="975"/>
      <c r="BS170" s="975"/>
      <c r="BT170" s="978"/>
      <c r="BU170" s="978"/>
      <c r="BV170" s="978">
        <v>0.1</v>
      </c>
      <c r="BW170" s="978">
        <f t="shared" si="57"/>
        <v>0.11</v>
      </c>
    </row>
    <row r="171" spans="1:75" hidden="1">
      <c r="A171" s="1030">
        <v>2606</v>
      </c>
      <c r="B171" s="1030" t="s">
        <v>292</v>
      </c>
      <c r="C171" s="1031" t="s">
        <v>829</v>
      </c>
      <c r="D171" s="1031" t="s">
        <v>467</v>
      </c>
      <c r="E171" s="1032" t="s">
        <v>93</v>
      </c>
      <c r="F171" s="1030"/>
      <c r="G171" s="955" t="str">
        <f>IFERROR(VLOOKUP(D171,[3]전용!E:J,6,0),"")</f>
        <v/>
      </c>
      <c r="H171" s="866">
        <v>23160</v>
      </c>
      <c r="I171" s="1030">
        <v>5</v>
      </c>
      <c r="J171" s="1030" t="s">
        <v>215</v>
      </c>
      <c r="K171" s="1030" t="s">
        <v>834</v>
      </c>
      <c r="L171" s="1033">
        <v>549</v>
      </c>
      <c r="M171" s="1034">
        <f t="shared" si="48"/>
        <v>32940</v>
      </c>
      <c r="N171" s="867">
        <v>0.28111821257154396</v>
      </c>
      <c r="O171" s="867"/>
      <c r="P171" s="1033">
        <v>549</v>
      </c>
      <c r="Q171" s="1033">
        <f t="shared" si="49"/>
        <v>0</v>
      </c>
      <c r="R171" s="1034">
        <f t="shared" si="95"/>
        <v>32940</v>
      </c>
      <c r="S171" s="856">
        <f t="shared" si="58"/>
        <v>0.19793507560847357</v>
      </c>
      <c r="T171" s="1034"/>
      <c r="U171" s="1035"/>
      <c r="V171" s="1029">
        <v>6</v>
      </c>
      <c r="W171" s="971">
        <f t="shared" si="50"/>
        <v>1647</v>
      </c>
      <c r="X171" s="971">
        <f t="shared" si="59"/>
        <v>31293</v>
      </c>
      <c r="Y171" s="868">
        <f t="shared" si="97"/>
        <v>-5.0000000000000044E-2</v>
      </c>
      <c r="Z171" s="861">
        <f t="shared" si="61"/>
        <v>1.3511658031088083</v>
      </c>
      <c r="AA171" s="856">
        <v>0.17293507560847354</v>
      </c>
      <c r="AB171" s="856">
        <v>5.0249493286011782E-5</v>
      </c>
      <c r="AC171" s="970">
        <f t="shared" si="51"/>
        <v>549</v>
      </c>
      <c r="AD171" s="970"/>
      <c r="AE171" s="970">
        <f t="shared" si="96"/>
        <v>0</v>
      </c>
      <c r="AF171" s="971">
        <f t="shared" si="62"/>
        <v>32940</v>
      </c>
      <c r="AG171" s="861">
        <f t="shared" si="63"/>
        <v>0</v>
      </c>
      <c r="AH171" s="576">
        <v>0</v>
      </c>
      <c r="AI171" s="856">
        <f t="shared" si="65"/>
        <v>0.19925086508215772</v>
      </c>
      <c r="AJ171" s="859">
        <v>0</v>
      </c>
      <c r="AK171" s="583">
        <v>0</v>
      </c>
      <c r="AL171" s="971">
        <f t="shared" si="64"/>
        <v>0</v>
      </c>
      <c r="AM171" s="971">
        <f t="shared" si="52"/>
        <v>32940</v>
      </c>
      <c r="AN171" s="856">
        <f t="shared" si="53"/>
        <v>0</v>
      </c>
      <c r="AO171" s="857">
        <f t="shared" si="54"/>
        <v>1.4222797927461139</v>
      </c>
      <c r="AP171" s="1036">
        <f t="shared" si="55"/>
        <v>1647</v>
      </c>
      <c r="AQ171" s="855">
        <f t="shared" si="56"/>
        <v>5.2631578947368363E-2</v>
      </c>
      <c r="AR171" s="974">
        <f t="shared" si="83"/>
        <v>0.19925086508215772</v>
      </c>
      <c r="AS171" s="975"/>
      <c r="AT171" s="976"/>
      <c r="AU171" s="971"/>
      <c r="AV171" s="976"/>
      <c r="AW171" s="970"/>
      <c r="AX171" s="971"/>
      <c r="AY171" s="971"/>
      <c r="AZ171" s="976"/>
      <c r="BA171" s="972"/>
      <c r="BB171" s="971"/>
      <c r="BC171" s="973"/>
      <c r="BD171" s="973"/>
      <c r="BE171" s="855"/>
      <c r="BF171" s="975"/>
      <c r="BG171" s="975"/>
      <c r="BH171" s="971"/>
      <c r="BI171" s="970"/>
      <c r="BJ171" s="971"/>
      <c r="BK171" s="971"/>
      <c r="BL171" s="976"/>
      <c r="BM171" s="972"/>
      <c r="BN171" s="971"/>
      <c r="BO171" s="973"/>
      <c r="BP171" s="973"/>
      <c r="BQ171" s="855"/>
      <c r="BR171" s="975"/>
      <c r="BS171" s="975"/>
      <c r="BT171" s="978"/>
      <c r="BU171" s="978"/>
      <c r="BV171" s="978">
        <v>0.17293507560847354</v>
      </c>
      <c r="BW171" s="978">
        <f t="shared" si="57"/>
        <v>0.17293507560847354</v>
      </c>
    </row>
    <row r="172" spans="1:75" hidden="1">
      <c r="A172" s="1030">
        <v>2606</v>
      </c>
      <c r="B172" s="1030" t="s">
        <v>292</v>
      </c>
      <c r="C172" s="1031" t="s">
        <v>829</v>
      </c>
      <c r="D172" s="1031" t="s">
        <v>915</v>
      </c>
      <c r="E172" s="1032" t="s">
        <v>94</v>
      </c>
      <c r="F172" s="1030"/>
      <c r="G172" s="955" t="str">
        <f>IFERROR(VLOOKUP(D172,[3]전용!E:J,6,0),"")</f>
        <v/>
      </c>
      <c r="H172" s="869">
        <v>32760</v>
      </c>
      <c r="I172" s="1030">
        <v>5</v>
      </c>
      <c r="J172" s="1030" t="s">
        <v>215</v>
      </c>
      <c r="K172" s="1030" t="s">
        <v>834</v>
      </c>
      <c r="L172" s="1033">
        <v>699</v>
      </c>
      <c r="M172" s="1034">
        <f t="shared" si="48"/>
        <v>41940</v>
      </c>
      <c r="N172" s="867">
        <v>0.17311544437912141</v>
      </c>
      <c r="O172" s="867"/>
      <c r="P172" s="1033">
        <v>699</v>
      </c>
      <c r="Q172" s="1033">
        <f t="shared" si="49"/>
        <v>0</v>
      </c>
      <c r="R172" s="1034">
        <f t="shared" si="95"/>
        <v>41940</v>
      </c>
      <c r="S172" s="856">
        <f t="shared" si="58"/>
        <v>0.13500000000000001</v>
      </c>
      <c r="T172" s="1034"/>
      <c r="U172" s="1035"/>
      <c r="V172" s="1031">
        <v>6</v>
      </c>
      <c r="W172" s="971">
        <f t="shared" si="50"/>
        <v>2097</v>
      </c>
      <c r="X172" s="971">
        <f t="shared" si="59"/>
        <v>39843</v>
      </c>
      <c r="Y172" s="865">
        <f t="shared" si="97"/>
        <v>-5.0000000000000044E-2</v>
      </c>
      <c r="Z172" s="857">
        <f t="shared" si="61"/>
        <v>1.2162087912087911</v>
      </c>
      <c r="AA172" s="856">
        <v>0.11</v>
      </c>
      <c r="AB172" s="856">
        <v>0.02</v>
      </c>
      <c r="AC172" s="970">
        <f t="shared" si="51"/>
        <v>699</v>
      </c>
      <c r="AD172" s="970"/>
      <c r="AE172" s="970">
        <f t="shared" si="96"/>
        <v>0</v>
      </c>
      <c r="AF172" s="971">
        <f t="shared" si="62"/>
        <v>41940</v>
      </c>
      <c r="AG172" s="857">
        <f t="shared" si="63"/>
        <v>0</v>
      </c>
      <c r="AH172" s="576">
        <v>0</v>
      </c>
      <c r="AI172" s="856">
        <f t="shared" si="65"/>
        <v>0.13631578947368417</v>
      </c>
      <c r="AJ172" s="859">
        <v>0</v>
      </c>
      <c r="AK172" s="583">
        <v>0</v>
      </c>
      <c r="AL172" s="971">
        <f t="shared" si="64"/>
        <v>0</v>
      </c>
      <c r="AM172" s="971">
        <f t="shared" si="52"/>
        <v>41940</v>
      </c>
      <c r="AN172" s="858">
        <f t="shared" si="53"/>
        <v>0</v>
      </c>
      <c r="AO172" s="857">
        <f t="shared" si="54"/>
        <v>1.2802197802197801</v>
      </c>
      <c r="AP172" s="1036">
        <f t="shared" si="55"/>
        <v>2097</v>
      </c>
      <c r="AQ172" s="855">
        <f t="shared" si="56"/>
        <v>5.2631578947368363E-2</v>
      </c>
      <c r="AR172" s="974">
        <f t="shared" si="83"/>
        <v>0.13631578947368417</v>
      </c>
      <c r="AS172" s="975"/>
      <c r="AT172" s="976"/>
      <c r="AU172" s="971"/>
      <c r="AV172" s="976"/>
      <c r="AW172" s="970"/>
      <c r="AX172" s="971"/>
      <c r="AY172" s="971"/>
      <c r="AZ172" s="976"/>
      <c r="BA172" s="972"/>
      <c r="BB172" s="971"/>
      <c r="BC172" s="973"/>
      <c r="BD172" s="973"/>
      <c r="BE172" s="855"/>
      <c r="BF172" s="975"/>
      <c r="BG172" s="975"/>
      <c r="BH172" s="971"/>
      <c r="BI172" s="970"/>
      <c r="BJ172" s="971"/>
      <c r="BK172" s="971"/>
      <c r="BL172" s="976"/>
      <c r="BM172" s="972"/>
      <c r="BN172" s="971"/>
      <c r="BO172" s="973"/>
      <c r="BP172" s="973"/>
      <c r="BQ172" s="855"/>
      <c r="BR172" s="975"/>
      <c r="BS172" s="975"/>
      <c r="BT172" s="978"/>
      <c r="BU172" s="978"/>
      <c r="BV172" s="978">
        <v>0.1</v>
      </c>
      <c r="BW172" s="978">
        <f t="shared" si="57"/>
        <v>0.11</v>
      </c>
    </row>
    <row r="173" spans="1:75" hidden="1">
      <c r="A173" s="1030">
        <v>2606</v>
      </c>
      <c r="B173" s="1030" t="s">
        <v>292</v>
      </c>
      <c r="C173" s="1031" t="s">
        <v>829</v>
      </c>
      <c r="D173" s="1031" t="s">
        <v>469</v>
      </c>
      <c r="E173" s="1032" t="s">
        <v>95</v>
      </c>
      <c r="F173" s="1030"/>
      <c r="G173" s="955" t="str">
        <f>IFERROR(VLOOKUP(D173,[3]전용!E:J,6,0),"")</f>
        <v/>
      </c>
      <c r="H173" s="869">
        <v>23160</v>
      </c>
      <c r="I173" s="1030">
        <v>5</v>
      </c>
      <c r="J173" s="1030" t="s">
        <v>215</v>
      </c>
      <c r="K173" s="1030" t="s">
        <v>834</v>
      </c>
      <c r="L173" s="1033">
        <v>499</v>
      </c>
      <c r="M173" s="1034">
        <f t="shared" si="48"/>
        <v>29940</v>
      </c>
      <c r="N173" s="867">
        <v>0.19212307985469235</v>
      </c>
      <c r="O173" s="867"/>
      <c r="P173" s="1033">
        <v>499</v>
      </c>
      <c r="Q173" s="1033">
        <f t="shared" si="49"/>
        <v>0</v>
      </c>
      <c r="R173" s="1034">
        <f t="shared" si="95"/>
        <v>29940</v>
      </c>
      <c r="S173" s="856">
        <f t="shared" si="58"/>
        <v>9.1656822488227804E-2</v>
      </c>
      <c r="T173" s="1034"/>
      <c r="U173" s="1035"/>
      <c r="V173" s="1031">
        <v>6</v>
      </c>
      <c r="W173" s="971">
        <f t="shared" si="50"/>
        <v>1497</v>
      </c>
      <c r="X173" s="971">
        <f t="shared" si="59"/>
        <v>28443</v>
      </c>
      <c r="Y173" s="865">
        <f t="shared" si="97"/>
        <v>-5.0000000000000044E-2</v>
      </c>
      <c r="Z173" s="857">
        <f t="shared" si="61"/>
        <v>1.2281088082901555</v>
      </c>
      <c r="AA173" s="856">
        <v>6.6656822488227782E-2</v>
      </c>
      <c r="AB173" s="856">
        <v>5.4715615776718387E-5</v>
      </c>
      <c r="AC173" s="970">
        <f t="shared" si="51"/>
        <v>549</v>
      </c>
      <c r="AD173" s="970">
        <v>50</v>
      </c>
      <c r="AE173" s="970">
        <f t="shared" si="96"/>
        <v>19.96</v>
      </c>
      <c r="AF173" s="971">
        <f t="shared" si="62"/>
        <v>32940</v>
      </c>
      <c r="AG173" s="857">
        <f t="shared" si="63"/>
        <v>0.10020040080160331</v>
      </c>
      <c r="AH173" s="576">
        <v>0</v>
      </c>
      <c r="AI173" s="856">
        <f t="shared" si="65"/>
        <v>0.1457096650153874</v>
      </c>
      <c r="AJ173" s="859">
        <v>0</v>
      </c>
      <c r="AK173" s="583">
        <v>0</v>
      </c>
      <c r="AL173" s="971">
        <f t="shared" si="64"/>
        <v>0</v>
      </c>
      <c r="AM173" s="971">
        <f t="shared" si="52"/>
        <v>32940</v>
      </c>
      <c r="AN173" s="858">
        <f t="shared" si="53"/>
        <v>0</v>
      </c>
      <c r="AO173" s="857">
        <f t="shared" si="54"/>
        <v>1.4222797927461139</v>
      </c>
      <c r="AP173" s="1036">
        <f t="shared" si="55"/>
        <v>4497</v>
      </c>
      <c r="AQ173" s="855">
        <f t="shared" si="56"/>
        <v>0.15810568505431921</v>
      </c>
      <c r="AR173" s="974">
        <f t="shared" si="83"/>
        <v>0.1457096650153874</v>
      </c>
      <c r="AS173" s="975"/>
      <c r="AT173" s="976"/>
      <c r="AU173" s="971"/>
      <c r="AV173" s="976"/>
      <c r="AW173" s="970"/>
      <c r="AX173" s="971"/>
      <c r="AY173" s="971"/>
      <c r="AZ173" s="976"/>
      <c r="BA173" s="972"/>
      <c r="BB173" s="971"/>
      <c r="BC173" s="973"/>
      <c r="BD173" s="973"/>
      <c r="BE173" s="855"/>
      <c r="BF173" s="975"/>
      <c r="BG173" s="975"/>
      <c r="BH173" s="971"/>
      <c r="BI173" s="970"/>
      <c r="BJ173" s="971"/>
      <c r="BK173" s="971"/>
      <c r="BL173" s="976"/>
      <c r="BM173" s="972"/>
      <c r="BN173" s="971"/>
      <c r="BO173" s="973"/>
      <c r="BP173" s="973"/>
      <c r="BQ173" s="855"/>
      <c r="BR173" s="975"/>
      <c r="BS173" s="975"/>
      <c r="BT173" s="978"/>
      <c r="BU173" s="978"/>
      <c r="BV173" s="978">
        <v>0.106656822488227</v>
      </c>
      <c r="BW173" s="978">
        <f t="shared" si="57"/>
        <v>6.6656822488227782E-2</v>
      </c>
    </row>
    <row r="174" spans="1:75" hidden="1">
      <c r="A174" s="1037">
        <v>2606</v>
      </c>
      <c r="B174" s="1037" t="s">
        <v>292</v>
      </c>
      <c r="C174" s="985" t="s">
        <v>831</v>
      </c>
      <c r="D174" s="983" t="s">
        <v>470</v>
      </c>
      <c r="E174" s="1032" t="s">
        <v>91</v>
      </c>
      <c r="F174" s="1030"/>
      <c r="G174" s="955" t="str">
        <f>IFERROR(VLOOKUP(D174,[3]전용!E:J,6,0),"")</f>
        <v/>
      </c>
      <c r="H174" s="866">
        <v>10490</v>
      </c>
      <c r="I174" s="1030">
        <v>5</v>
      </c>
      <c r="J174" s="1030" t="s">
        <v>215</v>
      </c>
      <c r="K174" s="1030" t="s">
        <v>834</v>
      </c>
      <c r="L174" s="1033">
        <v>299</v>
      </c>
      <c r="M174" s="1034">
        <f t="shared" si="48"/>
        <v>17940</v>
      </c>
      <c r="N174" s="867">
        <v>0.27787143003612824</v>
      </c>
      <c r="O174" s="867"/>
      <c r="P174" s="1033">
        <v>299</v>
      </c>
      <c r="Q174" s="1033">
        <f t="shared" si="49"/>
        <v>0</v>
      </c>
      <c r="R174" s="1034">
        <f t="shared" si="95"/>
        <v>17940</v>
      </c>
      <c r="S174" s="856">
        <f t="shared" si="58"/>
        <v>0.13500000000000001</v>
      </c>
      <c r="T174" s="1034"/>
      <c r="U174" s="1035"/>
      <c r="V174" s="1031">
        <v>6</v>
      </c>
      <c r="W174" s="971">
        <f t="shared" si="50"/>
        <v>897</v>
      </c>
      <c r="X174" s="971">
        <f t="shared" si="59"/>
        <v>17043</v>
      </c>
      <c r="Y174" s="868">
        <f t="shared" si="97"/>
        <v>-5.0000000000000044E-2</v>
      </c>
      <c r="Z174" s="861">
        <f t="shared" si="61"/>
        <v>1.6246901811248808</v>
      </c>
      <c r="AA174" s="856">
        <v>0.11</v>
      </c>
      <c r="AB174" s="856">
        <v>0.02</v>
      </c>
      <c r="AC174" s="970">
        <f t="shared" si="51"/>
        <v>299</v>
      </c>
      <c r="AD174" s="970"/>
      <c r="AE174" s="970">
        <f t="shared" si="96"/>
        <v>0</v>
      </c>
      <c r="AF174" s="971">
        <f t="shared" si="62"/>
        <v>17940</v>
      </c>
      <c r="AG174" s="861">
        <f t="shared" si="63"/>
        <v>0</v>
      </c>
      <c r="AH174" s="576">
        <v>0</v>
      </c>
      <c r="AI174" s="856">
        <f t="shared" si="65"/>
        <v>0.13631578947368417</v>
      </c>
      <c r="AJ174" s="859">
        <v>0</v>
      </c>
      <c r="AK174" s="583">
        <v>0</v>
      </c>
      <c r="AL174" s="971">
        <f t="shared" si="64"/>
        <v>0</v>
      </c>
      <c r="AM174" s="971">
        <f t="shared" si="52"/>
        <v>17940</v>
      </c>
      <c r="AN174" s="856">
        <f t="shared" si="53"/>
        <v>0</v>
      </c>
      <c r="AO174" s="857">
        <f t="shared" si="54"/>
        <v>1.7102001906577693</v>
      </c>
      <c r="AP174" s="1036">
        <f t="shared" si="55"/>
        <v>897</v>
      </c>
      <c r="AQ174" s="855">
        <f t="shared" si="56"/>
        <v>5.2631578947368363E-2</v>
      </c>
      <c r="AR174" s="974">
        <f t="shared" si="83"/>
        <v>0.13631578947368417</v>
      </c>
      <c r="AS174" s="975"/>
      <c r="AT174" s="976"/>
      <c r="AU174" s="971"/>
      <c r="AV174" s="976"/>
      <c r="AW174" s="970"/>
      <c r="AX174" s="971"/>
      <c r="AY174" s="971"/>
      <c r="AZ174" s="976"/>
      <c r="BA174" s="972"/>
      <c r="BB174" s="971"/>
      <c r="BC174" s="973"/>
      <c r="BD174" s="973"/>
      <c r="BE174" s="855"/>
      <c r="BF174" s="975"/>
      <c r="BG174" s="975"/>
      <c r="BH174" s="971"/>
      <c r="BI174" s="970"/>
      <c r="BJ174" s="971"/>
      <c r="BK174" s="971"/>
      <c r="BL174" s="976"/>
      <c r="BM174" s="972"/>
      <c r="BN174" s="971"/>
      <c r="BO174" s="973"/>
      <c r="BP174" s="973"/>
      <c r="BQ174" s="855"/>
      <c r="BR174" s="975"/>
      <c r="BS174" s="975"/>
      <c r="BT174" s="978"/>
      <c r="BU174" s="978"/>
      <c r="BV174" s="978">
        <v>0.102656822488227</v>
      </c>
      <c r="BW174" s="978">
        <f t="shared" si="57"/>
        <v>0.11</v>
      </c>
    </row>
    <row r="175" spans="1:75" hidden="1">
      <c r="A175" s="1037">
        <v>2606</v>
      </c>
      <c r="B175" s="1037" t="s">
        <v>292</v>
      </c>
      <c r="C175" s="985" t="s">
        <v>829</v>
      </c>
      <c r="D175" s="985" t="s">
        <v>214</v>
      </c>
      <c r="E175" s="955" t="str">
        <f>D175</f>
        <v>27LX6TDGA.ATM</v>
      </c>
      <c r="F175" s="955"/>
      <c r="G175" s="955" t="str">
        <f>IFERROR(VLOOKUP(D175,[3]전용!E:J,6,0),"")</f>
        <v/>
      </c>
      <c r="H175" s="854">
        <v>38877.777777777774</v>
      </c>
      <c r="I175" s="955">
        <v>5</v>
      </c>
      <c r="J175" s="955" t="s">
        <v>215</v>
      </c>
      <c r="K175" s="955" t="s">
        <v>834</v>
      </c>
      <c r="L175" s="970">
        <v>649</v>
      </c>
      <c r="M175" s="971">
        <f t="shared" si="48"/>
        <v>38940</v>
      </c>
      <c r="N175" s="855" t="e">
        <f>_xlfn.XLOOKUP(D175,#REF!,#REF!)</f>
        <v>#REF!</v>
      </c>
      <c r="O175" s="855"/>
      <c r="P175" s="970">
        <v>649</v>
      </c>
      <c r="Q175" s="970">
        <f t="shared" si="49"/>
        <v>0</v>
      </c>
      <c r="R175" s="971">
        <f t="shared" si="95"/>
        <v>38940</v>
      </c>
      <c r="S175" s="856">
        <f t="shared" si="58"/>
        <v>-5.9949230624813457E-3</v>
      </c>
      <c r="T175" s="971"/>
      <c r="U175" s="971"/>
      <c r="V175" s="1031">
        <v>6</v>
      </c>
      <c r="W175" s="971">
        <f t="shared" si="50"/>
        <v>1947</v>
      </c>
      <c r="X175" s="971">
        <f t="shared" si="59"/>
        <v>36993</v>
      </c>
      <c r="Y175" s="865">
        <f t="shared" si="97"/>
        <v>-5.0000000000000044E-2</v>
      </c>
      <c r="Z175" s="857">
        <f t="shared" si="61"/>
        <v>0.95152043440983147</v>
      </c>
      <c r="AA175" s="856">
        <v>-3.0994923062481368E-2</v>
      </c>
      <c r="AB175" s="856">
        <v>1.1445698215364451E-2</v>
      </c>
      <c r="AC175" s="970">
        <f t="shared" si="51"/>
        <v>749</v>
      </c>
      <c r="AD175" s="970">
        <v>100</v>
      </c>
      <c r="AE175" s="970">
        <f t="shared" si="96"/>
        <v>64.900000000000006</v>
      </c>
      <c r="AF175" s="971">
        <f t="shared" si="62"/>
        <v>44940</v>
      </c>
      <c r="AG175" s="857">
        <f t="shared" si="63"/>
        <v>0.15408320493066263</v>
      </c>
      <c r="AH175" s="576">
        <v>0</v>
      </c>
      <c r="AI175" s="856">
        <f t="shared" si="65"/>
        <v>-1.565553452951559E-2</v>
      </c>
      <c r="AJ175" s="859">
        <v>0</v>
      </c>
      <c r="AK175" s="583">
        <v>12</v>
      </c>
      <c r="AL175" s="971">
        <f t="shared" si="64"/>
        <v>4494</v>
      </c>
      <c r="AM175" s="971">
        <f t="shared" si="52"/>
        <v>40446</v>
      </c>
      <c r="AN175" s="858">
        <f t="shared" si="53"/>
        <v>-9.9999999999999978E-2</v>
      </c>
      <c r="AO175" s="857">
        <f t="shared" si="54"/>
        <v>1.0403372392112034</v>
      </c>
      <c r="AP175" s="973">
        <f t="shared" si="55"/>
        <v>3453</v>
      </c>
      <c r="AQ175" s="855">
        <f t="shared" si="56"/>
        <v>9.3341983618522528E-2</v>
      </c>
      <c r="AR175" s="974">
        <f>IFERROR(AA175+AQ175*0.7,"")</f>
        <v>3.4344465470484399E-2</v>
      </c>
      <c r="AS175" s="975" t="s">
        <v>218</v>
      </c>
      <c r="AT175" s="976"/>
      <c r="AU175" s="971"/>
      <c r="AV175" s="976"/>
      <c r="AW175" s="970"/>
      <c r="AX175" s="971"/>
      <c r="AY175" s="971"/>
      <c r="AZ175" s="976"/>
      <c r="BA175" s="972"/>
      <c r="BB175" s="971"/>
      <c r="BC175" s="973"/>
      <c r="BD175" s="973"/>
      <c r="BE175" s="855"/>
      <c r="BF175" s="975"/>
      <c r="BG175" s="975"/>
      <c r="BH175" s="971"/>
      <c r="BI175" s="970"/>
      <c r="BJ175" s="971"/>
      <c r="BK175" s="971"/>
      <c r="BL175" s="976"/>
      <c r="BM175" s="972"/>
      <c r="BN175" s="971"/>
      <c r="BO175" s="973"/>
      <c r="BP175" s="973"/>
      <c r="BQ175" s="855"/>
      <c r="BR175" s="975"/>
      <c r="BS175" s="975"/>
      <c r="BT175" s="978"/>
      <c r="BU175" s="978"/>
      <c r="BV175" s="978">
        <v>4.0986321691577197E-2</v>
      </c>
      <c r="BW175" s="978">
        <f t="shared" si="57"/>
        <v>-3.0994923062481368E-2</v>
      </c>
    </row>
    <row r="176" spans="1:75" hidden="1">
      <c r="A176" s="979">
        <v>2606</v>
      </c>
      <c r="B176" s="979" t="s">
        <v>258</v>
      </c>
      <c r="C176" s="980" t="s">
        <v>829</v>
      </c>
      <c r="D176" s="985" t="s">
        <v>326</v>
      </c>
      <c r="E176" s="955"/>
      <c r="F176" s="955"/>
      <c r="G176" s="955" t="str">
        <f>IFERROR(VLOOKUP(D176,[3]전용!E:J,6,0),"")</f>
        <v/>
      </c>
      <c r="H176" s="860">
        <v>12790</v>
      </c>
      <c r="I176" s="955">
        <v>5</v>
      </c>
      <c r="J176" s="955" t="s">
        <v>215</v>
      </c>
      <c r="K176" s="955"/>
      <c r="L176" s="970">
        <v>299</v>
      </c>
      <c r="M176" s="971">
        <f t="shared" si="48"/>
        <v>17940</v>
      </c>
      <c r="N176" s="855" t="e">
        <f>_xlfn.XLOOKUP(D176,#REF!,#REF!)</f>
        <v>#REF!</v>
      </c>
      <c r="O176" s="855"/>
      <c r="P176" s="970">
        <v>299</v>
      </c>
      <c r="Q176" s="970">
        <f t="shared" si="49"/>
        <v>0</v>
      </c>
      <c r="R176" s="971">
        <f t="shared" si="95"/>
        <v>17940</v>
      </c>
      <c r="S176" s="856">
        <f t="shared" si="58"/>
        <v>0.2437685092432359</v>
      </c>
      <c r="T176" s="971"/>
      <c r="U176" s="971"/>
      <c r="V176" s="1029">
        <v>0</v>
      </c>
      <c r="W176" s="971">
        <f t="shared" si="50"/>
        <v>0</v>
      </c>
      <c r="X176" s="971">
        <f t="shared" si="59"/>
        <v>17940</v>
      </c>
      <c r="Y176" s="868">
        <f t="shared" si="97"/>
        <v>0</v>
      </c>
      <c r="Z176" s="861">
        <f t="shared" si="61"/>
        <v>1.4026583268178263</v>
      </c>
      <c r="AA176" s="856">
        <v>0.2437685092432359</v>
      </c>
      <c r="AB176" s="856">
        <v>9.9245819473896008E-3</v>
      </c>
      <c r="AC176" s="970">
        <f t="shared" si="51"/>
        <v>299</v>
      </c>
      <c r="AD176" s="970"/>
      <c r="AE176" s="970">
        <f t="shared" si="96"/>
        <v>0</v>
      </c>
      <c r="AF176" s="971">
        <f t="shared" si="62"/>
        <v>17940</v>
      </c>
      <c r="AG176" s="861">
        <f t="shared" si="63"/>
        <v>0</v>
      </c>
      <c r="AH176" s="576">
        <v>0</v>
      </c>
      <c r="AI176" s="856">
        <f t="shared" si="65"/>
        <v>0.2437685092432359</v>
      </c>
      <c r="AJ176" s="859">
        <v>0</v>
      </c>
      <c r="AK176" s="583">
        <v>0</v>
      </c>
      <c r="AL176" s="971">
        <f t="shared" si="64"/>
        <v>0</v>
      </c>
      <c r="AM176" s="971">
        <f t="shared" si="52"/>
        <v>17940</v>
      </c>
      <c r="AN176" s="856">
        <f t="shared" si="53"/>
        <v>0</v>
      </c>
      <c r="AO176" s="857">
        <f t="shared" si="54"/>
        <v>1.4026583268178263</v>
      </c>
      <c r="AP176" s="973">
        <f t="shared" si="55"/>
        <v>0</v>
      </c>
      <c r="AQ176" s="855">
        <f t="shared" si="56"/>
        <v>0</v>
      </c>
      <c r="AR176" s="974">
        <f t="shared" ref="AR176:AR185" si="98">IFERROR(AA176+AQ176*0.5,"")</f>
        <v>0.2437685092432359</v>
      </c>
      <c r="AS176" s="975"/>
      <c r="AT176" s="976"/>
      <c r="AU176" s="971"/>
      <c r="AV176" s="976"/>
      <c r="AW176" s="970">
        <f t="shared" ref="AW176:AW181" si="99">AC176</f>
        <v>299</v>
      </c>
      <c r="AX176" s="971">
        <f t="shared" ref="AX176:AX181" si="100">AW176-AC176</f>
        <v>0</v>
      </c>
      <c r="AY176" s="971">
        <f t="shared" ref="AY176:AY181" si="101">AW176*LEFT(I176,1)*12</f>
        <v>17940</v>
      </c>
      <c r="AZ176" s="977"/>
      <c r="BA176" s="972">
        <v>0</v>
      </c>
      <c r="BB176" s="971">
        <f t="shared" si="69"/>
        <v>0</v>
      </c>
      <c r="BC176" s="973">
        <f t="shared" si="70"/>
        <v>17940</v>
      </c>
      <c r="BD176" s="973">
        <f t="shared" ref="BD176:BD181" si="102">BC176-AM176</f>
        <v>0</v>
      </c>
      <c r="BE176" s="855">
        <f t="shared" ref="BE176:BE181" si="103">BC176/AM176-1</f>
        <v>0</v>
      </c>
      <c r="BF176" s="975">
        <f t="shared" si="73"/>
        <v>0.2437685092432359</v>
      </c>
      <c r="BG176" s="975"/>
      <c r="BH176" s="971">
        <f>AX176*1.1</f>
        <v>0</v>
      </c>
      <c r="BI176" s="970">
        <f t="shared" si="74"/>
        <v>299</v>
      </c>
      <c r="BJ176" s="971">
        <f t="shared" si="75"/>
        <v>0</v>
      </c>
      <c r="BK176" s="971">
        <f t="shared" ref="BK176:BK181" si="104">BI176*LEFT(I176,1)*12</f>
        <v>17940</v>
      </c>
      <c r="BL176" s="977"/>
      <c r="BM176" s="972">
        <v>0</v>
      </c>
      <c r="BN176" s="971">
        <f t="shared" si="77"/>
        <v>0</v>
      </c>
      <c r="BO176" s="973">
        <f t="shared" ref="BO176:BO181" si="105">BK176-BN176</f>
        <v>17940</v>
      </c>
      <c r="BP176" s="973">
        <f t="shared" si="79"/>
        <v>0</v>
      </c>
      <c r="BQ176" s="855">
        <f t="shared" si="80"/>
        <v>0</v>
      </c>
      <c r="BR176" s="975">
        <f t="shared" si="81"/>
        <v>0</v>
      </c>
      <c r="BS176" s="975"/>
      <c r="BT176" s="978"/>
      <c r="BU176" s="978"/>
      <c r="BV176" s="978">
        <v>0.2433527342666619</v>
      </c>
      <c r="BW176" s="978">
        <f t="shared" si="57"/>
        <v>0.20576850924323589</v>
      </c>
    </row>
    <row r="177" spans="1:75" hidden="1">
      <c r="A177" s="979">
        <v>2606</v>
      </c>
      <c r="B177" s="979" t="s">
        <v>258</v>
      </c>
      <c r="C177" s="980" t="s">
        <v>829</v>
      </c>
      <c r="D177" s="985" t="s">
        <v>165</v>
      </c>
      <c r="E177" s="955"/>
      <c r="F177" s="955"/>
      <c r="G177" s="955" t="str">
        <f>IFERROR(VLOOKUP(D177,[3]전용!E:J,6,0),"")</f>
        <v/>
      </c>
      <c r="H177" s="854">
        <v>4500</v>
      </c>
      <c r="I177" s="955">
        <v>5</v>
      </c>
      <c r="J177" s="955" t="s">
        <v>215</v>
      </c>
      <c r="K177" s="955" t="s">
        <v>834</v>
      </c>
      <c r="L177" s="970">
        <v>99</v>
      </c>
      <c r="M177" s="971">
        <f t="shared" si="48"/>
        <v>5940</v>
      </c>
      <c r="N177" s="855">
        <v>0.22028182925840759</v>
      </c>
      <c r="O177" s="855"/>
      <c r="P177" s="970">
        <v>99</v>
      </c>
      <c r="Q177" s="970">
        <f t="shared" si="49"/>
        <v>0</v>
      </c>
      <c r="R177" s="971">
        <f t="shared" si="95"/>
        <v>5940</v>
      </c>
      <c r="S177" s="856">
        <f t="shared" si="58"/>
        <v>8.1899871298736243E-2</v>
      </c>
      <c r="T177" s="971"/>
      <c r="U177" s="971"/>
      <c r="V177" s="1029">
        <v>0</v>
      </c>
      <c r="W177" s="971">
        <f t="shared" si="50"/>
        <v>0</v>
      </c>
      <c r="X177" s="971">
        <f t="shared" si="59"/>
        <v>5940</v>
      </c>
      <c r="Y177" s="865">
        <f t="shared" si="97"/>
        <v>0</v>
      </c>
      <c r="Z177" s="857">
        <f t="shared" si="61"/>
        <v>1.32</v>
      </c>
      <c r="AA177" s="856">
        <v>8.1899871298736243E-2</v>
      </c>
      <c r="AB177" s="856">
        <v>2.9745453114925061E-2</v>
      </c>
      <c r="AC177" s="970">
        <f t="shared" si="51"/>
        <v>109</v>
      </c>
      <c r="AD177" s="970">
        <v>10</v>
      </c>
      <c r="AE177" s="970">
        <f t="shared" si="96"/>
        <v>3.96</v>
      </c>
      <c r="AF177" s="971">
        <f t="shared" si="62"/>
        <v>6540</v>
      </c>
      <c r="AG177" s="857">
        <f t="shared" si="63"/>
        <v>0.10101010101010099</v>
      </c>
      <c r="AH177" s="576">
        <v>0</v>
      </c>
      <c r="AI177" s="856">
        <f t="shared" si="65"/>
        <v>0.13240492180378674</v>
      </c>
      <c r="AJ177" s="859">
        <v>0</v>
      </c>
      <c r="AK177" s="583">
        <v>0</v>
      </c>
      <c r="AL177" s="971">
        <f t="shared" si="64"/>
        <v>0</v>
      </c>
      <c r="AM177" s="971">
        <f t="shared" si="52"/>
        <v>6540</v>
      </c>
      <c r="AN177" s="858">
        <f t="shared" si="53"/>
        <v>0</v>
      </c>
      <c r="AO177" s="857">
        <f t="shared" si="54"/>
        <v>1.4533333333333334</v>
      </c>
      <c r="AP177" s="973">
        <f t="shared" si="55"/>
        <v>600</v>
      </c>
      <c r="AQ177" s="855">
        <f t="shared" si="56"/>
        <v>0.10101010101010099</v>
      </c>
      <c r="AR177" s="974">
        <f t="shared" si="98"/>
        <v>0.13240492180378674</v>
      </c>
      <c r="AS177" s="975"/>
      <c r="AT177" s="976" t="e">
        <v>#N/A</v>
      </c>
      <c r="AU177" s="971" t="e">
        <f>P177-#REF!</f>
        <v>#REF!</v>
      </c>
      <c r="AV177" s="976"/>
      <c r="AW177" s="970">
        <f t="shared" si="99"/>
        <v>109</v>
      </c>
      <c r="AX177" s="971">
        <f t="shared" si="100"/>
        <v>0</v>
      </c>
      <c r="AY177" s="971">
        <f t="shared" si="101"/>
        <v>6540</v>
      </c>
      <c r="AZ177" s="977"/>
      <c r="BA177" s="972">
        <v>0</v>
      </c>
      <c r="BB177" s="971">
        <f t="shared" si="69"/>
        <v>0</v>
      </c>
      <c r="BC177" s="973">
        <f t="shared" si="70"/>
        <v>6540</v>
      </c>
      <c r="BD177" s="973">
        <f t="shared" si="102"/>
        <v>0</v>
      </c>
      <c r="BE177" s="855">
        <f t="shared" si="103"/>
        <v>0</v>
      </c>
      <c r="BF177" s="975">
        <f t="shared" si="73"/>
        <v>0.13240492180378674</v>
      </c>
      <c r="BG177" s="975"/>
      <c r="BH177" s="971">
        <f t="shared" ref="BH177:BH178" si="106">AX177</f>
        <v>0</v>
      </c>
      <c r="BI177" s="970">
        <f t="shared" si="74"/>
        <v>109</v>
      </c>
      <c r="BJ177" s="971">
        <f t="shared" si="75"/>
        <v>0</v>
      </c>
      <c r="BK177" s="971">
        <f t="shared" si="104"/>
        <v>6540</v>
      </c>
      <c r="BL177" s="977"/>
      <c r="BM177" s="972">
        <v>0</v>
      </c>
      <c r="BN177" s="971">
        <f t="shared" si="77"/>
        <v>0</v>
      </c>
      <c r="BO177" s="973">
        <f t="shared" si="105"/>
        <v>6540</v>
      </c>
      <c r="BP177" s="973">
        <f t="shared" si="79"/>
        <v>0</v>
      </c>
      <c r="BQ177" s="855">
        <f t="shared" si="80"/>
        <v>0</v>
      </c>
      <c r="BR177" s="975">
        <f t="shared" si="81"/>
        <v>0</v>
      </c>
      <c r="BS177" s="975"/>
      <c r="BT177" s="978"/>
      <c r="BU177" s="978"/>
      <c r="BV177" s="978">
        <v>8.0478812767191307E-2</v>
      </c>
      <c r="BW177" s="978">
        <f t="shared" si="57"/>
        <v>8.1899871298736243E-2</v>
      </c>
    </row>
    <row r="178" spans="1:75" hidden="1">
      <c r="A178" s="979">
        <v>2606</v>
      </c>
      <c r="B178" s="979" t="s">
        <v>258</v>
      </c>
      <c r="C178" s="980" t="s">
        <v>829</v>
      </c>
      <c r="D178" s="985" t="s">
        <v>166</v>
      </c>
      <c r="E178" s="955"/>
      <c r="F178" s="955"/>
      <c r="G178" s="955" t="str">
        <f>IFERROR(VLOOKUP(D178,[3]전용!E:J,6,0),"")</f>
        <v/>
      </c>
      <c r="H178" s="854">
        <v>6400</v>
      </c>
      <c r="I178" s="955">
        <v>5</v>
      </c>
      <c r="J178" s="955" t="s">
        <v>215</v>
      </c>
      <c r="K178" s="955" t="s">
        <v>834</v>
      </c>
      <c r="L178" s="970">
        <v>129</v>
      </c>
      <c r="M178" s="971">
        <f t="shared" si="48"/>
        <v>7740</v>
      </c>
      <c r="N178" s="855">
        <v>0.22687412685168998</v>
      </c>
      <c r="O178" s="855"/>
      <c r="P178" s="970">
        <v>129</v>
      </c>
      <c r="Q178" s="970">
        <f t="shared" si="49"/>
        <v>0</v>
      </c>
      <c r="R178" s="971">
        <f t="shared" si="95"/>
        <v>7740</v>
      </c>
      <c r="S178" s="856">
        <f t="shared" si="58"/>
        <v>7.5174713872429175E-2</v>
      </c>
      <c r="T178" s="971"/>
      <c r="U178" s="971"/>
      <c r="V178" s="1029">
        <v>0</v>
      </c>
      <c r="W178" s="971">
        <f t="shared" si="50"/>
        <v>0</v>
      </c>
      <c r="X178" s="971">
        <f t="shared" si="59"/>
        <v>7740</v>
      </c>
      <c r="Y178" s="858">
        <f t="shared" si="97"/>
        <v>0</v>
      </c>
      <c r="Z178" s="857">
        <f t="shared" si="61"/>
        <v>1.2093750000000001</v>
      </c>
      <c r="AA178" s="856">
        <v>7.5174713872429175E-2</v>
      </c>
      <c r="AB178" s="856">
        <v>5.4291387555660715E-2</v>
      </c>
      <c r="AC178" s="970">
        <f t="shared" si="51"/>
        <v>139</v>
      </c>
      <c r="AD178" s="970">
        <v>10</v>
      </c>
      <c r="AE178" s="970">
        <f t="shared" si="96"/>
        <v>5.16</v>
      </c>
      <c r="AF178" s="971">
        <f t="shared" si="62"/>
        <v>8340</v>
      </c>
      <c r="AG178" s="857">
        <f t="shared" si="63"/>
        <v>7.7519379844961156E-2</v>
      </c>
      <c r="AH178" s="576">
        <v>0</v>
      </c>
      <c r="AI178" s="856">
        <f t="shared" si="65"/>
        <v>0.11393440379490975</v>
      </c>
      <c r="AJ178" s="859">
        <v>0</v>
      </c>
      <c r="AK178" s="583">
        <v>0</v>
      </c>
      <c r="AL178" s="971">
        <f t="shared" si="64"/>
        <v>0</v>
      </c>
      <c r="AM178" s="971">
        <f t="shared" si="52"/>
        <v>8340</v>
      </c>
      <c r="AN178" s="858">
        <f t="shared" si="53"/>
        <v>0</v>
      </c>
      <c r="AO178" s="857">
        <f t="shared" si="54"/>
        <v>1.3031250000000001</v>
      </c>
      <c r="AP178" s="973">
        <f t="shared" si="55"/>
        <v>600</v>
      </c>
      <c r="AQ178" s="855">
        <f t="shared" si="56"/>
        <v>7.7519379844961156E-2</v>
      </c>
      <c r="AR178" s="974">
        <f t="shared" si="98"/>
        <v>0.11393440379490975</v>
      </c>
      <c r="AS178" s="975"/>
      <c r="AT178" s="976" t="e">
        <v>#N/A</v>
      </c>
      <c r="AU178" s="971" t="e">
        <f>P178-#REF!</f>
        <v>#REF!</v>
      </c>
      <c r="AV178" s="976"/>
      <c r="AW178" s="970">
        <f t="shared" si="99"/>
        <v>139</v>
      </c>
      <c r="AX178" s="971">
        <f t="shared" si="100"/>
        <v>0</v>
      </c>
      <c r="AY178" s="971">
        <f t="shared" si="101"/>
        <v>8340</v>
      </c>
      <c r="AZ178" s="977"/>
      <c r="BA178" s="972">
        <v>0</v>
      </c>
      <c r="BB178" s="971">
        <f t="shared" si="69"/>
        <v>0</v>
      </c>
      <c r="BC178" s="973">
        <f t="shared" si="70"/>
        <v>8340</v>
      </c>
      <c r="BD178" s="973">
        <f t="shared" si="102"/>
        <v>0</v>
      </c>
      <c r="BE178" s="855">
        <f t="shared" si="103"/>
        <v>0</v>
      </c>
      <c r="BF178" s="975">
        <f t="shared" si="73"/>
        <v>0.11393440379490975</v>
      </c>
      <c r="BG178" s="975"/>
      <c r="BH178" s="971">
        <f t="shared" si="106"/>
        <v>0</v>
      </c>
      <c r="BI178" s="970">
        <f t="shared" si="74"/>
        <v>139</v>
      </c>
      <c r="BJ178" s="971">
        <f t="shared" si="75"/>
        <v>0</v>
      </c>
      <c r="BK178" s="971">
        <f t="shared" si="104"/>
        <v>8340</v>
      </c>
      <c r="BL178" s="977"/>
      <c r="BM178" s="972">
        <v>0</v>
      </c>
      <c r="BN178" s="971">
        <f t="shared" si="77"/>
        <v>0</v>
      </c>
      <c r="BO178" s="973">
        <f t="shared" si="105"/>
        <v>8340</v>
      </c>
      <c r="BP178" s="973">
        <f t="shared" si="79"/>
        <v>0</v>
      </c>
      <c r="BQ178" s="855">
        <f t="shared" si="80"/>
        <v>0</v>
      </c>
      <c r="BR178" s="975">
        <f t="shared" si="81"/>
        <v>0</v>
      </c>
      <c r="BS178" s="975"/>
      <c r="BT178" s="978"/>
      <c r="BU178" s="978"/>
      <c r="BV178" s="978">
        <v>7.5368333927539333E-2</v>
      </c>
      <c r="BW178" s="978">
        <f t="shared" si="57"/>
        <v>7.5174713872429175E-2</v>
      </c>
    </row>
    <row r="179" spans="1:75" hidden="1">
      <c r="A179" s="979">
        <v>2606</v>
      </c>
      <c r="B179" s="979" t="s">
        <v>258</v>
      </c>
      <c r="C179" s="980" t="s">
        <v>829</v>
      </c>
      <c r="D179" s="985" t="s">
        <v>253</v>
      </c>
      <c r="E179" s="955"/>
      <c r="F179" s="955"/>
      <c r="G179" s="955" t="str">
        <f>IFERROR(VLOOKUP(D179,[3]전용!E:J,6,0),"")</f>
        <v/>
      </c>
      <c r="H179" s="854">
        <v>28400</v>
      </c>
      <c r="I179" s="955">
        <v>5</v>
      </c>
      <c r="J179" s="955" t="s">
        <v>215</v>
      </c>
      <c r="K179" s="955" t="s">
        <v>834</v>
      </c>
      <c r="L179" s="970">
        <v>399</v>
      </c>
      <c r="M179" s="971">
        <f t="shared" si="48"/>
        <v>23940</v>
      </c>
      <c r="N179" s="855" t="e">
        <f>_xlfn.XLOOKUP(D179,#REF!,#REF!)</f>
        <v>#REF!</v>
      </c>
      <c r="O179" s="855"/>
      <c r="P179" s="970">
        <v>399</v>
      </c>
      <c r="Q179" s="970">
        <f t="shared" si="49"/>
        <v>0</v>
      </c>
      <c r="R179" s="971">
        <f t="shared" si="95"/>
        <v>23940</v>
      </c>
      <c r="S179" s="856">
        <f t="shared" si="58"/>
        <v>1.6054173508510475E-2</v>
      </c>
      <c r="T179" s="971"/>
      <c r="U179" s="971"/>
      <c r="V179" s="1029">
        <v>0</v>
      </c>
      <c r="W179" s="971">
        <f t="shared" si="50"/>
        <v>0</v>
      </c>
      <c r="X179" s="971">
        <f t="shared" si="59"/>
        <v>23940</v>
      </c>
      <c r="Y179" s="858">
        <f t="shared" si="97"/>
        <v>0</v>
      </c>
      <c r="Z179" s="857">
        <f t="shared" si="61"/>
        <v>0.84295774647887323</v>
      </c>
      <c r="AA179" s="856">
        <v>1.6054173508510475E-2</v>
      </c>
      <c r="AB179" s="856">
        <v>2.0494059424243771E-2</v>
      </c>
      <c r="AC179" s="970">
        <f t="shared" si="51"/>
        <v>449</v>
      </c>
      <c r="AD179" s="970">
        <v>50</v>
      </c>
      <c r="AE179" s="970">
        <f t="shared" si="96"/>
        <v>29.924999999999997</v>
      </c>
      <c r="AF179" s="971">
        <f t="shared" si="62"/>
        <v>26940</v>
      </c>
      <c r="AG179" s="857">
        <f t="shared" si="63"/>
        <v>0.12531328320802015</v>
      </c>
      <c r="AH179" s="576">
        <v>0</v>
      </c>
      <c r="AI179" s="856">
        <f t="shared" si="65"/>
        <v>7.8710815112520552E-2</v>
      </c>
      <c r="AJ179" s="859">
        <v>0</v>
      </c>
      <c r="AK179" s="583">
        <v>0</v>
      </c>
      <c r="AL179" s="971">
        <f t="shared" si="64"/>
        <v>0</v>
      </c>
      <c r="AM179" s="971">
        <f t="shared" si="52"/>
        <v>26940</v>
      </c>
      <c r="AN179" s="858">
        <f t="shared" si="53"/>
        <v>0</v>
      </c>
      <c r="AO179" s="857">
        <f t="shared" si="54"/>
        <v>0.94859154929577461</v>
      </c>
      <c r="AP179" s="973">
        <f t="shared" si="55"/>
        <v>3000</v>
      </c>
      <c r="AQ179" s="855">
        <f t="shared" si="56"/>
        <v>0.12531328320802015</v>
      </c>
      <c r="AR179" s="974">
        <f t="shared" si="98"/>
        <v>7.8710815112520552E-2</v>
      </c>
      <c r="AS179" s="975"/>
      <c r="AT179" s="976"/>
      <c r="AU179" s="971"/>
      <c r="AV179" s="976"/>
      <c r="AW179" s="970">
        <f t="shared" si="99"/>
        <v>449</v>
      </c>
      <c r="AX179" s="971">
        <f t="shared" si="100"/>
        <v>0</v>
      </c>
      <c r="AY179" s="971">
        <f t="shared" si="101"/>
        <v>26940</v>
      </c>
      <c r="AZ179" s="977"/>
      <c r="BA179" s="972">
        <v>0</v>
      </c>
      <c r="BB179" s="971">
        <f t="shared" si="69"/>
        <v>0</v>
      </c>
      <c r="BC179" s="973">
        <f t="shared" si="70"/>
        <v>26940</v>
      </c>
      <c r="BD179" s="973">
        <f t="shared" si="102"/>
        <v>0</v>
      </c>
      <c r="BE179" s="855">
        <f t="shared" si="103"/>
        <v>0</v>
      </c>
      <c r="BF179" s="975">
        <f t="shared" si="73"/>
        <v>7.8710815112520552E-2</v>
      </c>
      <c r="BG179" s="975"/>
      <c r="BH179" s="971">
        <f>AX179*1.1</f>
        <v>0</v>
      </c>
      <c r="BI179" s="970">
        <f t="shared" si="74"/>
        <v>449</v>
      </c>
      <c r="BJ179" s="971">
        <f t="shared" si="75"/>
        <v>0</v>
      </c>
      <c r="BK179" s="971">
        <f t="shared" si="104"/>
        <v>26940</v>
      </c>
      <c r="BL179" s="977"/>
      <c r="BM179" s="972">
        <v>0</v>
      </c>
      <c r="BN179" s="971">
        <f t="shared" si="77"/>
        <v>0</v>
      </c>
      <c r="BO179" s="973">
        <f t="shared" si="105"/>
        <v>26940</v>
      </c>
      <c r="BP179" s="973">
        <f t="shared" si="79"/>
        <v>0</v>
      </c>
      <c r="BQ179" s="855">
        <f t="shared" si="80"/>
        <v>0</v>
      </c>
      <c r="BR179" s="975">
        <f t="shared" si="81"/>
        <v>0</v>
      </c>
      <c r="BS179" s="975"/>
      <c r="BT179" s="978"/>
      <c r="BU179" s="978"/>
      <c r="BV179" s="978">
        <v>3.6054173508510499E-2</v>
      </c>
      <c r="BW179" s="978">
        <f t="shared" si="57"/>
        <v>1.6054173508510475E-2</v>
      </c>
    </row>
    <row r="180" spans="1:75" hidden="1">
      <c r="A180" s="979">
        <v>2606</v>
      </c>
      <c r="B180" s="979" t="s">
        <v>258</v>
      </c>
      <c r="C180" s="980" t="s">
        <v>829</v>
      </c>
      <c r="D180" s="985" t="s">
        <v>257</v>
      </c>
      <c r="E180" s="955"/>
      <c r="F180" s="955"/>
      <c r="G180" s="955" t="str">
        <f>IFERROR(VLOOKUP(D180,[3]전용!E:J,6,0),"")</f>
        <v/>
      </c>
      <c r="H180" s="854">
        <v>10800</v>
      </c>
      <c r="I180" s="955">
        <v>5</v>
      </c>
      <c r="J180" s="955" t="s">
        <v>215</v>
      </c>
      <c r="K180" s="955" t="s">
        <v>834</v>
      </c>
      <c r="L180" s="970">
        <v>169</v>
      </c>
      <c r="M180" s="971">
        <f t="shared" si="48"/>
        <v>10140</v>
      </c>
      <c r="N180" s="855" t="e">
        <f>_xlfn.XLOOKUP(D180,#REF!,#REF!)</f>
        <v>#REF!</v>
      </c>
      <c r="O180" s="855"/>
      <c r="P180" s="970">
        <v>169</v>
      </c>
      <c r="Q180" s="970">
        <f t="shared" si="49"/>
        <v>0</v>
      </c>
      <c r="R180" s="971">
        <f t="shared" si="95"/>
        <v>10140</v>
      </c>
      <c r="S180" s="856">
        <f t="shared" si="58"/>
        <v>-4.5913678562588219E-2</v>
      </c>
      <c r="T180" s="971"/>
      <c r="U180" s="971"/>
      <c r="V180" s="972">
        <v>0</v>
      </c>
      <c r="W180" s="971">
        <f t="shared" si="50"/>
        <v>0</v>
      </c>
      <c r="X180" s="971">
        <f t="shared" si="59"/>
        <v>10140</v>
      </c>
      <c r="Y180" s="858">
        <f t="shared" si="97"/>
        <v>0</v>
      </c>
      <c r="Z180" s="857">
        <f t="shared" si="61"/>
        <v>0.93888888888888888</v>
      </c>
      <c r="AA180" s="856">
        <v>-4.5913678562588219E-2</v>
      </c>
      <c r="AB180" s="856">
        <v>2.7613466311633184E-2</v>
      </c>
      <c r="AC180" s="970">
        <f t="shared" si="51"/>
        <v>189</v>
      </c>
      <c r="AD180" s="970">
        <v>20</v>
      </c>
      <c r="AE180" s="970">
        <f t="shared" si="96"/>
        <v>16.900000000000002</v>
      </c>
      <c r="AF180" s="971">
        <f t="shared" si="62"/>
        <v>11340</v>
      </c>
      <c r="AG180" s="857">
        <f t="shared" si="63"/>
        <v>0.11834319526627213</v>
      </c>
      <c r="AH180" s="576">
        <v>0</v>
      </c>
      <c r="AI180" s="856">
        <f t="shared" si="65"/>
        <v>1.3257919070547845E-2</v>
      </c>
      <c r="AJ180" s="859">
        <v>0</v>
      </c>
      <c r="AK180" s="583">
        <v>0</v>
      </c>
      <c r="AL180" s="971">
        <f t="shared" si="64"/>
        <v>0</v>
      </c>
      <c r="AM180" s="971">
        <f t="shared" si="52"/>
        <v>11340</v>
      </c>
      <c r="AN180" s="858">
        <f t="shared" si="53"/>
        <v>0</v>
      </c>
      <c r="AO180" s="857">
        <f t="shared" si="54"/>
        <v>1.05</v>
      </c>
      <c r="AP180" s="973">
        <f t="shared" si="55"/>
        <v>1200</v>
      </c>
      <c r="AQ180" s="855">
        <f t="shared" si="56"/>
        <v>0.11834319526627213</v>
      </c>
      <c r="AR180" s="974">
        <f t="shared" si="98"/>
        <v>1.3257919070547845E-2</v>
      </c>
      <c r="AS180" s="975"/>
      <c r="AT180" s="976"/>
      <c r="AU180" s="971"/>
      <c r="AV180" s="976"/>
      <c r="AW180" s="970">
        <f t="shared" si="99"/>
        <v>189</v>
      </c>
      <c r="AX180" s="971">
        <f t="shared" si="100"/>
        <v>0</v>
      </c>
      <c r="AY180" s="971">
        <f t="shared" si="101"/>
        <v>11340</v>
      </c>
      <c r="AZ180" s="977"/>
      <c r="BA180" s="972">
        <v>0</v>
      </c>
      <c r="BB180" s="971">
        <f t="shared" si="69"/>
        <v>0</v>
      </c>
      <c r="BC180" s="973">
        <f t="shared" si="70"/>
        <v>11340</v>
      </c>
      <c r="BD180" s="973">
        <f t="shared" si="102"/>
        <v>0</v>
      </c>
      <c r="BE180" s="855">
        <f t="shared" si="103"/>
        <v>0</v>
      </c>
      <c r="BF180" s="975">
        <f t="shared" si="73"/>
        <v>1.3257919070547845E-2</v>
      </c>
      <c r="BG180" s="975"/>
      <c r="BH180" s="971">
        <f>AX180*1.1</f>
        <v>0</v>
      </c>
      <c r="BI180" s="970">
        <f t="shared" si="74"/>
        <v>189</v>
      </c>
      <c r="BJ180" s="971">
        <f t="shared" si="75"/>
        <v>0</v>
      </c>
      <c r="BK180" s="971">
        <f t="shared" si="104"/>
        <v>11340</v>
      </c>
      <c r="BL180" s="977"/>
      <c r="BM180" s="972">
        <v>0</v>
      </c>
      <c r="BN180" s="971">
        <f t="shared" si="77"/>
        <v>0</v>
      </c>
      <c r="BO180" s="973">
        <f t="shared" si="105"/>
        <v>11340</v>
      </c>
      <c r="BP180" s="973">
        <f t="shared" si="79"/>
        <v>0</v>
      </c>
      <c r="BQ180" s="855">
        <f t="shared" si="80"/>
        <v>0</v>
      </c>
      <c r="BR180" s="975">
        <f t="shared" si="81"/>
        <v>0</v>
      </c>
      <c r="BS180" s="975"/>
      <c r="BT180" s="978"/>
      <c r="BU180" s="978"/>
      <c r="BV180" s="978">
        <v>2.9777875849302002E-3</v>
      </c>
      <c r="BW180" s="978">
        <f t="shared" si="57"/>
        <v>-4.5913678562588219E-2</v>
      </c>
    </row>
    <row r="181" spans="1:75" hidden="1">
      <c r="A181" s="1037">
        <v>2606</v>
      </c>
      <c r="B181" s="1037" t="s">
        <v>44</v>
      </c>
      <c r="C181" s="985" t="s">
        <v>829</v>
      </c>
      <c r="D181" s="985" t="s">
        <v>216</v>
      </c>
      <c r="E181" s="955" t="str">
        <f t="shared" ref="E181" si="107">D181</f>
        <v>45GX950A-B.ATM</v>
      </c>
      <c r="F181" s="955"/>
      <c r="G181" s="955" t="str">
        <f>IFERROR(VLOOKUP(D181,[3]전용!E:J,6,0),"")</f>
        <v/>
      </c>
      <c r="H181" s="854">
        <v>64700</v>
      </c>
      <c r="I181" s="955">
        <v>5</v>
      </c>
      <c r="J181" s="955" t="s">
        <v>215</v>
      </c>
      <c r="K181" s="955" t="s">
        <v>834</v>
      </c>
      <c r="L181" s="970">
        <v>1399</v>
      </c>
      <c r="M181" s="971">
        <f t="shared" si="48"/>
        <v>83940</v>
      </c>
      <c r="N181" s="855" t="e">
        <f>_xlfn.XLOOKUP(D181,#REF!,#REF!)</f>
        <v>#REF!</v>
      </c>
      <c r="O181" s="855"/>
      <c r="P181" s="970">
        <v>1399</v>
      </c>
      <c r="Q181" s="970">
        <f t="shared" si="49"/>
        <v>0</v>
      </c>
      <c r="R181" s="971">
        <f t="shared" si="95"/>
        <v>83940</v>
      </c>
      <c r="S181" s="856">
        <f t="shared" si="58"/>
        <v>4.5000000000000026E-2</v>
      </c>
      <c r="T181" s="971"/>
      <c r="U181" s="971"/>
      <c r="V181" s="972">
        <v>6</v>
      </c>
      <c r="W181" s="971">
        <f t="shared" si="50"/>
        <v>4197</v>
      </c>
      <c r="X181" s="971">
        <f t="shared" si="59"/>
        <v>79743</v>
      </c>
      <c r="Y181" s="858">
        <f t="shared" si="97"/>
        <v>-5.0000000000000044E-2</v>
      </c>
      <c r="Z181" s="857">
        <f t="shared" si="61"/>
        <v>1.2325038639876353</v>
      </c>
      <c r="AA181" s="856">
        <v>0.02</v>
      </c>
      <c r="AB181" s="856">
        <v>0.18432997246269037</v>
      </c>
      <c r="AC181" s="970">
        <f t="shared" si="51"/>
        <v>1499</v>
      </c>
      <c r="AD181" s="970">
        <v>100</v>
      </c>
      <c r="AE181" s="970">
        <f t="shared" si="96"/>
        <v>104.925</v>
      </c>
      <c r="AF181" s="971">
        <f t="shared" si="62"/>
        <v>89940</v>
      </c>
      <c r="AG181" s="857">
        <f t="shared" si="63"/>
        <v>7.1479628305932907E-2</v>
      </c>
      <c r="AH181" s="576">
        <v>0</v>
      </c>
      <c r="AI181" s="856">
        <f t="shared" si="65"/>
        <v>3.0739814152966435E-2</v>
      </c>
      <c r="AJ181" s="859">
        <v>0</v>
      </c>
      <c r="AK181" s="583">
        <v>6</v>
      </c>
      <c r="AL181" s="971">
        <f t="shared" si="64"/>
        <v>4497</v>
      </c>
      <c r="AM181" s="971">
        <f t="shared" si="52"/>
        <v>85443</v>
      </c>
      <c r="AN181" s="858">
        <f t="shared" si="53"/>
        <v>-5.0000000000000044E-2</v>
      </c>
      <c r="AO181" s="857">
        <f t="shared" si="54"/>
        <v>1.3206027820710973</v>
      </c>
      <c r="AP181" s="973">
        <f t="shared" si="55"/>
        <v>5700</v>
      </c>
      <c r="AQ181" s="855">
        <f t="shared" si="56"/>
        <v>7.1479628305932907E-2</v>
      </c>
      <c r="AR181" s="974">
        <f t="shared" si="98"/>
        <v>5.5739814152966458E-2</v>
      </c>
      <c r="AS181" s="975" t="s">
        <v>870</v>
      </c>
      <c r="AT181" s="976"/>
      <c r="AU181" s="971"/>
      <c r="AV181" s="976"/>
      <c r="AW181" s="970">
        <f t="shared" si="99"/>
        <v>1499</v>
      </c>
      <c r="AX181" s="971">
        <f t="shared" si="100"/>
        <v>0</v>
      </c>
      <c r="AY181" s="971">
        <f t="shared" si="101"/>
        <v>89940</v>
      </c>
      <c r="AZ181" s="977"/>
      <c r="BA181" s="972">
        <v>6</v>
      </c>
      <c r="BB181" s="971">
        <f t="shared" si="69"/>
        <v>4497</v>
      </c>
      <c r="BC181" s="973">
        <f t="shared" si="70"/>
        <v>85443</v>
      </c>
      <c r="BD181" s="973">
        <f t="shared" si="102"/>
        <v>0</v>
      </c>
      <c r="BE181" s="855">
        <f t="shared" si="103"/>
        <v>0</v>
      </c>
      <c r="BF181" s="975">
        <f t="shared" si="73"/>
        <v>5.5739814152966458E-2</v>
      </c>
      <c r="BG181" s="975" t="s">
        <v>218</v>
      </c>
      <c r="BH181" s="971">
        <v>1399</v>
      </c>
      <c r="BI181" s="970">
        <f t="shared" si="74"/>
        <v>1499</v>
      </c>
      <c r="BJ181" s="971">
        <f t="shared" si="75"/>
        <v>0</v>
      </c>
      <c r="BK181" s="971">
        <f t="shared" si="104"/>
        <v>89940</v>
      </c>
      <c r="BL181" s="977"/>
      <c r="BM181" s="972">
        <v>6</v>
      </c>
      <c r="BN181" s="971">
        <f t="shared" si="77"/>
        <v>4497</v>
      </c>
      <c r="BO181" s="973">
        <f t="shared" si="105"/>
        <v>85443</v>
      </c>
      <c r="BP181" s="973">
        <f t="shared" si="79"/>
        <v>0</v>
      </c>
      <c r="BQ181" s="855">
        <f t="shared" si="80"/>
        <v>0</v>
      </c>
      <c r="BR181" s="975">
        <f t="shared" si="81"/>
        <v>0</v>
      </c>
      <c r="BS181" s="975" t="s">
        <v>218</v>
      </c>
      <c r="BT181" s="978"/>
      <c r="BU181" s="978"/>
      <c r="BV181" s="978">
        <v>1.07176475849321E-2</v>
      </c>
      <c r="BW181" s="978">
        <f t="shared" si="57"/>
        <v>0.02</v>
      </c>
    </row>
    <row r="182" spans="1:75" hidden="1">
      <c r="A182" s="1037">
        <v>2606</v>
      </c>
      <c r="B182" s="1037" t="s">
        <v>44</v>
      </c>
      <c r="C182" s="985" t="s">
        <v>829</v>
      </c>
      <c r="D182" s="985" t="s">
        <v>164</v>
      </c>
      <c r="E182" s="955" t="str">
        <f>D182</f>
        <v>32U889SA-W.ATM</v>
      </c>
      <c r="F182" s="955"/>
      <c r="G182" s="955" t="str">
        <f>IFERROR(VLOOKUP(D182,[3]전용!E:J,6,0),"")</f>
        <v/>
      </c>
      <c r="H182" s="854">
        <v>29400</v>
      </c>
      <c r="I182" s="955">
        <v>5</v>
      </c>
      <c r="J182" s="955" t="s">
        <v>215</v>
      </c>
      <c r="K182" s="955" t="s">
        <v>834</v>
      </c>
      <c r="L182" s="970">
        <v>599</v>
      </c>
      <c r="M182" s="971">
        <f>L182*LEFT(I182,1)*12</f>
        <v>35940</v>
      </c>
      <c r="N182" s="855">
        <v>0.20319553918412364</v>
      </c>
      <c r="O182" s="855"/>
      <c r="P182" s="970">
        <v>599</v>
      </c>
      <c r="Q182" s="970">
        <f t="shared" si="49"/>
        <v>0</v>
      </c>
      <c r="R182" s="971">
        <f t="shared" si="95"/>
        <v>35940</v>
      </c>
      <c r="S182" s="856">
        <f t="shared" si="58"/>
        <v>1.3032382943287528E-2</v>
      </c>
      <c r="T182" s="971"/>
      <c r="U182" s="971"/>
      <c r="V182" s="972">
        <v>6</v>
      </c>
      <c r="W182" s="971">
        <f>(P182-T182)*U182+V182*P182*0.5</f>
        <v>1797</v>
      </c>
      <c r="X182" s="971">
        <f>R182-W182</f>
        <v>34143</v>
      </c>
      <c r="Y182" s="858">
        <f t="shared" si="97"/>
        <v>-5.0000000000000044E-2</v>
      </c>
      <c r="Z182" s="857">
        <f t="shared" si="61"/>
        <v>1.1613265306122449</v>
      </c>
      <c r="AA182" s="856">
        <v>-1.1967617056712494E-2</v>
      </c>
      <c r="AB182" s="856">
        <v>2.0538515404104851E-2</v>
      </c>
      <c r="AC182" s="970">
        <f>P182+AD182</f>
        <v>699</v>
      </c>
      <c r="AD182" s="970">
        <v>100</v>
      </c>
      <c r="AE182" s="970">
        <f t="shared" si="96"/>
        <v>59.900000000000006</v>
      </c>
      <c r="AF182" s="971">
        <f>AC182*LEFT(I182,1)*12</f>
        <v>41940</v>
      </c>
      <c r="AG182" s="857">
        <f>AF182/R182-1</f>
        <v>0.1669449081803005</v>
      </c>
      <c r="AH182" s="576">
        <v>0</v>
      </c>
      <c r="AI182" s="856">
        <f t="shared" si="65"/>
        <v>1.1901111526013045E-2</v>
      </c>
      <c r="AJ182" s="859">
        <v>0</v>
      </c>
      <c r="AK182" s="583">
        <v>12</v>
      </c>
      <c r="AL182" s="971">
        <f t="shared" si="64"/>
        <v>4194</v>
      </c>
      <c r="AM182" s="971">
        <f t="shared" si="52"/>
        <v>37746</v>
      </c>
      <c r="AN182" s="858">
        <f t="shared" si="53"/>
        <v>-9.9999999999999978E-2</v>
      </c>
      <c r="AO182" s="857">
        <f t="shared" si="54"/>
        <v>1.2838775510204081</v>
      </c>
      <c r="AP182" s="973">
        <f t="shared" si="55"/>
        <v>3603</v>
      </c>
      <c r="AQ182" s="855">
        <f t="shared" si="56"/>
        <v>0.10552675511817933</v>
      </c>
      <c r="AR182" s="974">
        <f>IFERROR(AA182+AQ182*0.7,"")</f>
        <v>6.1901111526013033E-2</v>
      </c>
      <c r="AS182" s="975" t="s">
        <v>218</v>
      </c>
      <c r="AT182" s="943"/>
      <c r="AU182" s="943"/>
      <c r="AV182" s="943"/>
      <c r="AW182" s="943"/>
      <c r="AX182" s="943"/>
      <c r="AY182" s="943"/>
      <c r="AZ182" s="943"/>
      <c r="BA182" s="943"/>
      <c r="BB182" s="943"/>
      <c r="BC182" s="943"/>
      <c r="BD182" s="943"/>
      <c r="BE182" s="943"/>
      <c r="BF182" s="943"/>
      <c r="BG182" s="943"/>
      <c r="BH182" s="943"/>
      <c r="BI182" s="943"/>
      <c r="BJ182" s="943"/>
      <c r="BK182" s="943"/>
      <c r="BL182" s="943"/>
      <c r="BM182" s="943"/>
      <c r="BN182" s="943"/>
      <c r="BO182" s="943"/>
      <c r="BP182" s="943"/>
      <c r="BQ182" s="943"/>
      <c r="BR182" s="943"/>
      <c r="BS182" s="943"/>
      <c r="BT182" s="943"/>
      <c r="BU182" s="943"/>
      <c r="BV182" s="943">
        <v>8.0000340709965208E-3</v>
      </c>
      <c r="BW182" s="978">
        <f t="shared" si="57"/>
        <v>-1.1967617056712494E-2</v>
      </c>
    </row>
    <row r="183" spans="1:75" hidden="1">
      <c r="A183" s="1037">
        <v>2606</v>
      </c>
      <c r="B183" s="1037" t="s">
        <v>44</v>
      </c>
      <c r="C183" s="985" t="s">
        <v>829</v>
      </c>
      <c r="D183" s="985" t="s">
        <v>916</v>
      </c>
      <c r="E183" s="955" t="str">
        <f>D183</f>
        <v>34U650A-B.ATM</v>
      </c>
      <c r="F183" s="987"/>
      <c r="G183" s="955" t="str">
        <f>IFERROR(VLOOKUP(D183,[3]전용!E:J,6,0),"")</f>
        <v/>
      </c>
      <c r="H183" s="860">
        <v>14500</v>
      </c>
      <c r="I183" s="987">
        <v>5</v>
      </c>
      <c r="J183" s="987" t="s">
        <v>215</v>
      </c>
      <c r="K183" s="987" t="s">
        <v>389</v>
      </c>
      <c r="L183" s="988">
        <v>399</v>
      </c>
      <c r="M183" s="971">
        <f>L183*LEFT(I183,1)*12</f>
        <v>23940</v>
      </c>
      <c r="N183" s="855">
        <v>0.1</v>
      </c>
      <c r="O183" s="855"/>
      <c r="P183" s="988">
        <v>399</v>
      </c>
      <c r="Q183" s="970">
        <f t="shared" si="49"/>
        <v>0</v>
      </c>
      <c r="R183" s="971">
        <f t="shared" si="95"/>
        <v>23940</v>
      </c>
      <c r="S183" s="856">
        <f t="shared" si="58"/>
        <v>0.11</v>
      </c>
      <c r="T183" s="971"/>
      <c r="U183" s="971"/>
      <c r="V183" s="1038">
        <v>0</v>
      </c>
      <c r="W183" s="971">
        <f>(P183-T183)*U183+V183*P183*0.5</f>
        <v>0</v>
      </c>
      <c r="X183" s="971">
        <f>R183-W183</f>
        <v>23940</v>
      </c>
      <c r="Y183" s="856">
        <f t="shared" si="97"/>
        <v>0</v>
      </c>
      <c r="Z183" s="861">
        <f>IFERROR(X183/H183,"")</f>
        <v>1.6510344827586207</v>
      </c>
      <c r="AA183" s="856">
        <v>0.11</v>
      </c>
      <c r="AB183" s="856">
        <v>0.06</v>
      </c>
      <c r="AC183" s="970">
        <f>P183+AD183</f>
        <v>399</v>
      </c>
      <c r="AD183" s="970"/>
      <c r="AE183" s="970">
        <f t="shared" si="96"/>
        <v>0</v>
      </c>
      <c r="AF183" s="971">
        <f>AC183*LEFT(I183,1)*12</f>
        <v>23940</v>
      </c>
      <c r="AG183" s="861">
        <f>AF183/R183-1</f>
        <v>0</v>
      </c>
      <c r="AH183" s="576">
        <v>0</v>
      </c>
      <c r="AI183" s="856">
        <f t="shared" si="65"/>
        <v>0.11</v>
      </c>
      <c r="AJ183" s="859">
        <v>0</v>
      </c>
      <c r="AK183" s="583">
        <v>0</v>
      </c>
      <c r="AL183" s="971">
        <f t="shared" si="64"/>
        <v>0</v>
      </c>
      <c r="AM183" s="971">
        <f t="shared" si="52"/>
        <v>23940</v>
      </c>
      <c r="AN183" s="856">
        <f t="shared" si="53"/>
        <v>0</v>
      </c>
      <c r="AO183" s="857">
        <f t="shared" si="54"/>
        <v>1.6510344827586207</v>
      </c>
      <c r="AP183" s="973">
        <f t="shared" si="55"/>
        <v>0</v>
      </c>
      <c r="AQ183" s="855">
        <f t="shared" si="56"/>
        <v>0</v>
      </c>
      <c r="AR183" s="974">
        <f t="shared" si="98"/>
        <v>0.11</v>
      </c>
      <c r="AS183" s="1039" t="s">
        <v>389</v>
      </c>
      <c r="AT183" s="943"/>
      <c r="AU183" s="943"/>
      <c r="AV183" s="943"/>
      <c r="AW183" s="943"/>
      <c r="AX183" s="943"/>
      <c r="AY183" s="943"/>
      <c r="AZ183" s="943"/>
      <c r="BA183" s="943"/>
      <c r="BB183" s="943"/>
      <c r="BC183" s="943"/>
      <c r="BD183" s="943"/>
      <c r="BE183" s="943"/>
      <c r="BF183" s="943"/>
      <c r="BG183" s="943"/>
      <c r="BH183" s="943"/>
      <c r="BI183" s="943"/>
      <c r="BJ183" s="943"/>
      <c r="BK183" s="943"/>
      <c r="BL183" s="943"/>
      <c r="BM183" s="943"/>
      <c r="BN183" s="943"/>
      <c r="BO183" s="943"/>
      <c r="BP183" s="943"/>
      <c r="BQ183" s="943"/>
      <c r="BR183" s="943"/>
      <c r="BS183" s="943"/>
      <c r="BT183" s="943"/>
      <c r="BU183" s="943"/>
      <c r="BV183" s="943">
        <v>0.151</v>
      </c>
      <c r="BW183" s="978">
        <f t="shared" si="57"/>
        <v>0.11</v>
      </c>
    </row>
    <row r="184" spans="1:75" hidden="1">
      <c r="A184" s="1037" t="s">
        <v>308</v>
      </c>
      <c r="B184" s="1037" t="s">
        <v>44</v>
      </c>
      <c r="C184" s="985" t="s">
        <v>829</v>
      </c>
      <c r="D184" s="984" t="s">
        <v>845</v>
      </c>
      <c r="E184" s="955" t="str">
        <f t="shared" ref="E184:E185" si="108">D184</f>
        <v>40U990A-W.ATM</v>
      </c>
      <c r="F184" s="987"/>
      <c r="G184" s="955" t="str">
        <f>IFERROR(VLOOKUP(D184,[3]전용!E:J,6,0),"")</f>
        <v/>
      </c>
      <c r="H184" s="860">
        <v>36900</v>
      </c>
      <c r="I184" s="987">
        <v>5</v>
      </c>
      <c r="J184" s="987" t="s">
        <v>215</v>
      </c>
      <c r="K184" s="987" t="s">
        <v>389</v>
      </c>
      <c r="L184" s="988">
        <v>999</v>
      </c>
      <c r="M184" s="971">
        <f t="shared" ref="M184:M185" si="109">L184*LEFT(I184,1)*12</f>
        <v>59940</v>
      </c>
      <c r="N184" s="855">
        <v>0.11600000000000001</v>
      </c>
      <c r="O184" s="855"/>
      <c r="P184" s="988">
        <v>999</v>
      </c>
      <c r="Q184" s="970">
        <f t="shared" si="49"/>
        <v>0</v>
      </c>
      <c r="R184" s="971">
        <f t="shared" si="95"/>
        <v>59940</v>
      </c>
      <c r="S184" s="856">
        <f t="shared" si="58"/>
        <v>0.11600000000000001</v>
      </c>
      <c r="T184" s="971"/>
      <c r="U184" s="971"/>
      <c r="V184" s="1038">
        <v>0</v>
      </c>
      <c r="W184" s="971">
        <f t="shared" ref="W184:W185" si="110">(P184-T184)*U184+V184*P184*0.5</f>
        <v>0</v>
      </c>
      <c r="X184" s="971">
        <f t="shared" ref="X184:X185" si="111">R184-W184</f>
        <v>59940</v>
      </c>
      <c r="Y184" s="856">
        <f t="shared" si="97"/>
        <v>0</v>
      </c>
      <c r="Z184" s="861">
        <f t="shared" ref="Z184:Z185" si="112">IFERROR(X184/H184,"")</f>
        <v>1.6243902439024391</v>
      </c>
      <c r="AA184" s="855">
        <v>0.11600000000000001</v>
      </c>
      <c r="AB184" s="856"/>
      <c r="AC184" s="970">
        <v>999</v>
      </c>
      <c r="AD184" s="970"/>
      <c r="AE184" s="970">
        <f t="shared" si="96"/>
        <v>0</v>
      </c>
      <c r="AF184" s="971">
        <f t="shared" ref="AF184:AF185" si="113">AC184*LEFT(I184,1)*12</f>
        <v>59940</v>
      </c>
      <c r="AG184" s="861">
        <f t="shared" ref="AG184:AG185" si="114">AF184/R184-1</f>
        <v>0</v>
      </c>
      <c r="AH184" s="576">
        <v>0</v>
      </c>
      <c r="AI184" s="856">
        <f t="shared" si="65"/>
        <v>6.5999999999999961E-2</v>
      </c>
      <c r="AJ184" s="859">
        <v>0</v>
      </c>
      <c r="AK184" s="583">
        <v>6</v>
      </c>
      <c r="AL184" s="971">
        <f t="shared" si="64"/>
        <v>2997</v>
      </c>
      <c r="AM184" s="971">
        <f t="shared" si="52"/>
        <v>56943</v>
      </c>
      <c r="AN184" s="856">
        <f t="shared" si="53"/>
        <v>-5.0000000000000044E-2</v>
      </c>
      <c r="AO184" s="857">
        <f t="shared" si="54"/>
        <v>1.5431707317073171</v>
      </c>
      <c r="AP184" s="973">
        <f t="shared" si="55"/>
        <v>-2997</v>
      </c>
      <c r="AQ184" s="855">
        <f t="shared" si="56"/>
        <v>-5.0000000000000044E-2</v>
      </c>
      <c r="AR184" s="974">
        <f t="shared" si="98"/>
        <v>9.0999999999999984E-2</v>
      </c>
      <c r="AS184" s="1039" t="s">
        <v>389</v>
      </c>
      <c r="AT184" s="943"/>
      <c r="AU184" s="943"/>
      <c r="AV184" s="943"/>
      <c r="AW184" s="943"/>
      <c r="AX184" s="943"/>
      <c r="AY184" s="943"/>
      <c r="AZ184" s="943"/>
      <c r="BA184" s="943"/>
      <c r="BB184" s="943"/>
      <c r="BC184" s="943"/>
      <c r="BD184" s="943"/>
      <c r="BE184" s="943"/>
      <c r="BF184" s="943"/>
      <c r="BG184" s="943"/>
      <c r="BH184" s="943"/>
      <c r="BI184" s="943"/>
      <c r="BJ184" s="943"/>
      <c r="BK184" s="943"/>
      <c r="BL184" s="943"/>
      <c r="BM184" s="943"/>
      <c r="BN184" s="943"/>
      <c r="BO184" s="943"/>
      <c r="BP184" s="943"/>
      <c r="BQ184" s="943"/>
      <c r="BR184" s="943"/>
      <c r="BS184" s="943"/>
      <c r="BT184" s="943"/>
      <c r="BU184" s="943"/>
      <c r="BV184" s="943">
        <v>0.151</v>
      </c>
      <c r="BW184" s="978">
        <f t="shared" si="57"/>
        <v>0.11600000000000001</v>
      </c>
    </row>
    <row r="185" spans="1:75" hidden="1">
      <c r="A185" s="1037" t="s">
        <v>308</v>
      </c>
      <c r="B185" s="1037" t="s">
        <v>44</v>
      </c>
      <c r="C185" s="1040" t="s">
        <v>829</v>
      </c>
      <c r="D185" s="937" t="s">
        <v>846</v>
      </c>
      <c r="E185" s="995" t="str">
        <f t="shared" si="108"/>
        <v>52G930B-B.ATM</v>
      </c>
      <c r="F185" s="987"/>
      <c r="G185" s="955" t="str">
        <f>IFERROR(VLOOKUP(D185,[3]전용!E:J,6,0),"")</f>
        <v/>
      </c>
      <c r="H185" s="860">
        <v>49900</v>
      </c>
      <c r="I185" s="987">
        <v>5</v>
      </c>
      <c r="J185" s="987" t="s">
        <v>215</v>
      </c>
      <c r="K185" s="987" t="s">
        <v>389</v>
      </c>
      <c r="L185" s="988">
        <v>1199</v>
      </c>
      <c r="M185" s="971">
        <f t="shared" si="109"/>
        <v>71940</v>
      </c>
      <c r="N185" s="855">
        <v>0.11</v>
      </c>
      <c r="O185" s="855"/>
      <c r="P185" s="988">
        <v>1199</v>
      </c>
      <c r="Q185" s="970">
        <f t="shared" si="49"/>
        <v>0</v>
      </c>
      <c r="R185" s="971">
        <f t="shared" si="95"/>
        <v>71940</v>
      </c>
      <c r="S185" s="856">
        <f t="shared" si="58"/>
        <v>0.11</v>
      </c>
      <c r="T185" s="971"/>
      <c r="U185" s="971"/>
      <c r="V185" s="1038">
        <v>0</v>
      </c>
      <c r="W185" s="971">
        <f t="shared" si="110"/>
        <v>0</v>
      </c>
      <c r="X185" s="971">
        <f t="shared" si="111"/>
        <v>71940</v>
      </c>
      <c r="Y185" s="856">
        <f t="shared" si="97"/>
        <v>0</v>
      </c>
      <c r="Z185" s="861">
        <f t="shared" si="112"/>
        <v>1.441683366733467</v>
      </c>
      <c r="AA185" s="855">
        <v>0.11</v>
      </c>
      <c r="AB185" s="856"/>
      <c r="AC185" s="970">
        <v>1199</v>
      </c>
      <c r="AD185" s="970"/>
      <c r="AE185" s="970">
        <f t="shared" si="96"/>
        <v>0</v>
      </c>
      <c r="AF185" s="971">
        <f t="shared" si="113"/>
        <v>71940</v>
      </c>
      <c r="AG185" s="861">
        <f t="shared" si="114"/>
        <v>0</v>
      </c>
      <c r="AH185" s="576">
        <v>0</v>
      </c>
      <c r="AI185" s="856">
        <f t="shared" si="65"/>
        <v>5.9999999999999956E-2</v>
      </c>
      <c r="AJ185" s="859">
        <v>0</v>
      </c>
      <c r="AK185" s="583">
        <v>6</v>
      </c>
      <c r="AL185" s="971">
        <f t="shared" si="64"/>
        <v>3597</v>
      </c>
      <c r="AM185" s="971">
        <f t="shared" si="52"/>
        <v>68343</v>
      </c>
      <c r="AN185" s="856">
        <f t="shared" si="53"/>
        <v>-5.0000000000000044E-2</v>
      </c>
      <c r="AO185" s="857">
        <f t="shared" si="54"/>
        <v>1.3695991983967937</v>
      </c>
      <c r="AP185" s="973">
        <f t="shared" si="55"/>
        <v>-3597</v>
      </c>
      <c r="AQ185" s="855">
        <f t="shared" si="56"/>
        <v>-5.0000000000000044E-2</v>
      </c>
      <c r="AR185" s="974">
        <f t="shared" si="98"/>
        <v>8.4999999999999978E-2</v>
      </c>
      <c r="AS185" s="1039" t="s">
        <v>389</v>
      </c>
      <c r="AT185" s="943"/>
      <c r="AU185" s="943"/>
      <c r="AV185" s="943"/>
      <c r="AW185" s="943"/>
      <c r="AX185" s="943"/>
      <c r="AY185" s="943"/>
      <c r="AZ185" s="943"/>
      <c r="BA185" s="943"/>
      <c r="BB185" s="943"/>
      <c r="BC185" s="943"/>
      <c r="BD185" s="943"/>
      <c r="BE185" s="943"/>
      <c r="BF185" s="943"/>
      <c r="BG185" s="943"/>
      <c r="BH185" s="943"/>
      <c r="BI185" s="943"/>
      <c r="BJ185" s="943"/>
      <c r="BK185" s="943"/>
      <c r="BL185" s="943"/>
      <c r="BM185" s="943"/>
      <c r="BN185" s="943"/>
      <c r="BO185" s="943"/>
      <c r="BP185" s="943"/>
      <c r="BQ185" s="943"/>
      <c r="BR185" s="943"/>
      <c r="BS185" s="943"/>
      <c r="BT185" s="943"/>
      <c r="BU185" s="943"/>
      <c r="BV185" s="943">
        <v>0.151</v>
      </c>
      <c r="BW185" s="978">
        <f t="shared" si="57"/>
        <v>0.11</v>
      </c>
    </row>
    <row r="188" spans="1:75">
      <c r="N188">
        <f>(120+144)/4</f>
        <v>66</v>
      </c>
    </row>
    <row r="190" spans="1:75">
      <c r="M190">
        <v>649</v>
      </c>
      <c r="N190">
        <f>M190*N188</f>
        <v>42834</v>
      </c>
    </row>
  </sheetData>
  <autoFilter ref="A3:BW185" xr:uid="{421FDDD0-9D00-49B4-924E-4B34DF1B1E22}">
    <filterColumn colId="1">
      <filters>
        <filter val="SAC"/>
      </filters>
    </filterColumn>
  </autoFilter>
  <mergeCells count="5">
    <mergeCell ref="A2:H2"/>
    <mergeCell ref="P2:AA2"/>
    <mergeCell ref="AC2:AS2"/>
    <mergeCell ref="AW2:BG2"/>
    <mergeCell ref="BH2:BS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5827E-A097-45A4-B0FF-D8D9148D58BD}">
  <sheetPr filterMode="1"/>
  <dimension ref="A1:BW206"/>
  <sheetViews>
    <sheetView workbookViewId="0">
      <pane xSplit="6" ySplit="17" topLeftCell="Y18" activePane="bottomRight" state="frozen"/>
      <selection pane="topRight"/>
      <selection pane="bottomLeft"/>
      <selection pane="bottomRight" activeCell="A149" sqref="A149:XFD149"/>
    </sheetView>
  </sheetViews>
  <sheetFormatPr defaultRowHeight="14.5"/>
  <cols>
    <col min="1" max="1" width="7.7265625" bestFit="1" customWidth="1"/>
    <col min="2" max="2" width="12.26953125" bestFit="1" customWidth="1"/>
    <col min="3" max="3" width="30.54296875" bestFit="1" customWidth="1"/>
    <col min="4" max="4" width="27.26953125" bestFit="1" customWidth="1"/>
    <col min="5" max="5" width="27" hidden="1" customWidth="1"/>
    <col min="6" max="6" width="19.36328125" hidden="1" customWidth="1"/>
    <col min="9" max="9" width="9.54296875" bestFit="1" customWidth="1"/>
    <col min="10" max="10" width="15.26953125" bestFit="1" customWidth="1"/>
    <col min="12" max="12" width="15.26953125" bestFit="1" customWidth="1"/>
    <col min="13" max="13" width="19.453125" bestFit="1" customWidth="1"/>
    <col min="14" max="14" width="6.81640625" bestFit="1" customWidth="1"/>
    <col min="15" max="15" width="0" hidden="1" customWidth="1"/>
    <col min="19" max="19" width="5.54296875" bestFit="1" customWidth="1"/>
    <col min="31" max="31" width="6.54296875" bestFit="1" customWidth="1"/>
    <col min="35" max="35" width="7.90625" bestFit="1" customWidth="1"/>
    <col min="45" max="45" width="39" bestFit="1" customWidth="1"/>
    <col min="46" max="46" width="10.90625" hidden="1" customWidth="1"/>
    <col min="47" max="47" width="0" hidden="1" customWidth="1"/>
    <col min="48" max="48" width="6.6328125" hidden="1" customWidth="1"/>
    <col min="49" max="58" width="0" hidden="1" customWidth="1"/>
    <col min="59" max="59" width="39" hidden="1" customWidth="1"/>
    <col min="60" max="70" width="0" hidden="1" customWidth="1"/>
    <col min="71" max="71" width="39" hidden="1" customWidth="1"/>
    <col min="72" max="72" width="9.6328125" hidden="1" customWidth="1"/>
    <col min="73" max="74" width="13.6328125" hidden="1" customWidth="1"/>
    <col min="75" max="75" width="5.54296875" hidden="1" customWidth="1"/>
  </cols>
  <sheetData>
    <row r="1" spans="1:75">
      <c r="A1" s="943"/>
      <c r="B1" s="942"/>
      <c r="C1" s="942"/>
      <c r="D1" s="942"/>
      <c r="E1" s="942"/>
      <c r="F1" s="942"/>
      <c r="G1" s="942"/>
      <c r="H1" s="942"/>
      <c r="I1" s="943"/>
      <c r="J1" s="943"/>
      <c r="K1" s="943"/>
      <c r="L1" s="944"/>
      <c r="M1" s="942"/>
      <c r="N1" s="852"/>
      <c r="O1" s="852"/>
      <c r="P1" s="945"/>
      <c r="Q1" s="945"/>
      <c r="R1" s="943"/>
      <c r="S1" s="943"/>
      <c r="T1" s="943"/>
      <c r="U1" s="943"/>
      <c r="V1" s="943"/>
      <c r="W1" s="943"/>
      <c r="X1" s="943"/>
      <c r="Y1" s="943"/>
      <c r="Z1" s="943"/>
      <c r="AA1" s="943"/>
      <c r="AB1" s="943"/>
      <c r="AC1" s="945"/>
      <c r="AD1" s="945"/>
      <c r="AE1" s="945"/>
      <c r="AF1" s="943"/>
      <c r="AG1" s="946">
        <f>AVERAGE(AG4:AG206)</f>
        <v>-9.2812847913818059E-4</v>
      </c>
      <c r="AH1" s="947"/>
      <c r="AI1" s="946"/>
      <c r="AJ1" s="947"/>
      <c r="AK1" s="943"/>
      <c r="AL1" s="943"/>
      <c r="AM1" s="943"/>
      <c r="AN1" s="946"/>
      <c r="AO1" s="943"/>
      <c r="AP1" s="943"/>
      <c r="AQ1" s="946">
        <f>AVERAGE(AQ4:AQ206)</f>
        <v>1.2425568844723515E-2</v>
      </c>
      <c r="AR1" s="946"/>
      <c r="AS1" s="943"/>
      <c r="AT1" s="943"/>
      <c r="AU1" s="943"/>
      <c r="AV1" s="943"/>
      <c r="AW1" s="943"/>
      <c r="AX1" s="943"/>
      <c r="AY1" s="943"/>
      <c r="AZ1" s="943"/>
      <c r="BA1" s="943"/>
      <c r="BB1" s="943"/>
      <c r="BC1" s="943"/>
      <c r="BD1" s="943"/>
      <c r="BE1" s="943"/>
      <c r="BF1" s="943"/>
      <c r="BG1" s="943"/>
      <c r="BH1" s="943"/>
      <c r="BI1" s="943"/>
      <c r="BJ1" s="943"/>
      <c r="BK1" s="943"/>
      <c r="BL1" s="943"/>
      <c r="BM1" s="943"/>
      <c r="BN1" s="943"/>
      <c r="BO1" s="943"/>
      <c r="BP1" s="943"/>
      <c r="BQ1" s="943"/>
      <c r="BR1" s="943"/>
      <c r="BS1" s="943"/>
      <c r="BT1" s="943"/>
      <c r="BU1" s="943"/>
      <c r="BV1" s="943"/>
      <c r="BW1" s="943"/>
    </row>
    <row r="2" spans="1:75">
      <c r="A2" s="1329"/>
      <c r="B2" s="1330"/>
      <c r="C2" s="1330"/>
      <c r="D2" s="1330"/>
      <c r="E2" s="1330"/>
      <c r="F2" s="1330"/>
      <c r="G2" s="1330"/>
      <c r="H2" s="1331"/>
      <c r="I2" s="948"/>
      <c r="J2" s="949"/>
      <c r="K2" s="949"/>
      <c r="L2" s="950"/>
      <c r="M2" s="949"/>
      <c r="N2" s="949"/>
      <c r="O2" s="949"/>
      <c r="P2" s="1332" t="s">
        <v>268</v>
      </c>
      <c r="Q2" s="1332"/>
      <c r="R2" s="1332"/>
      <c r="S2" s="1332"/>
      <c r="T2" s="1332"/>
      <c r="U2" s="1332"/>
      <c r="V2" s="1332"/>
      <c r="W2" s="1332"/>
      <c r="X2" s="1332"/>
      <c r="Y2" s="1332"/>
      <c r="Z2" s="1332"/>
      <c r="AA2" s="1332"/>
      <c r="AB2" s="951"/>
      <c r="AC2" s="1333" t="s">
        <v>893</v>
      </c>
      <c r="AD2" s="1334"/>
      <c r="AE2" s="1334"/>
      <c r="AF2" s="1334"/>
      <c r="AG2" s="1334"/>
      <c r="AH2" s="1334"/>
      <c r="AI2" s="1334"/>
      <c r="AJ2" s="1334"/>
      <c r="AK2" s="1334"/>
      <c r="AL2" s="1334"/>
      <c r="AM2" s="1334"/>
      <c r="AN2" s="1334"/>
      <c r="AO2" s="1334"/>
      <c r="AP2" s="1334"/>
      <c r="AQ2" s="1334"/>
      <c r="AR2" s="1334"/>
      <c r="AS2" s="1334"/>
      <c r="AT2" s="954"/>
      <c r="AU2" s="954"/>
      <c r="AV2" s="954"/>
      <c r="AW2" s="1335"/>
      <c r="AX2" s="1335"/>
      <c r="AY2" s="1335"/>
      <c r="AZ2" s="1336"/>
      <c r="BA2" s="1335"/>
      <c r="BB2" s="1335"/>
      <c r="BC2" s="1335"/>
      <c r="BD2" s="1335"/>
      <c r="BE2" s="1335"/>
      <c r="BF2" s="1335"/>
      <c r="BG2" s="1337"/>
      <c r="BH2" s="1338" t="s">
        <v>819</v>
      </c>
      <c r="BI2" s="1339"/>
      <c r="BJ2" s="1339"/>
      <c r="BK2" s="1339"/>
      <c r="BL2" s="1340"/>
      <c r="BM2" s="1339"/>
      <c r="BN2" s="1339"/>
      <c r="BO2" s="1339"/>
      <c r="BP2" s="1339"/>
      <c r="BQ2" s="1339"/>
      <c r="BR2" s="1339"/>
      <c r="BS2" s="1341"/>
      <c r="BT2" s="943"/>
      <c r="BU2" s="943"/>
      <c r="BV2" s="943"/>
      <c r="BW2" s="943"/>
    </row>
    <row r="3" spans="1:75" ht="56">
      <c r="A3" s="976" t="s">
        <v>820</v>
      </c>
      <c r="B3" s="955" t="s">
        <v>270</v>
      </c>
      <c r="C3" s="955" t="s">
        <v>821</v>
      </c>
      <c r="D3" s="955" t="s">
        <v>40</v>
      </c>
      <c r="E3" s="955"/>
      <c r="F3" s="955"/>
      <c r="G3" s="956" t="s">
        <v>894</v>
      </c>
      <c r="H3" s="956" t="s">
        <v>895</v>
      </c>
      <c r="I3" s="957" t="s">
        <v>514</v>
      </c>
      <c r="J3" s="958" t="s">
        <v>273</v>
      </c>
      <c r="K3" s="957" t="s">
        <v>896</v>
      </c>
      <c r="L3" s="959" t="s">
        <v>368</v>
      </c>
      <c r="M3" s="958" t="s">
        <v>822</v>
      </c>
      <c r="N3" s="853" t="s">
        <v>823</v>
      </c>
      <c r="O3" s="853" t="s">
        <v>897</v>
      </c>
      <c r="P3" s="960" t="s">
        <v>824</v>
      </c>
      <c r="Q3" s="960" t="s">
        <v>898</v>
      </c>
      <c r="R3" s="961" t="s">
        <v>825</v>
      </c>
      <c r="S3" s="961" t="s">
        <v>899</v>
      </c>
      <c r="T3" s="961" t="s">
        <v>900</v>
      </c>
      <c r="U3" s="961" t="s">
        <v>901</v>
      </c>
      <c r="V3" s="961" t="s">
        <v>275</v>
      </c>
      <c r="W3" s="961" t="s">
        <v>276</v>
      </c>
      <c r="X3" s="961" t="s">
        <v>370</v>
      </c>
      <c r="Y3" s="961" t="s">
        <v>462</v>
      </c>
      <c r="Z3" s="961" t="s">
        <v>902</v>
      </c>
      <c r="AA3" s="961" t="s">
        <v>278</v>
      </c>
      <c r="AB3" s="961" t="s">
        <v>826</v>
      </c>
      <c r="AC3" s="962" t="s">
        <v>371</v>
      </c>
      <c r="AD3" s="952" t="s">
        <v>903</v>
      </c>
      <c r="AE3" s="952" t="s">
        <v>904</v>
      </c>
      <c r="AF3" s="952" t="s">
        <v>827</v>
      </c>
      <c r="AG3" s="952" t="s">
        <v>905</v>
      </c>
      <c r="AH3" s="963" t="s">
        <v>828</v>
      </c>
      <c r="AI3" s="963" t="s">
        <v>899</v>
      </c>
      <c r="AJ3" s="963" t="s">
        <v>901</v>
      </c>
      <c r="AK3" s="952" t="s">
        <v>275</v>
      </c>
      <c r="AL3" s="952" t="s">
        <v>276</v>
      </c>
      <c r="AM3" s="952" t="s">
        <v>370</v>
      </c>
      <c r="AN3" s="952" t="s">
        <v>462</v>
      </c>
      <c r="AO3" s="952" t="s">
        <v>902</v>
      </c>
      <c r="AP3" s="952" t="s">
        <v>903</v>
      </c>
      <c r="AQ3" s="952" t="s">
        <v>906</v>
      </c>
      <c r="AR3" s="952" t="s">
        <v>278</v>
      </c>
      <c r="AS3" s="953" t="s">
        <v>280</v>
      </c>
      <c r="AT3" s="955" t="s">
        <v>283</v>
      </c>
      <c r="AU3" s="956" t="s">
        <v>284</v>
      </c>
      <c r="AV3" s="955" t="s">
        <v>267</v>
      </c>
      <c r="AW3" s="964" t="s">
        <v>371</v>
      </c>
      <c r="AX3" s="957" t="s">
        <v>281</v>
      </c>
      <c r="AY3" s="957" t="s">
        <v>827</v>
      </c>
      <c r="AZ3" s="965" t="s">
        <v>828</v>
      </c>
      <c r="BA3" s="957" t="s">
        <v>275</v>
      </c>
      <c r="BB3" s="957" t="s">
        <v>276</v>
      </c>
      <c r="BC3" s="957" t="s">
        <v>277</v>
      </c>
      <c r="BD3" s="957" t="s">
        <v>281</v>
      </c>
      <c r="BE3" s="957" t="s">
        <v>282</v>
      </c>
      <c r="BF3" s="957" t="s">
        <v>278</v>
      </c>
      <c r="BG3" s="958" t="s">
        <v>280</v>
      </c>
      <c r="BH3" s="961" t="s">
        <v>371</v>
      </c>
      <c r="BI3" s="960" t="s">
        <v>371</v>
      </c>
      <c r="BJ3" s="961" t="s">
        <v>281</v>
      </c>
      <c r="BK3" s="961" t="s">
        <v>827</v>
      </c>
      <c r="BL3" s="966" t="s">
        <v>828</v>
      </c>
      <c r="BM3" s="961" t="s">
        <v>275</v>
      </c>
      <c r="BN3" s="961" t="s">
        <v>276</v>
      </c>
      <c r="BO3" s="961" t="s">
        <v>277</v>
      </c>
      <c r="BP3" s="961" t="s">
        <v>281</v>
      </c>
      <c r="BQ3" s="961" t="s">
        <v>282</v>
      </c>
      <c r="BR3" s="961" t="s">
        <v>278</v>
      </c>
      <c r="BS3" s="951" t="s">
        <v>280</v>
      </c>
      <c r="BT3" s="967" t="s">
        <v>907</v>
      </c>
      <c r="BU3" s="942"/>
      <c r="BV3" s="942"/>
      <c r="BW3" s="942">
        <f>IF(AA4&gt;17%,AA4-2%,AA4)</f>
        <v>-0.1018892113630856</v>
      </c>
    </row>
    <row r="4" spans="1:75" hidden="1">
      <c r="A4" s="969">
        <v>2606</v>
      </c>
      <c r="B4" s="968" t="s">
        <v>14</v>
      </c>
      <c r="C4" s="969" t="s">
        <v>829</v>
      </c>
      <c r="D4" s="969" t="s">
        <v>379</v>
      </c>
      <c r="E4" s="955" t="s">
        <v>206</v>
      </c>
      <c r="F4" s="955" t="s">
        <v>207</v>
      </c>
      <c r="G4" s="955" t="str">
        <f>IFERROR(VLOOKUP(D4,[3]전용!E:J,6,0),"")</f>
        <v/>
      </c>
      <c r="H4" s="854">
        <v>77666.666666666672</v>
      </c>
      <c r="I4" s="955">
        <v>5</v>
      </c>
      <c r="J4" s="955" t="s">
        <v>286</v>
      </c>
      <c r="K4" s="955">
        <v>6</v>
      </c>
      <c r="L4" s="970">
        <v>1749</v>
      </c>
      <c r="M4" s="971">
        <f t="shared" ref="M4:M67" si="0">L4*LEFT(I4,1)*12</f>
        <v>104940</v>
      </c>
      <c r="N4" s="855">
        <v>0.15</v>
      </c>
      <c r="O4" s="855"/>
      <c r="P4" s="970">
        <v>1349</v>
      </c>
      <c r="Q4" s="970">
        <f t="shared" ref="Q4:Q67" si="1">L4-P4</f>
        <v>400</v>
      </c>
      <c r="R4" s="971">
        <f t="shared" ref="R4:R42" si="2">P4*LEFT(I4,1)*12</f>
        <v>80940</v>
      </c>
      <c r="S4" s="856">
        <f>AA4-(Y4/2)</f>
        <v>-8.9389211363085586E-2</v>
      </c>
      <c r="T4" s="971"/>
      <c r="U4" s="971"/>
      <c r="V4" s="972">
        <v>3</v>
      </c>
      <c r="W4" s="971">
        <f t="shared" ref="W4:W68" si="3">(P4-T4)*U4+V4*P4*0.5</f>
        <v>2023.5</v>
      </c>
      <c r="X4" s="971">
        <f>R4-W4</f>
        <v>78916.5</v>
      </c>
      <c r="Y4" s="856">
        <f>X4/R4-1</f>
        <v>-2.5000000000000022E-2</v>
      </c>
      <c r="Z4" s="857">
        <f>IFERROR(X4/H4,"")</f>
        <v>1.0160922746781116</v>
      </c>
      <c r="AA4" s="856">
        <v>-0.1018892113630856</v>
      </c>
      <c r="AB4" s="856">
        <v>2.1314900477802295E-2</v>
      </c>
      <c r="AC4" s="970">
        <f t="shared" ref="AC4:AC67" si="4">P4+AD4</f>
        <v>1449</v>
      </c>
      <c r="AD4" s="970">
        <v>100</v>
      </c>
      <c r="AE4" s="970">
        <f>IF(AA4&gt;10%,0,IF(AA4&gt;5%,P4*0.04,IF(AA4&gt;0%,P4*0.04, P4*0.1)))</f>
        <v>134.9</v>
      </c>
      <c r="AF4" s="971">
        <f>AC4*LEFT(I4,1)*12</f>
        <v>86940</v>
      </c>
      <c r="AG4" s="857">
        <f>AF4/R4-1</f>
        <v>7.4128984432913159E-2</v>
      </c>
      <c r="AH4" s="576">
        <v>149</v>
      </c>
      <c r="AI4" s="856">
        <f t="shared" ref="AI4:AI5" si="5">AR4+(AN4/2)</f>
        <v>-4.8192757768156444E-2</v>
      </c>
      <c r="AJ4" s="583">
        <v>3</v>
      </c>
      <c r="AK4" s="583">
        <v>0</v>
      </c>
      <c r="AL4" s="971">
        <f>(AC4-AH4)*AJ4+AK4*AC4*0.5</f>
        <v>3900</v>
      </c>
      <c r="AM4" s="971">
        <f t="shared" ref="AM4:AM67" si="6">AF4-AL4</f>
        <v>83040</v>
      </c>
      <c r="AN4" s="858">
        <f t="shared" ref="AN4:AN67" si="7">AM4/AF4-1</f>
        <v>-4.4858523119392646E-2</v>
      </c>
      <c r="AO4" s="857">
        <f t="shared" ref="AO4:AO67" si="8">IFERROR(AM4/H4,"")</f>
        <v>1.0691845493562231</v>
      </c>
      <c r="AP4" s="973">
        <f t="shared" ref="AP4:AP67" si="9">AM4-X4</f>
        <v>4123.5</v>
      </c>
      <c r="AQ4" s="855">
        <f t="shared" ref="AQ4:AQ67" si="10">AM4/X4-1</f>
        <v>5.2251430309250946E-2</v>
      </c>
      <c r="AR4" s="974">
        <f>IFERROR(AA4+AQ4*0.5,"")+5%</f>
        <v>-2.5763496208460121E-2</v>
      </c>
      <c r="AS4" s="975" t="s">
        <v>830</v>
      </c>
      <c r="AT4" s="976"/>
      <c r="AU4" s="971"/>
      <c r="AV4" s="976"/>
      <c r="AW4" s="970"/>
      <c r="AX4" s="971"/>
      <c r="AY4" s="971"/>
      <c r="AZ4" s="977"/>
      <c r="BA4" s="972"/>
      <c r="BB4" s="971"/>
      <c r="BC4" s="973"/>
      <c r="BD4" s="973"/>
      <c r="BE4" s="855"/>
      <c r="BF4" s="975"/>
      <c r="BG4" s="975"/>
      <c r="BH4" s="971"/>
      <c r="BI4" s="970"/>
      <c r="BJ4" s="971"/>
      <c r="BK4" s="971"/>
      <c r="BL4" s="977"/>
      <c r="BM4" s="972"/>
      <c r="BN4" s="971"/>
      <c r="BO4" s="973"/>
      <c r="BP4" s="973"/>
      <c r="BQ4" s="855"/>
      <c r="BR4" s="975"/>
      <c r="BS4" s="975"/>
      <c r="BT4" s="978" t="e" cm="1">
        <f t="array" ref="BT4">vlook</f>
        <v>#NAME?</v>
      </c>
      <c r="BU4" s="978">
        <f t="shared" ref="BU4:BU15" si="11">AP4/X4</f>
        <v>5.2251430309250918E-2</v>
      </c>
      <c r="BV4" s="978">
        <v>0.05</v>
      </c>
      <c r="BW4" s="978">
        <f t="shared" ref="BW4:BW67" si="12">IF(AA4&gt;19%,AA4-3.8%,AA4)</f>
        <v>-0.1018892113630856</v>
      </c>
    </row>
    <row r="5" spans="1:75" hidden="1">
      <c r="A5" s="980">
        <v>2606</v>
      </c>
      <c r="B5" s="979" t="s">
        <v>14</v>
      </c>
      <c r="C5" s="980" t="s">
        <v>829</v>
      </c>
      <c r="D5" s="980" t="s">
        <v>379</v>
      </c>
      <c r="E5" s="955" t="s">
        <v>206</v>
      </c>
      <c r="F5" s="955" t="s">
        <v>207</v>
      </c>
      <c r="G5" s="955" t="str">
        <f>IFERROR(VLOOKUP(D5,[3]전용!E:J,6,0),"")</f>
        <v/>
      </c>
      <c r="H5" s="854">
        <v>77666.666666666672</v>
      </c>
      <c r="I5" s="955">
        <v>6</v>
      </c>
      <c r="J5" s="955" t="s">
        <v>286</v>
      </c>
      <c r="K5" s="955">
        <v>6</v>
      </c>
      <c r="L5" s="970">
        <v>1549</v>
      </c>
      <c r="M5" s="971">
        <f t="shared" si="0"/>
        <v>111528</v>
      </c>
      <c r="N5" s="855">
        <v>0.15</v>
      </c>
      <c r="O5" s="855"/>
      <c r="P5" s="970">
        <v>1149</v>
      </c>
      <c r="Q5" s="970">
        <f t="shared" si="1"/>
        <v>400</v>
      </c>
      <c r="R5" s="971">
        <f t="shared" si="2"/>
        <v>82728</v>
      </c>
      <c r="S5" s="856">
        <f t="shared" ref="S5:S68" si="13">AA5-(Y5/2)</f>
        <v>-9.1472544696418912E-2</v>
      </c>
      <c r="T5" s="971"/>
      <c r="U5" s="971"/>
      <c r="V5" s="972">
        <v>3</v>
      </c>
      <c r="W5" s="971">
        <f t="shared" si="3"/>
        <v>1723.5</v>
      </c>
      <c r="X5" s="971">
        <f t="shared" ref="X5:X68" si="14">R5-W5</f>
        <v>81004.5</v>
      </c>
      <c r="Y5" s="858">
        <f t="shared" ref="Y5:Y68" si="15">X5/R5-1</f>
        <v>-2.083333333333337E-2</v>
      </c>
      <c r="Z5" s="857">
        <f t="shared" ref="Z5:Z68" si="16">IFERROR(X5/H5,"")</f>
        <v>1.0429763948497854</v>
      </c>
      <c r="AA5" s="856">
        <v>-0.1018892113630856</v>
      </c>
      <c r="AB5" s="856">
        <v>2.1314900477802295E-2</v>
      </c>
      <c r="AC5" s="970">
        <f t="shared" si="4"/>
        <v>1249</v>
      </c>
      <c r="AD5" s="970">
        <v>100</v>
      </c>
      <c r="AE5" s="970">
        <f t="shared" ref="AE5:AE7" si="17">IF(AA5&gt;10%,0,IF(AA5&gt;5%,P5*0.04,IF(AA5&gt;0%,P5*0.04, P5*0.1)))</f>
        <v>114.9</v>
      </c>
      <c r="AF5" s="971">
        <f t="shared" ref="AF5:AF68" si="18">AC5*LEFT(I5,1)*12</f>
        <v>89928</v>
      </c>
      <c r="AG5" s="857">
        <f t="shared" ref="AG5:AG68" si="19">AF5/R5-1</f>
        <v>8.7032201914708507E-2</v>
      </c>
      <c r="AH5" s="576">
        <v>149</v>
      </c>
      <c r="AI5" s="856">
        <f t="shared" si="5"/>
        <v>-3.5526188533659672E-2</v>
      </c>
      <c r="AJ5" s="583">
        <v>3</v>
      </c>
      <c r="AK5" s="583">
        <v>0</v>
      </c>
      <c r="AL5" s="971">
        <f t="shared" ref="AL5:AL68" si="20">(AC5-AH5)*AJ5+AK5*AC5*0.5</f>
        <v>3300</v>
      </c>
      <c r="AM5" s="971">
        <f t="shared" si="6"/>
        <v>86628</v>
      </c>
      <c r="AN5" s="858">
        <f t="shared" si="7"/>
        <v>-3.6696023485454976E-2</v>
      </c>
      <c r="AO5" s="857">
        <f t="shared" si="8"/>
        <v>1.115381974248927</v>
      </c>
      <c r="AP5" s="973">
        <f t="shared" si="9"/>
        <v>5623.5</v>
      </c>
      <c r="AQ5" s="855">
        <f t="shared" si="10"/>
        <v>6.9422069144306819E-2</v>
      </c>
      <c r="AR5" s="974">
        <f>IFERROR(AA5+AQ5*0.5,"")+5%</f>
        <v>-1.7178176790932184E-2</v>
      </c>
      <c r="AS5" s="975" t="s">
        <v>830</v>
      </c>
      <c r="AT5" s="976"/>
      <c r="AU5" s="971"/>
      <c r="AV5" s="976"/>
      <c r="AW5" s="970"/>
      <c r="AX5" s="971"/>
      <c r="AY5" s="971"/>
      <c r="AZ5" s="977"/>
      <c r="BA5" s="972"/>
      <c r="BB5" s="971"/>
      <c r="BC5" s="973"/>
      <c r="BD5" s="973"/>
      <c r="BE5" s="855"/>
      <c r="BF5" s="975"/>
      <c r="BG5" s="975"/>
      <c r="BH5" s="971"/>
      <c r="BI5" s="970"/>
      <c r="BJ5" s="971"/>
      <c r="BK5" s="971"/>
      <c r="BL5" s="977"/>
      <c r="BM5" s="972"/>
      <c r="BN5" s="971"/>
      <c r="BO5" s="973"/>
      <c r="BP5" s="973"/>
      <c r="BQ5" s="855"/>
      <c r="BR5" s="975"/>
      <c r="BS5" s="975"/>
      <c r="BT5" s="978"/>
      <c r="BU5" s="978">
        <f t="shared" si="11"/>
        <v>6.9422069144306792E-2</v>
      </c>
      <c r="BV5" s="978">
        <v>0.05</v>
      </c>
      <c r="BW5" s="978">
        <f t="shared" si="12"/>
        <v>-0.1018892113630856</v>
      </c>
    </row>
    <row r="6" spans="1:75" hidden="1">
      <c r="A6" s="969">
        <v>2606</v>
      </c>
      <c r="B6" s="968" t="s">
        <v>14</v>
      </c>
      <c r="C6" s="969" t="s">
        <v>831</v>
      </c>
      <c r="D6" s="981" t="s">
        <v>380</v>
      </c>
      <c r="E6" s="955" t="s">
        <v>208</v>
      </c>
      <c r="F6" s="955" t="s">
        <v>207</v>
      </c>
      <c r="G6" s="955" t="str">
        <f>IFERROR(VLOOKUP(D6,[3]전용!E:J,6,0),"")</f>
        <v/>
      </c>
      <c r="H6" s="854">
        <v>62111.111111111109</v>
      </c>
      <c r="I6" s="955">
        <v>5</v>
      </c>
      <c r="J6" s="955" t="s">
        <v>286</v>
      </c>
      <c r="K6" s="955">
        <v>6</v>
      </c>
      <c r="L6" s="970">
        <v>1549</v>
      </c>
      <c r="M6" s="971">
        <f t="shared" si="0"/>
        <v>92940</v>
      </c>
      <c r="N6" s="855">
        <v>0.15</v>
      </c>
      <c r="O6" s="855"/>
      <c r="P6" s="970">
        <v>1149</v>
      </c>
      <c r="Q6" s="970">
        <f t="shared" si="1"/>
        <v>400</v>
      </c>
      <c r="R6" s="971">
        <f t="shared" si="2"/>
        <v>68940</v>
      </c>
      <c r="S6" s="856">
        <f t="shared" si="13"/>
        <v>-0.25137495463641413</v>
      </c>
      <c r="T6" s="971"/>
      <c r="U6" s="971"/>
      <c r="V6" s="972">
        <v>3</v>
      </c>
      <c r="W6" s="971">
        <f t="shared" si="3"/>
        <v>1723.5</v>
      </c>
      <c r="X6" s="971">
        <f t="shared" si="14"/>
        <v>67216.5</v>
      </c>
      <c r="Y6" s="858">
        <f t="shared" si="15"/>
        <v>-2.5000000000000022E-2</v>
      </c>
      <c r="Z6" s="857">
        <f t="shared" si="16"/>
        <v>1.0821976744186046</v>
      </c>
      <c r="AA6" s="856">
        <v>-0.26387495463641414</v>
      </c>
      <c r="AB6" s="856">
        <v>1.843261913114318E-2</v>
      </c>
      <c r="AC6" s="970">
        <f t="shared" si="4"/>
        <v>1249</v>
      </c>
      <c r="AD6" s="970">
        <v>100</v>
      </c>
      <c r="AE6" s="970">
        <f t="shared" si="17"/>
        <v>114.9</v>
      </c>
      <c r="AF6" s="971">
        <f t="shared" si="18"/>
        <v>74940</v>
      </c>
      <c r="AG6" s="857">
        <f t="shared" si="19"/>
        <v>8.7032201914708507E-2</v>
      </c>
      <c r="AH6" s="576">
        <v>149</v>
      </c>
      <c r="AI6" s="856">
        <f>AR6+(AN6/2)</f>
        <v>-0.11324478135405119</v>
      </c>
      <c r="AJ6" s="583">
        <v>3</v>
      </c>
      <c r="AK6" s="583">
        <v>0</v>
      </c>
      <c r="AL6" s="971">
        <f t="shared" si="20"/>
        <v>3300</v>
      </c>
      <c r="AM6" s="971">
        <f t="shared" si="6"/>
        <v>71640</v>
      </c>
      <c r="AN6" s="858">
        <f t="shared" si="7"/>
        <v>-4.4035228182546016E-2</v>
      </c>
      <c r="AO6" s="857">
        <f t="shared" si="8"/>
        <v>1.1534168157423972</v>
      </c>
      <c r="AP6" s="973">
        <f t="shared" si="9"/>
        <v>4423.5</v>
      </c>
      <c r="AQ6" s="855">
        <f t="shared" si="10"/>
        <v>6.5809734217044946E-2</v>
      </c>
      <c r="AR6" s="974">
        <f>IFERROR(AA6+AQ6*0.8,"")+12%</f>
        <v>-9.1227167262778186E-2</v>
      </c>
      <c r="AS6" s="975" t="s">
        <v>832</v>
      </c>
      <c r="AT6" s="976"/>
      <c r="AU6" s="971"/>
      <c r="AV6" s="976"/>
      <c r="AW6" s="970"/>
      <c r="AX6" s="971"/>
      <c r="AY6" s="971"/>
      <c r="AZ6" s="977"/>
      <c r="BA6" s="972"/>
      <c r="BB6" s="971"/>
      <c r="BC6" s="973"/>
      <c r="BD6" s="973"/>
      <c r="BE6" s="855"/>
      <c r="BF6" s="975"/>
      <c r="BG6" s="975"/>
      <c r="BH6" s="971"/>
      <c r="BI6" s="970"/>
      <c r="BJ6" s="971"/>
      <c r="BK6" s="971"/>
      <c r="BL6" s="977"/>
      <c r="BM6" s="972"/>
      <c r="BN6" s="971"/>
      <c r="BO6" s="973"/>
      <c r="BP6" s="973"/>
      <c r="BQ6" s="855"/>
      <c r="BR6" s="975"/>
      <c r="BS6" s="975"/>
      <c r="BT6" s="978"/>
      <c r="BU6" s="978">
        <f t="shared" si="11"/>
        <v>6.5809734217044918E-2</v>
      </c>
      <c r="BV6" s="978">
        <v>0.03</v>
      </c>
      <c r="BW6" s="978">
        <f t="shared" si="12"/>
        <v>-0.26387495463641414</v>
      </c>
    </row>
    <row r="7" spans="1:75" hidden="1">
      <c r="A7" s="980">
        <v>2606</v>
      </c>
      <c r="B7" s="979" t="s">
        <v>14</v>
      </c>
      <c r="C7" s="982" t="s">
        <v>831</v>
      </c>
      <c r="D7" s="983" t="s">
        <v>380</v>
      </c>
      <c r="E7" s="955" t="s">
        <v>208</v>
      </c>
      <c r="F7" s="955" t="s">
        <v>207</v>
      </c>
      <c r="G7" s="955" t="str">
        <f>IFERROR(VLOOKUP(D7,[3]전용!E:J,6,0),"")</f>
        <v/>
      </c>
      <c r="H7" s="854">
        <v>62111.111111111109</v>
      </c>
      <c r="I7" s="955">
        <v>6</v>
      </c>
      <c r="J7" s="955" t="s">
        <v>286</v>
      </c>
      <c r="K7" s="955">
        <v>6</v>
      </c>
      <c r="L7" s="970">
        <v>1349</v>
      </c>
      <c r="M7" s="971">
        <f t="shared" si="0"/>
        <v>97128</v>
      </c>
      <c r="N7" s="855">
        <v>0.15</v>
      </c>
      <c r="O7" s="855"/>
      <c r="P7" s="970">
        <v>949</v>
      </c>
      <c r="Q7" s="970">
        <f t="shared" si="1"/>
        <v>400</v>
      </c>
      <c r="R7" s="971">
        <f t="shared" si="2"/>
        <v>68328</v>
      </c>
      <c r="S7" s="856">
        <f t="shared" si="13"/>
        <v>-0.25345828796974745</v>
      </c>
      <c r="T7" s="971"/>
      <c r="U7" s="971"/>
      <c r="V7" s="972">
        <v>3</v>
      </c>
      <c r="W7" s="971">
        <f t="shared" si="3"/>
        <v>1423.5</v>
      </c>
      <c r="X7" s="971">
        <f t="shared" si="14"/>
        <v>66904.5</v>
      </c>
      <c r="Y7" s="858">
        <f t="shared" si="15"/>
        <v>-2.083333333333337E-2</v>
      </c>
      <c r="Z7" s="857">
        <f t="shared" si="16"/>
        <v>1.0771744186046512</v>
      </c>
      <c r="AA7" s="856">
        <v>-0.26387495463641414</v>
      </c>
      <c r="AB7" s="856">
        <v>1.843261913114318E-2</v>
      </c>
      <c r="AC7" s="970">
        <f t="shared" si="4"/>
        <v>1049</v>
      </c>
      <c r="AD7" s="970">
        <v>100</v>
      </c>
      <c r="AE7" s="970">
        <f t="shared" si="17"/>
        <v>94.9</v>
      </c>
      <c r="AF7" s="971">
        <f t="shared" si="18"/>
        <v>75528</v>
      </c>
      <c r="AG7" s="857">
        <f t="shared" si="19"/>
        <v>0.10537407797681775</v>
      </c>
      <c r="AH7" s="576">
        <v>149</v>
      </c>
      <c r="AI7" s="856">
        <f t="shared" ref="AI7:AI70" si="21">AR7+(AN7/2)</f>
        <v>-0.11091980409497929</v>
      </c>
      <c r="AJ7" s="583">
        <v>3</v>
      </c>
      <c r="AK7" s="583">
        <v>0</v>
      </c>
      <c r="AL7" s="971">
        <f t="shared" si="20"/>
        <v>2700</v>
      </c>
      <c r="AM7" s="971">
        <f t="shared" si="6"/>
        <v>72828</v>
      </c>
      <c r="AN7" s="858">
        <f t="shared" si="7"/>
        <v>-3.5748331744518635E-2</v>
      </c>
      <c r="AO7" s="857">
        <f t="shared" si="8"/>
        <v>1.1725438282647584</v>
      </c>
      <c r="AP7" s="973">
        <f t="shared" si="9"/>
        <v>5923.5</v>
      </c>
      <c r="AQ7" s="855">
        <f t="shared" si="10"/>
        <v>8.8536645517117707E-2</v>
      </c>
      <c r="AR7" s="974">
        <f>IFERROR(AA7+AQ7*0.8,"")+10%</f>
        <v>-9.3045638222719967E-2</v>
      </c>
      <c r="AS7" s="975" t="s">
        <v>832</v>
      </c>
      <c r="AT7" s="976"/>
      <c r="AU7" s="971"/>
      <c r="AV7" s="976"/>
      <c r="AW7" s="970"/>
      <c r="AX7" s="971"/>
      <c r="AY7" s="971"/>
      <c r="AZ7" s="977"/>
      <c r="BA7" s="972"/>
      <c r="BB7" s="971"/>
      <c r="BC7" s="973"/>
      <c r="BD7" s="973"/>
      <c r="BE7" s="855"/>
      <c r="BF7" s="975"/>
      <c r="BG7" s="975"/>
      <c r="BH7" s="971"/>
      <c r="BI7" s="970"/>
      <c r="BJ7" s="971"/>
      <c r="BK7" s="971"/>
      <c r="BL7" s="977"/>
      <c r="BM7" s="972"/>
      <c r="BN7" s="971"/>
      <c r="BO7" s="973"/>
      <c r="BP7" s="973"/>
      <c r="BQ7" s="855"/>
      <c r="BR7" s="975"/>
      <c r="BS7" s="975"/>
      <c r="BT7" s="978"/>
      <c r="BU7" s="978">
        <f t="shared" si="11"/>
        <v>8.8536645517117679E-2</v>
      </c>
      <c r="BV7" s="978">
        <v>0.03</v>
      </c>
      <c r="BW7" s="978">
        <f t="shared" si="12"/>
        <v>-0.26387495463641414</v>
      </c>
    </row>
    <row r="8" spans="1:75" hidden="1">
      <c r="A8" s="969">
        <v>2606</v>
      </c>
      <c r="B8" s="968" t="s">
        <v>14</v>
      </c>
      <c r="C8" s="969" t="s">
        <v>829</v>
      </c>
      <c r="D8" s="969" t="s">
        <v>378</v>
      </c>
      <c r="E8" s="955" t="s">
        <v>101</v>
      </c>
      <c r="F8" s="955"/>
      <c r="G8" s="955" t="str">
        <f>IFERROR(VLOOKUP(D8,[3]전용!E:J,6,0),"")</f>
        <v/>
      </c>
      <c r="H8" s="854">
        <v>53222.222222222197</v>
      </c>
      <c r="I8" s="955">
        <v>5</v>
      </c>
      <c r="J8" s="955" t="s">
        <v>286</v>
      </c>
      <c r="K8" s="955">
        <v>24</v>
      </c>
      <c r="L8" s="970">
        <v>949</v>
      </c>
      <c r="M8" s="971">
        <f t="shared" si="0"/>
        <v>56940</v>
      </c>
      <c r="N8" s="855">
        <v>0.18477592157503117</v>
      </c>
      <c r="O8" s="855"/>
      <c r="P8" s="970">
        <v>949</v>
      </c>
      <c r="Q8" s="970">
        <f t="shared" si="1"/>
        <v>0</v>
      </c>
      <c r="R8" s="971">
        <f t="shared" si="2"/>
        <v>56940</v>
      </c>
      <c r="S8" s="856">
        <f t="shared" si="13"/>
        <v>-4.9170477122408837E-2</v>
      </c>
      <c r="T8" s="971"/>
      <c r="U8" s="971"/>
      <c r="V8" s="976">
        <v>6</v>
      </c>
      <c r="W8" s="971">
        <f t="shared" si="3"/>
        <v>2847</v>
      </c>
      <c r="X8" s="971">
        <f t="shared" si="14"/>
        <v>54093</v>
      </c>
      <c r="Y8" s="858">
        <f t="shared" si="15"/>
        <v>-5.0000000000000044E-2</v>
      </c>
      <c r="Z8" s="857">
        <f t="shared" si="16"/>
        <v>1.0163611691022969</v>
      </c>
      <c r="AA8" s="856">
        <v>-7.4170477122408859E-2</v>
      </c>
      <c r="AB8" s="856">
        <v>7.5190741628923169E-2</v>
      </c>
      <c r="AC8" s="970">
        <f t="shared" si="4"/>
        <v>999</v>
      </c>
      <c r="AD8" s="970">
        <v>50</v>
      </c>
      <c r="AE8" s="970">
        <f t="shared" ref="AE8:AE71" si="22">IF(AA8&gt;10%,0,IF(AA8&gt;5%,P8*0.04,IF(AA8&gt;0%,P8*0.075, P8*0.1)))</f>
        <v>94.9</v>
      </c>
      <c r="AF8" s="971">
        <f t="shared" si="18"/>
        <v>59940</v>
      </c>
      <c r="AG8" s="857">
        <f t="shared" si="19"/>
        <v>5.2687038988408874E-2</v>
      </c>
      <c r="AH8" s="576">
        <v>0</v>
      </c>
      <c r="AI8" s="856">
        <f t="shared" si="21"/>
        <v>-1.8436879429546634E-2</v>
      </c>
      <c r="AJ8" s="859">
        <v>0</v>
      </c>
      <c r="AK8" s="583">
        <v>3</v>
      </c>
      <c r="AL8" s="971">
        <f t="shared" si="20"/>
        <v>1498.5</v>
      </c>
      <c r="AM8" s="971">
        <f t="shared" si="6"/>
        <v>58441.5</v>
      </c>
      <c r="AN8" s="858">
        <f t="shared" si="7"/>
        <v>-2.5000000000000022E-2</v>
      </c>
      <c r="AO8" s="857">
        <f t="shared" si="8"/>
        <v>1.0980657620041758</v>
      </c>
      <c r="AP8" s="973">
        <f t="shared" si="9"/>
        <v>4348.5</v>
      </c>
      <c r="AQ8" s="855">
        <f t="shared" si="10"/>
        <v>8.0389329488103733E-2</v>
      </c>
      <c r="AR8" s="974">
        <f>IFERROR(AA8+AQ8*0.6,"")+2%</f>
        <v>-5.936879429546623E-3</v>
      </c>
      <c r="AS8" s="975"/>
      <c r="AT8" s="976"/>
      <c r="AU8" s="971"/>
      <c r="AV8" s="976"/>
      <c r="AW8" s="970"/>
      <c r="AX8" s="971"/>
      <c r="AY8" s="971"/>
      <c r="AZ8" s="977"/>
      <c r="BA8" s="972"/>
      <c r="BB8" s="971"/>
      <c r="BC8" s="973"/>
      <c r="BD8" s="973"/>
      <c r="BE8" s="855"/>
      <c r="BF8" s="975"/>
      <c r="BG8" s="975"/>
      <c r="BH8" s="971"/>
      <c r="BI8" s="970"/>
      <c r="BJ8" s="971"/>
      <c r="BK8" s="971"/>
      <c r="BL8" s="977"/>
      <c r="BM8" s="972"/>
      <c r="BN8" s="971"/>
      <c r="BO8" s="973"/>
      <c r="BP8" s="973"/>
      <c r="BQ8" s="855"/>
      <c r="BR8" s="975"/>
      <c r="BS8" s="975"/>
      <c r="BT8" s="978"/>
      <c r="BU8" s="978">
        <f t="shared" si="11"/>
        <v>8.0389329488103817E-2</v>
      </c>
      <c r="BV8" s="978">
        <v>0.01</v>
      </c>
      <c r="BW8" s="978">
        <f t="shared" si="12"/>
        <v>-7.4170477122408859E-2</v>
      </c>
    </row>
    <row r="9" spans="1:75" hidden="1">
      <c r="A9" s="980">
        <v>2606</v>
      </c>
      <c r="B9" s="979" t="s">
        <v>14</v>
      </c>
      <c r="C9" s="980" t="s">
        <v>829</v>
      </c>
      <c r="D9" s="980" t="s">
        <v>378</v>
      </c>
      <c r="E9" s="955" t="s">
        <v>101</v>
      </c>
      <c r="F9" s="955"/>
      <c r="G9" s="955" t="str">
        <f>IFERROR(VLOOKUP(D9,[3]전용!E:J,6,0),"")</f>
        <v/>
      </c>
      <c r="H9" s="854">
        <v>53222.222222222197</v>
      </c>
      <c r="I9" s="955">
        <v>6</v>
      </c>
      <c r="J9" s="955" t="s">
        <v>286</v>
      </c>
      <c r="K9" s="955">
        <v>24</v>
      </c>
      <c r="L9" s="970">
        <v>899</v>
      </c>
      <c r="M9" s="971">
        <f t="shared" si="0"/>
        <v>64728</v>
      </c>
      <c r="N9" s="855">
        <v>0.18477592157503117</v>
      </c>
      <c r="O9" s="855"/>
      <c r="P9" s="970">
        <v>899</v>
      </c>
      <c r="Q9" s="970">
        <f t="shared" si="1"/>
        <v>0</v>
      </c>
      <c r="R9" s="971">
        <f t="shared" si="2"/>
        <v>64728</v>
      </c>
      <c r="S9" s="856">
        <f t="shared" si="13"/>
        <v>-5.3337143789075545E-2</v>
      </c>
      <c r="T9" s="971"/>
      <c r="U9" s="971"/>
      <c r="V9" s="976">
        <v>6</v>
      </c>
      <c r="W9" s="971">
        <f t="shared" si="3"/>
        <v>2697</v>
      </c>
      <c r="X9" s="971">
        <f t="shared" si="14"/>
        <v>62031</v>
      </c>
      <c r="Y9" s="858">
        <f t="shared" si="15"/>
        <v>-4.166666666666663E-2</v>
      </c>
      <c r="Z9" s="857">
        <f t="shared" si="16"/>
        <v>1.1655093945720256</v>
      </c>
      <c r="AA9" s="856">
        <v>-7.4170477122408859E-2</v>
      </c>
      <c r="AB9" s="856">
        <v>7.5190741628923169E-2</v>
      </c>
      <c r="AC9" s="970">
        <f t="shared" si="4"/>
        <v>949</v>
      </c>
      <c r="AD9" s="970">
        <v>50</v>
      </c>
      <c r="AE9" s="970">
        <f t="shared" si="22"/>
        <v>89.9</v>
      </c>
      <c r="AF9" s="971">
        <f t="shared" si="18"/>
        <v>68328</v>
      </c>
      <c r="AG9" s="857">
        <f t="shared" si="19"/>
        <v>5.5617352614015569E-2</v>
      </c>
      <c r="AH9" s="576">
        <v>0</v>
      </c>
      <c r="AI9" s="856">
        <f t="shared" si="21"/>
        <v>-1.7447810230048617E-2</v>
      </c>
      <c r="AJ9" s="859">
        <v>0</v>
      </c>
      <c r="AK9" s="583">
        <v>3</v>
      </c>
      <c r="AL9" s="971">
        <f t="shared" si="20"/>
        <v>1423.5</v>
      </c>
      <c r="AM9" s="971">
        <f t="shared" si="6"/>
        <v>66904.5</v>
      </c>
      <c r="AN9" s="858">
        <f t="shared" si="7"/>
        <v>-2.083333333333337E-2</v>
      </c>
      <c r="AO9" s="857">
        <f t="shared" si="8"/>
        <v>1.2570782881002094</v>
      </c>
      <c r="AP9" s="973">
        <f t="shared" si="9"/>
        <v>4873.5</v>
      </c>
      <c r="AQ9" s="855">
        <f t="shared" si="10"/>
        <v>7.856555593171155E-2</v>
      </c>
      <c r="AR9" s="974">
        <f>IFERROR(AA9+AQ9*0.6,"")+2%</f>
        <v>-7.0311435633819315E-3</v>
      </c>
      <c r="AS9" s="975"/>
      <c r="AT9" s="976"/>
      <c r="AU9" s="971"/>
      <c r="AV9" s="976"/>
      <c r="AW9" s="970"/>
      <c r="AX9" s="971"/>
      <c r="AY9" s="971"/>
      <c r="AZ9" s="977"/>
      <c r="BA9" s="972"/>
      <c r="BB9" s="971"/>
      <c r="BC9" s="973"/>
      <c r="BD9" s="973"/>
      <c r="BE9" s="855"/>
      <c r="BF9" s="975"/>
      <c r="BG9" s="975"/>
      <c r="BH9" s="971"/>
      <c r="BI9" s="970"/>
      <c r="BJ9" s="971"/>
      <c r="BK9" s="971"/>
      <c r="BL9" s="977"/>
      <c r="BM9" s="972"/>
      <c r="BN9" s="971"/>
      <c r="BO9" s="973"/>
      <c r="BP9" s="973"/>
      <c r="BQ9" s="855"/>
      <c r="BR9" s="975"/>
      <c r="BS9" s="975"/>
      <c r="BT9" s="978"/>
      <c r="BU9" s="978">
        <f t="shared" si="11"/>
        <v>7.8565555931711564E-2</v>
      </c>
      <c r="BV9" s="978">
        <v>0.01</v>
      </c>
      <c r="BW9" s="978">
        <f t="shared" si="12"/>
        <v>-7.4170477122408859E-2</v>
      </c>
    </row>
    <row r="10" spans="1:75" hidden="1">
      <c r="A10" s="969">
        <v>2606</v>
      </c>
      <c r="B10" s="968" t="s">
        <v>14</v>
      </c>
      <c r="C10" s="969" t="s">
        <v>829</v>
      </c>
      <c r="D10" s="984" t="s">
        <v>196</v>
      </c>
      <c r="E10" s="955"/>
      <c r="F10" s="955"/>
      <c r="G10" s="955" t="str">
        <f>IFERROR(VLOOKUP(D10,[3]전용!E:J,6,0),"")</f>
        <v/>
      </c>
      <c r="H10" s="854">
        <v>61000</v>
      </c>
      <c r="I10" s="955">
        <v>5</v>
      </c>
      <c r="J10" s="955" t="s">
        <v>286</v>
      </c>
      <c r="K10" s="955">
        <v>24</v>
      </c>
      <c r="L10" s="970">
        <v>1299</v>
      </c>
      <c r="M10" s="971">
        <f t="shared" si="0"/>
        <v>77940</v>
      </c>
      <c r="N10" s="855">
        <v>0.17841391748149107</v>
      </c>
      <c r="O10" s="855"/>
      <c r="P10" s="970">
        <v>1299</v>
      </c>
      <c r="Q10" s="970">
        <f t="shared" si="1"/>
        <v>0</v>
      </c>
      <c r="R10" s="971">
        <f t="shared" si="2"/>
        <v>77940</v>
      </c>
      <c r="S10" s="856">
        <f t="shared" si="13"/>
        <v>8.1027597768303108E-2</v>
      </c>
      <c r="T10" s="971"/>
      <c r="U10" s="971"/>
      <c r="V10" s="972">
        <v>6</v>
      </c>
      <c r="W10" s="971">
        <f t="shared" si="3"/>
        <v>3897</v>
      </c>
      <c r="X10" s="971">
        <f t="shared" si="14"/>
        <v>74043</v>
      </c>
      <c r="Y10" s="858">
        <f t="shared" si="15"/>
        <v>-5.0000000000000044E-2</v>
      </c>
      <c r="Z10" s="857">
        <f t="shared" si="16"/>
        <v>1.2138196721311476</v>
      </c>
      <c r="AA10" s="856">
        <v>5.6027597768303086E-2</v>
      </c>
      <c r="AB10" s="856">
        <v>3.688881346396037E-2</v>
      </c>
      <c r="AC10" s="970">
        <f t="shared" si="4"/>
        <v>1349</v>
      </c>
      <c r="AD10" s="970">
        <v>50</v>
      </c>
      <c r="AE10" s="970">
        <f t="shared" si="22"/>
        <v>51.96</v>
      </c>
      <c r="AF10" s="971">
        <f t="shared" si="18"/>
        <v>80940</v>
      </c>
      <c r="AG10" s="857">
        <f t="shared" si="19"/>
        <v>3.8491147036181728E-2</v>
      </c>
      <c r="AH10" s="576">
        <v>0</v>
      </c>
      <c r="AI10" s="856">
        <f t="shared" si="21"/>
        <v>7.6437528484238362E-2</v>
      </c>
      <c r="AJ10" s="859">
        <v>0</v>
      </c>
      <c r="AK10" s="583">
        <v>3</v>
      </c>
      <c r="AL10" s="971">
        <f t="shared" si="20"/>
        <v>2023.5</v>
      </c>
      <c r="AM10" s="971">
        <f t="shared" si="6"/>
        <v>78916.5</v>
      </c>
      <c r="AN10" s="858">
        <f t="shared" si="7"/>
        <v>-2.5000000000000022E-2</v>
      </c>
      <c r="AO10" s="857">
        <f t="shared" si="8"/>
        <v>1.2937131147540983</v>
      </c>
      <c r="AP10" s="973">
        <f t="shared" si="9"/>
        <v>4873.5</v>
      </c>
      <c r="AQ10" s="855">
        <f t="shared" si="10"/>
        <v>6.5819861431870574E-2</v>
      </c>
      <c r="AR10" s="974">
        <f t="shared" ref="AR10:AR73" si="23">IFERROR(AA10+AQ10*0.5,"")</f>
        <v>8.8937528484238373E-2</v>
      </c>
      <c r="AS10" s="975"/>
      <c r="AT10" s="976"/>
      <c r="AU10" s="971"/>
      <c r="AV10" s="976"/>
      <c r="AW10" s="970"/>
      <c r="AX10" s="971"/>
      <c r="AY10" s="971"/>
      <c r="AZ10" s="977"/>
      <c r="BA10" s="972"/>
      <c r="BB10" s="971"/>
      <c r="BC10" s="973"/>
      <c r="BD10" s="973"/>
      <c r="BE10" s="855"/>
      <c r="BF10" s="975"/>
      <c r="BG10" s="975"/>
      <c r="BH10" s="971"/>
      <c r="BI10" s="970"/>
      <c r="BJ10" s="971"/>
      <c r="BK10" s="971"/>
      <c r="BL10" s="977"/>
      <c r="BM10" s="972"/>
      <c r="BN10" s="971"/>
      <c r="BO10" s="973"/>
      <c r="BP10" s="973"/>
      <c r="BQ10" s="855"/>
      <c r="BR10" s="975"/>
      <c r="BS10" s="975"/>
      <c r="BT10" s="978"/>
      <c r="BU10" s="978">
        <f t="shared" si="11"/>
        <v>6.5819861431870672E-2</v>
      </c>
      <c r="BV10" s="978">
        <v>8.71503871339218E-2</v>
      </c>
      <c r="BW10" s="978">
        <f t="shared" si="12"/>
        <v>5.6027597768303086E-2</v>
      </c>
    </row>
    <row r="11" spans="1:75" hidden="1">
      <c r="A11" s="980">
        <v>2606</v>
      </c>
      <c r="B11" s="979" t="s">
        <v>14</v>
      </c>
      <c r="C11" s="980" t="s">
        <v>829</v>
      </c>
      <c r="D11" s="985" t="s">
        <v>196</v>
      </c>
      <c r="E11" s="955"/>
      <c r="F11" s="955"/>
      <c r="G11" s="955" t="str">
        <f>IFERROR(VLOOKUP(D11,[3]전용!E:J,6,0),"")</f>
        <v/>
      </c>
      <c r="H11" s="854">
        <v>61000</v>
      </c>
      <c r="I11" s="955">
        <v>6</v>
      </c>
      <c r="J11" s="955" t="s">
        <v>286</v>
      </c>
      <c r="K11" s="955">
        <v>24</v>
      </c>
      <c r="L11" s="970">
        <v>1099</v>
      </c>
      <c r="M11" s="971">
        <f t="shared" si="0"/>
        <v>79128</v>
      </c>
      <c r="N11" s="855">
        <v>0.17926517407599776</v>
      </c>
      <c r="O11" s="855"/>
      <c r="P11" s="970">
        <v>1099</v>
      </c>
      <c r="Q11" s="970">
        <f t="shared" si="1"/>
        <v>0</v>
      </c>
      <c r="R11" s="971">
        <f t="shared" si="2"/>
        <v>79128</v>
      </c>
      <c r="S11" s="856">
        <f t="shared" si="13"/>
        <v>7.6860931101636401E-2</v>
      </c>
      <c r="T11" s="971"/>
      <c r="U11" s="971"/>
      <c r="V11" s="972">
        <v>6</v>
      </c>
      <c r="W11" s="971">
        <f t="shared" si="3"/>
        <v>3297</v>
      </c>
      <c r="X11" s="971">
        <f t="shared" si="14"/>
        <v>75831</v>
      </c>
      <c r="Y11" s="858">
        <f t="shared" si="15"/>
        <v>-4.166666666666663E-2</v>
      </c>
      <c r="Z11" s="857">
        <f t="shared" si="16"/>
        <v>1.2431311475409836</v>
      </c>
      <c r="AA11" s="856">
        <v>5.6027597768303086E-2</v>
      </c>
      <c r="AB11" s="856">
        <v>3.688881346396037E-2</v>
      </c>
      <c r="AC11" s="970">
        <f t="shared" si="4"/>
        <v>1149</v>
      </c>
      <c r="AD11" s="970">
        <v>50</v>
      </c>
      <c r="AE11" s="970">
        <f t="shared" si="22"/>
        <v>43.96</v>
      </c>
      <c r="AF11" s="971">
        <f t="shared" si="18"/>
        <v>82728</v>
      </c>
      <c r="AG11" s="857">
        <f t="shared" si="19"/>
        <v>4.5495905368516887E-2</v>
      </c>
      <c r="AH11" s="576">
        <v>0</v>
      </c>
      <c r="AI11" s="856">
        <f t="shared" si="21"/>
        <v>7.9722969713813444E-2</v>
      </c>
      <c r="AJ11" s="859">
        <v>0</v>
      </c>
      <c r="AK11" s="583">
        <v>3</v>
      </c>
      <c r="AL11" s="971">
        <f t="shared" si="20"/>
        <v>1723.5</v>
      </c>
      <c r="AM11" s="971">
        <f t="shared" si="6"/>
        <v>81004.5</v>
      </c>
      <c r="AN11" s="858">
        <f t="shared" si="7"/>
        <v>-2.083333333333337E-2</v>
      </c>
      <c r="AO11" s="857">
        <f t="shared" si="8"/>
        <v>1.3279426229508198</v>
      </c>
      <c r="AP11" s="973">
        <f t="shared" si="9"/>
        <v>5173.5</v>
      </c>
      <c r="AQ11" s="855">
        <f t="shared" si="10"/>
        <v>6.8224077224354085E-2</v>
      </c>
      <c r="AR11" s="974">
        <f t="shared" si="23"/>
        <v>9.0139636380480129E-2</v>
      </c>
      <c r="AS11" s="975"/>
      <c r="AT11" s="976"/>
      <c r="AU11" s="971"/>
      <c r="AV11" s="976"/>
      <c r="AW11" s="970"/>
      <c r="AX11" s="971"/>
      <c r="AY11" s="971"/>
      <c r="AZ11" s="977"/>
      <c r="BA11" s="972"/>
      <c r="BB11" s="971"/>
      <c r="BC11" s="973"/>
      <c r="BD11" s="973"/>
      <c r="BE11" s="855"/>
      <c r="BF11" s="975"/>
      <c r="BG11" s="975"/>
      <c r="BH11" s="971"/>
      <c r="BI11" s="970"/>
      <c r="BJ11" s="971"/>
      <c r="BK11" s="971"/>
      <c r="BL11" s="977"/>
      <c r="BM11" s="972"/>
      <c r="BN11" s="971"/>
      <c r="BO11" s="973"/>
      <c r="BP11" s="973"/>
      <c r="BQ11" s="855"/>
      <c r="BR11" s="975"/>
      <c r="BS11" s="975"/>
      <c r="BT11" s="978"/>
      <c r="BU11" s="978">
        <f t="shared" si="11"/>
        <v>6.8224077224354154E-2</v>
      </c>
      <c r="BV11" s="978">
        <v>5.7150387133921794E-2</v>
      </c>
      <c r="BW11" s="978">
        <f t="shared" si="12"/>
        <v>5.6027597768303086E-2</v>
      </c>
    </row>
    <row r="12" spans="1:75" hidden="1">
      <c r="A12" s="969">
        <v>2606</v>
      </c>
      <c r="B12" s="968" t="s">
        <v>14</v>
      </c>
      <c r="C12" s="969" t="s">
        <v>829</v>
      </c>
      <c r="D12" s="984" t="s">
        <v>531</v>
      </c>
      <c r="E12" s="955" t="s">
        <v>390</v>
      </c>
      <c r="F12" s="955"/>
      <c r="G12" s="955" t="str">
        <f>IFERROR(VLOOKUP(D12,[3]전용!E:J,6,0),"")</f>
        <v/>
      </c>
      <c r="H12" s="854">
        <v>72666.666666666701</v>
      </c>
      <c r="I12" s="955">
        <v>5</v>
      </c>
      <c r="J12" s="955" t="s">
        <v>286</v>
      </c>
      <c r="K12" s="955">
        <v>6</v>
      </c>
      <c r="L12" s="970">
        <v>1349</v>
      </c>
      <c r="M12" s="971">
        <f t="shared" si="0"/>
        <v>80940</v>
      </c>
      <c r="N12" s="855">
        <v>0.08</v>
      </c>
      <c r="O12" s="855"/>
      <c r="P12" s="970">
        <v>1349</v>
      </c>
      <c r="Q12" s="970">
        <f t="shared" si="1"/>
        <v>0</v>
      </c>
      <c r="R12" s="971">
        <f t="shared" si="2"/>
        <v>80940</v>
      </c>
      <c r="S12" s="856">
        <f t="shared" si="13"/>
        <v>1.144691808659893E-2</v>
      </c>
      <c r="T12" s="971"/>
      <c r="U12" s="971"/>
      <c r="V12" s="976">
        <v>0</v>
      </c>
      <c r="W12" s="971">
        <f>(P12-T12)*U12+V12*P12*0.5</f>
        <v>0</v>
      </c>
      <c r="X12" s="971">
        <f t="shared" si="14"/>
        <v>80940</v>
      </c>
      <c r="Y12" s="858">
        <f t="shared" si="15"/>
        <v>0</v>
      </c>
      <c r="Z12" s="857">
        <f t="shared" si="16"/>
        <v>1.1138532110091739</v>
      </c>
      <c r="AA12" s="856">
        <v>1.144691808659893E-2</v>
      </c>
      <c r="AB12" s="856">
        <v>3.2227928567856519E-5</v>
      </c>
      <c r="AC12" s="970">
        <f t="shared" si="4"/>
        <v>1449</v>
      </c>
      <c r="AD12" s="970">
        <v>100</v>
      </c>
      <c r="AE12" s="970">
        <f t="shared" si="22"/>
        <v>101.175</v>
      </c>
      <c r="AF12" s="971">
        <f t="shared" si="18"/>
        <v>86940</v>
      </c>
      <c r="AG12" s="857">
        <f t="shared" si="19"/>
        <v>7.4128984432913159E-2</v>
      </c>
      <c r="AH12" s="576">
        <v>0</v>
      </c>
      <c r="AI12" s="856">
        <f t="shared" si="21"/>
        <v>4.8511410303055509E-2</v>
      </c>
      <c r="AJ12" s="859">
        <v>0</v>
      </c>
      <c r="AK12" s="583">
        <v>0</v>
      </c>
      <c r="AL12" s="971">
        <f t="shared" si="20"/>
        <v>0</v>
      </c>
      <c r="AM12" s="971">
        <f t="shared" si="6"/>
        <v>86940</v>
      </c>
      <c r="AN12" s="858">
        <f t="shared" si="7"/>
        <v>0</v>
      </c>
      <c r="AO12" s="857">
        <f t="shared" si="8"/>
        <v>1.1964220183486234</v>
      </c>
      <c r="AP12" s="973">
        <f t="shared" si="9"/>
        <v>6000</v>
      </c>
      <c r="AQ12" s="855">
        <f t="shared" si="10"/>
        <v>7.4128984432913159E-2</v>
      </c>
      <c r="AR12" s="974">
        <f t="shared" si="23"/>
        <v>4.8511410303055509E-2</v>
      </c>
      <c r="AS12" s="975" t="s">
        <v>830</v>
      </c>
      <c r="AT12" s="976"/>
      <c r="AU12" s="971"/>
      <c r="AV12" s="976"/>
      <c r="AW12" s="970"/>
      <c r="AX12" s="971"/>
      <c r="AY12" s="971"/>
      <c r="AZ12" s="977"/>
      <c r="BA12" s="972"/>
      <c r="BB12" s="971"/>
      <c r="BC12" s="973"/>
      <c r="BD12" s="973"/>
      <c r="BE12" s="855"/>
      <c r="BF12" s="975"/>
      <c r="BG12" s="975"/>
      <c r="BH12" s="971"/>
      <c r="BI12" s="970"/>
      <c r="BJ12" s="971"/>
      <c r="BK12" s="971"/>
      <c r="BL12" s="977"/>
      <c r="BM12" s="972"/>
      <c r="BN12" s="971"/>
      <c r="BO12" s="973"/>
      <c r="BP12" s="973"/>
      <c r="BQ12" s="855"/>
      <c r="BR12" s="975"/>
      <c r="BS12" s="975"/>
      <c r="BT12" s="978"/>
      <c r="BU12" s="978">
        <f t="shared" si="11"/>
        <v>7.412898443291327E-2</v>
      </c>
      <c r="BV12" s="978">
        <v>0.02</v>
      </c>
      <c r="BW12" s="978">
        <f t="shared" si="12"/>
        <v>1.144691808659893E-2</v>
      </c>
    </row>
    <row r="13" spans="1:75" hidden="1">
      <c r="A13" s="980">
        <v>2606</v>
      </c>
      <c r="B13" s="979" t="s">
        <v>14</v>
      </c>
      <c r="C13" s="980" t="s">
        <v>829</v>
      </c>
      <c r="D13" s="985" t="s">
        <v>531</v>
      </c>
      <c r="E13" s="955" t="s">
        <v>390</v>
      </c>
      <c r="F13" s="955"/>
      <c r="G13" s="955" t="str">
        <f>IFERROR(VLOOKUP(D13,[3]전용!E:J,6,0),"")</f>
        <v/>
      </c>
      <c r="H13" s="854">
        <v>72666.666666666701</v>
      </c>
      <c r="I13" s="955">
        <v>6</v>
      </c>
      <c r="J13" s="955" t="s">
        <v>286</v>
      </c>
      <c r="K13" s="955">
        <v>6</v>
      </c>
      <c r="L13" s="970">
        <v>1149</v>
      </c>
      <c r="M13" s="971">
        <f t="shared" si="0"/>
        <v>82728</v>
      </c>
      <c r="N13" s="855">
        <v>0.09</v>
      </c>
      <c r="O13" s="855"/>
      <c r="P13" s="970">
        <v>1149</v>
      </c>
      <c r="Q13" s="970">
        <f t="shared" si="1"/>
        <v>0</v>
      </c>
      <c r="R13" s="971">
        <f t="shared" si="2"/>
        <v>82728</v>
      </c>
      <c r="S13" s="856">
        <f t="shared" si="13"/>
        <v>1.144691808659893E-2</v>
      </c>
      <c r="T13" s="971"/>
      <c r="U13" s="971"/>
      <c r="V13" s="976">
        <v>0</v>
      </c>
      <c r="W13" s="971">
        <f>(P13-T13)*U13+V13*P13*0.5</f>
        <v>0</v>
      </c>
      <c r="X13" s="971">
        <f t="shared" si="14"/>
        <v>82728</v>
      </c>
      <c r="Y13" s="858">
        <f t="shared" si="15"/>
        <v>0</v>
      </c>
      <c r="Z13" s="857">
        <f t="shared" si="16"/>
        <v>1.1384587155963297</v>
      </c>
      <c r="AA13" s="856">
        <v>1.144691808659893E-2</v>
      </c>
      <c r="AB13" s="856">
        <v>3.2227928567856519E-5</v>
      </c>
      <c r="AC13" s="970">
        <f t="shared" si="4"/>
        <v>1249</v>
      </c>
      <c r="AD13" s="970">
        <v>100</v>
      </c>
      <c r="AE13" s="970">
        <f t="shared" si="22"/>
        <v>86.174999999999997</v>
      </c>
      <c r="AF13" s="971">
        <f t="shared" si="18"/>
        <v>89928</v>
      </c>
      <c r="AG13" s="857">
        <f t="shared" si="19"/>
        <v>8.7032201914708507E-2</v>
      </c>
      <c r="AH13" s="576">
        <v>0</v>
      </c>
      <c r="AI13" s="856">
        <f t="shared" si="21"/>
        <v>5.4963019043953183E-2</v>
      </c>
      <c r="AJ13" s="859">
        <v>0</v>
      </c>
      <c r="AK13" s="583">
        <v>0</v>
      </c>
      <c r="AL13" s="971">
        <f t="shared" si="20"/>
        <v>0</v>
      </c>
      <c r="AM13" s="971">
        <f t="shared" si="6"/>
        <v>89928</v>
      </c>
      <c r="AN13" s="858">
        <f t="shared" si="7"/>
        <v>0</v>
      </c>
      <c r="AO13" s="857">
        <f t="shared" si="8"/>
        <v>1.2375412844036691</v>
      </c>
      <c r="AP13" s="973">
        <f t="shared" si="9"/>
        <v>7200</v>
      </c>
      <c r="AQ13" s="855">
        <f t="shared" si="10"/>
        <v>8.7032201914708507E-2</v>
      </c>
      <c r="AR13" s="974">
        <f t="shared" si="23"/>
        <v>5.4963019043953183E-2</v>
      </c>
      <c r="AS13" s="975" t="s">
        <v>830</v>
      </c>
      <c r="AT13" s="976"/>
      <c r="AU13" s="971"/>
      <c r="AV13" s="976"/>
      <c r="AW13" s="970"/>
      <c r="AX13" s="971"/>
      <c r="AY13" s="971"/>
      <c r="AZ13" s="977"/>
      <c r="BA13" s="972"/>
      <c r="BB13" s="971"/>
      <c r="BC13" s="973"/>
      <c r="BD13" s="973"/>
      <c r="BE13" s="855"/>
      <c r="BF13" s="975"/>
      <c r="BG13" s="975"/>
      <c r="BH13" s="971"/>
      <c r="BI13" s="970"/>
      <c r="BJ13" s="971"/>
      <c r="BK13" s="971"/>
      <c r="BL13" s="977"/>
      <c r="BM13" s="972"/>
      <c r="BN13" s="971"/>
      <c r="BO13" s="973"/>
      <c r="BP13" s="973"/>
      <c r="BQ13" s="855"/>
      <c r="BR13" s="975"/>
      <c r="BS13" s="975"/>
      <c r="BT13" s="978"/>
      <c r="BU13" s="978">
        <f t="shared" si="11"/>
        <v>8.7032201914708437E-2</v>
      </c>
      <c r="BV13" s="978">
        <v>0.02</v>
      </c>
      <c r="BW13" s="978">
        <f t="shared" si="12"/>
        <v>1.144691808659893E-2</v>
      </c>
    </row>
    <row r="14" spans="1:75" hidden="1">
      <c r="A14" s="969">
        <v>2606</v>
      </c>
      <c r="B14" s="968" t="s">
        <v>14</v>
      </c>
      <c r="C14" s="969" t="s">
        <v>829</v>
      </c>
      <c r="D14" s="984" t="s">
        <v>15</v>
      </c>
      <c r="E14" s="955"/>
      <c r="F14" s="955"/>
      <c r="G14" s="955" t="str">
        <f>IFERROR(VLOOKUP(D14,[3]전용!E:J,6,0),"")</f>
        <v/>
      </c>
      <c r="H14" s="854">
        <v>66555.555555555547</v>
      </c>
      <c r="I14" s="955">
        <v>5</v>
      </c>
      <c r="J14" s="955" t="s">
        <v>286</v>
      </c>
      <c r="K14" s="955">
        <v>24</v>
      </c>
      <c r="L14" s="970">
        <v>1199</v>
      </c>
      <c r="M14" s="971">
        <f t="shared" si="0"/>
        <v>71940</v>
      </c>
      <c r="N14" s="855">
        <v>0.2482413780912465</v>
      </c>
      <c r="O14" s="855"/>
      <c r="P14" s="970">
        <v>1199</v>
      </c>
      <c r="Q14" s="970">
        <f t="shared" si="1"/>
        <v>0</v>
      </c>
      <c r="R14" s="971">
        <f t="shared" si="2"/>
        <v>71940</v>
      </c>
      <c r="S14" s="856">
        <f t="shared" si="13"/>
        <v>6.254721470409319E-2</v>
      </c>
      <c r="T14" s="971"/>
      <c r="U14" s="971"/>
      <c r="V14" s="972">
        <v>6</v>
      </c>
      <c r="W14" s="971">
        <f t="shared" si="3"/>
        <v>3597</v>
      </c>
      <c r="X14" s="971">
        <f t="shared" si="14"/>
        <v>68343</v>
      </c>
      <c r="Y14" s="858">
        <f t="shared" si="15"/>
        <v>-5.0000000000000044E-2</v>
      </c>
      <c r="Z14" s="857">
        <f t="shared" si="16"/>
        <v>1.0268564273789651</v>
      </c>
      <c r="AA14" s="856">
        <v>3.7547214704093168E-2</v>
      </c>
      <c r="AB14" s="856">
        <v>0.11607894443522625</v>
      </c>
      <c r="AC14" s="970">
        <f t="shared" si="4"/>
        <v>1249</v>
      </c>
      <c r="AD14" s="970">
        <v>50</v>
      </c>
      <c r="AE14" s="970">
        <f t="shared" si="22"/>
        <v>89.924999999999997</v>
      </c>
      <c r="AF14" s="971">
        <f t="shared" si="18"/>
        <v>74940</v>
      </c>
      <c r="AG14" s="857">
        <f t="shared" si="19"/>
        <v>4.1701417848206912E-2</v>
      </c>
      <c r="AH14" s="576">
        <v>0</v>
      </c>
      <c r="AI14" s="856">
        <f t="shared" si="21"/>
        <v>5.9604521231462482E-2</v>
      </c>
      <c r="AJ14" s="859">
        <v>0</v>
      </c>
      <c r="AK14" s="583">
        <v>3</v>
      </c>
      <c r="AL14" s="971">
        <f t="shared" si="20"/>
        <v>1873.5</v>
      </c>
      <c r="AM14" s="971">
        <f t="shared" si="6"/>
        <v>73066.5</v>
      </c>
      <c r="AN14" s="858">
        <f t="shared" si="7"/>
        <v>-2.5000000000000022E-2</v>
      </c>
      <c r="AO14" s="857">
        <f t="shared" si="8"/>
        <v>1.0978272120200334</v>
      </c>
      <c r="AP14" s="973">
        <f t="shared" si="9"/>
        <v>4723.5</v>
      </c>
      <c r="AQ14" s="855">
        <f t="shared" si="10"/>
        <v>6.9114613054738649E-2</v>
      </c>
      <c r="AR14" s="974">
        <f t="shared" si="23"/>
        <v>7.2104521231462493E-2</v>
      </c>
      <c r="AS14" s="975"/>
      <c r="AT14" s="976"/>
      <c r="AU14" s="971"/>
      <c r="AV14" s="976"/>
      <c r="AW14" s="970"/>
      <c r="AX14" s="971"/>
      <c r="AY14" s="971"/>
      <c r="AZ14" s="977"/>
      <c r="BA14" s="972"/>
      <c r="BB14" s="971"/>
      <c r="BC14" s="973"/>
      <c r="BD14" s="973"/>
      <c r="BE14" s="855"/>
      <c r="BF14" s="975"/>
      <c r="BG14" s="975"/>
      <c r="BH14" s="971"/>
      <c r="BI14" s="970"/>
      <c r="BJ14" s="971"/>
      <c r="BK14" s="971"/>
      <c r="BL14" s="977"/>
      <c r="BM14" s="972"/>
      <c r="BN14" s="971"/>
      <c r="BO14" s="973"/>
      <c r="BP14" s="973"/>
      <c r="BQ14" s="855"/>
      <c r="BR14" s="975"/>
      <c r="BS14" s="975"/>
      <c r="BT14" s="978"/>
      <c r="BU14" s="978">
        <f t="shared" si="11"/>
        <v>6.9114613054738594E-2</v>
      </c>
      <c r="BV14" s="978">
        <v>6.3E-2</v>
      </c>
      <c r="BW14" s="978">
        <f t="shared" si="12"/>
        <v>3.7547214704093168E-2</v>
      </c>
    </row>
    <row r="15" spans="1:75" hidden="1">
      <c r="A15" s="980">
        <v>2606</v>
      </c>
      <c r="B15" s="979" t="s">
        <v>14</v>
      </c>
      <c r="C15" s="980" t="s">
        <v>829</v>
      </c>
      <c r="D15" s="985" t="s">
        <v>15</v>
      </c>
      <c r="E15" s="955"/>
      <c r="F15" s="955"/>
      <c r="G15" s="955" t="str">
        <f>IFERROR(VLOOKUP(D15,[3]전용!E:J,6,0),"")</f>
        <v/>
      </c>
      <c r="H15" s="854">
        <v>66555.555555555547</v>
      </c>
      <c r="I15" s="955">
        <v>6</v>
      </c>
      <c r="J15" s="955" t="s">
        <v>286</v>
      </c>
      <c r="K15" s="955">
        <v>24</v>
      </c>
      <c r="L15" s="970">
        <v>999</v>
      </c>
      <c r="M15" s="971">
        <f t="shared" si="0"/>
        <v>71928</v>
      </c>
      <c r="N15" s="855">
        <v>0.25542740320660573</v>
      </c>
      <c r="O15" s="855"/>
      <c r="P15" s="970">
        <v>999</v>
      </c>
      <c r="Q15" s="970">
        <f t="shared" si="1"/>
        <v>0</v>
      </c>
      <c r="R15" s="971">
        <f t="shared" si="2"/>
        <v>71928</v>
      </c>
      <c r="S15" s="856">
        <f t="shared" si="13"/>
        <v>5.8380548037426483E-2</v>
      </c>
      <c r="T15" s="971"/>
      <c r="U15" s="971"/>
      <c r="V15" s="972">
        <v>6</v>
      </c>
      <c r="W15" s="971">
        <f t="shared" si="3"/>
        <v>2997</v>
      </c>
      <c r="X15" s="971">
        <f t="shared" si="14"/>
        <v>68931</v>
      </c>
      <c r="Y15" s="858">
        <f t="shared" si="15"/>
        <v>-4.166666666666663E-2</v>
      </c>
      <c r="Z15" s="857">
        <f t="shared" si="16"/>
        <v>1.0356911519198666</v>
      </c>
      <c r="AA15" s="856">
        <v>3.7547214704093168E-2</v>
      </c>
      <c r="AB15" s="856">
        <v>0.11607894443522625</v>
      </c>
      <c r="AC15" s="970">
        <f t="shared" si="4"/>
        <v>1049</v>
      </c>
      <c r="AD15" s="970">
        <v>50</v>
      </c>
      <c r="AE15" s="970">
        <f t="shared" si="22"/>
        <v>74.924999999999997</v>
      </c>
      <c r="AF15" s="971">
        <f t="shared" si="18"/>
        <v>75528</v>
      </c>
      <c r="AG15" s="857">
        <f t="shared" si="19"/>
        <v>5.0050050050050032E-2</v>
      </c>
      <c r="AH15" s="576">
        <v>0</v>
      </c>
      <c r="AI15" s="856">
        <f t="shared" si="21"/>
        <v>6.3569160562995497E-2</v>
      </c>
      <c r="AJ15" s="859">
        <v>0</v>
      </c>
      <c r="AK15" s="583">
        <v>3</v>
      </c>
      <c r="AL15" s="971">
        <f t="shared" si="20"/>
        <v>1573.5</v>
      </c>
      <c r="AM15" s="971">
        <f t="shared" si="6"/>
        <v>73954.5</v>
      </c>
      <c r="AN15" s="858">
        <f t="shared" si="7"/>
        <v>-2.083333333333337E-2</v>
      </c>
      <c r="AO15" s="857">
        <f t="shared" si="8"/>
        <v>1.1111694490818032</v>
      </c>
      <c r="AP15" s="973">
        <f t="shared" si="9"/>
        <v>5023.5</v>
      </c>
      <c r="AQ15" s="855">
        <f t="shared" si="10"/>
        <v>7.2877225051138028E-2</v>
      </c>
      <c r="AR15" s="974">
        <f t="shared" si="23"/>
        <v>7.3985827229662182E-2</v>
      </c>
      <c r="AS15" s="975"/>
      <c r="AT15" s="976"/>
      <c r="AU15" s="971"/>
      <c r="AV15" s="976"/>
      <c r="AW15" s="970"/>
      <c r="AX15" s="971"/>
      <c r="AY15" s="971"/>
      <c r="AZ15" s="977"/>
      <c r="BA15" s="972"/>
      <c r="BB15" s="971"/>
      <c r="BC15" s="973"/>
      <c r="BD15" s="973"/>
      <c r="BE15" s="855"/>
      <c r="BF15" s="975"/>
      <c r="BG15" s="975"/>
      <c r="BH15" s="971"/>
      <c r="BI15" s="970"/>
      <c r="BJ15" s="971"/>
      <c r="BK15" s="971"/>
      <c r="BL15" s="977"/>
      <c r="BM15" s="972"/>
      <c r="BN15" s="971"/>
      <c r="BO15" s="973"/>
      <c r="BP15" s="973"/>
      <c r="BQ15" s="855"/>
      <c r="BR15" s="975"/>
      <c r="BS15" s="975"/>
      <c r="BT15" s="978"/>
      <c r="BU15" s="978">
        <f t="shared" si="11"/>
        <v>7.2877225051138098E-2</v>
      </c>
      <c r="BV15" s="978">
        <v>6.3E-2</v>
      </c>
      <c r="BW15" s="978">
        <f t="shared" si="12"/>
        <v>3.7547214704093168E-2</v>
      </c>
    </row>
    <row r="16" spans="1:75" hidden="1">
      <c r="A16" s="969">
        <v>2606</v>
      </c>
      <c r="B16" s="968" t="s">
        <v>14</v>
      </c>
      <c r="C16" s="969" t="s">
        <v>829</v>
      </c>
      <c r="D16" s="984" t="s">
        <v>16</v>
      </c>
      <c r="E16" s="955"/>
      <c r="F16" s="955"/>
      <c r="G16" s="955" t="str">
        <f>IFERROR(VLOOKUP(D16,[3]전용!E:J,6,0),"")</f>
        <v/>
      </c>
      <c r="H16" s="854">
        <v>51000</v>
      </c>
      <c r="I16" s="955">
        <v>5</v>
      </c>
      <c r="J16" s="955" t="s">
        <v>286</v>
      </c>
      <c r="K16" s="955">
        <v>24</v>
      </c>
      <c r="L16" s="970">
        <v>999</v>
      </c>
      <c r="M16" s="971">
        <f t="shared" si="0"/>
        <v>59940</v>
      </c>
      <c r="N16" s="855">
        <v>0.18738600674304301</v>
      </c>
      <c r="O16" s="855"/>
      <c r="P16" s="970">
        <v>999</v>
      </c>
      <c r="Q16" s="970">
        <f t="shared" si="1"/>
        <v>0</v>
      </c>
      <c r="R16" s="971">
        <f t="shared" si="2"/>
        <v>59940</v>
      </c>
      <c r="S16" s="856">
        <f t="shared" si="13"/>
        <v>3.0548056854661193E-2</v>
      </c>
      <c r="T16" s="971"/>
      <c r="U16" s="971"/>
      <c r="V16" s="976">
        <v>3</v>
      </c>
      <c r="W16" s="971">
        <f t="shared" si="3"/>
        <v>1498.5</v>
      </c>
      <c r="X16" s="971">
        <f t="shared" si="14"/>
        <v>58441.5</v>
      </c>
      <c r="Y16" s="858">
        <f t="shared" si="15"/>
        <v>-2.5000000000000022E-2</v>
      </c>
      <c r="Z16" s="857">
        <f t="shared" si="16"/>
        <v>1.1459117647058823</v>
      </c>
      <c r="AA16" s="856">
        <v>1.8048056854661182E-2</v>
      </c>
      <c r="AB16" s="856">
        <v>8.6625987886650699E-2</v>
      </c>
      <c r="AC16" s="970">
        <f t="shared" si="4"/>
        <v>1049</v>
      </c>
      <c r="AD16" s="970">
        <v>50</v>
      </c>
      <c r="AE16" s="970">
        <f t="shared" si="22"/>
        <v>74.924999999999997</v>
      </c>
      <c r="AF16" s="971">
        <f t="shared" si="18"/>
        <v>62940</v>
      </c>
      <c r="AG16" s="857">
        <f t="shared" si="19"/>
        <v>5.0050050050050032E-2</v>
      </c>
      <c r="AH16" s="576">
        <v>0</v>
      </c>
      <c r="AI16" s="856">
        <f t="shared" si="21"/>
        <v>3.0573081879686187E-2</v>
      </c>
      <c r="AJ16" s="859">
        <v>0</v>
      </c>
      <c r="AK16" s="583">
        <v>3</v>
      </c>
      <c r="AL16" s="971">
        <f t="shared" si="20"/>
        <v>1573.5</v>
      </c>
      <c r="AM16" s="971">
        <f t="shared" si="6"/>
        <v>61366.5</v>
      </c>
      <c r="AN16" s="858">
        <f t="shared" si="7"/>
        <v>-2.5000000000000022E-2</v>
      </c>
      <c r="AO16" s="857">
        <f t="shared" si="8"/>
        <v>1.2032647058823529</v>
      </c>
      <c r="AP16" s="973">
        <f t="shared" si="9"/>
        <v>2925</v>
      </c>
      <c r="AQ16" s="855">
        <f t="shared" si="10"/>
        <v>5.0050050050050032E-2</v>
      </c>
      <c r="AR16" s="974">
        <f t="shared" si="23"/>
        <v>4.3073081879686198E-2</v>
      </c>
      <c r="AS16" s="975"/>
      <c r="AT16" s="976"/>
      <c r="AU16" s="971"/>
      <c r="AV16" s="976"/>
      <c r="AW16" s="970"/>
      <c r="AX16" s="971"/>
      <c r="AY16" s="971"/>
      <c r="AZ16" s="977"/>
      <c r="BA16" s="972"/>
      <c r="BB16" s="971"/>
      <c r="BC16" s="973"/>
      <c r="BD16" s="973"/>
      <c r="BE16" s="855"/>
      <c r="BF16" s="975"/>
      <c r="BG16" s="975"/>
      <c r="BH16" s="971"/>
      <c r="BI16" s="970"/>
      <c r="BJ16" s="971"/>
      <c r="BK16" s="971"/>
      <c r="BL16" s="977"/>
      <c r="BM16" s="972"/>
      <c r="BN16" s="971"/>
      <c r="BO16" s="973"/>
      <c r="BP16" s="973"/>
      <c r="BQ16" s="855"/>
      <c r="BR16" s="975"/>
      <c r="BS16" s="975"/>
      <c r="BT16" s="978"/>
      <c r="BU16" s="978"/>
      <c r="BV16" s="978">
        <v>1.3747710562115632E-2</v>
      </c>
      <c r="BW16" s="978">
        <f t="shared" si="12"/>
        <v>1.8048056854661182E-2</v>
      </c>
    </row>
    <row r="17" spans="1:75" hidden="1">
      <c r="A17" s="980">
        <v>2606</v>
      </c>
      <c r="B17" s="979" t="s">
        <v>14</v>
      </c>
      <c r="C17" s="980" t="s">
        <v>829</v>
      </c>
      <c r="D17" s="985" t="s">
        <v>16</v>
      </c>
      <c r="E17" s="955"/>
      <c r="F17" s="955"/>
      <c r="G17" s="955" t="str">
        <f>IFERROR(VLOOKUP(D17,[3]전용!E:J,6,0),"")</f>
        <v/>
      </c>
      <c r="H17" s="854">
        <v>51000</v>
      </c>
      <c r="I17" s="955">
        <v>6</v>
      </c>
      <c r="J17" s="955" t="s">
        <v>286</v>
      </c>
      <c r="K17" s="955">
        <v>24</v>
      </c>
      <c r="L17" s="970">
        <v>849</v>
      </c>
      <c r="M17" s="971">
        <f t="shared" si="0"/>
        <v>61128</v>
      </c>
      <c r="N17" s="855">
        <v>0.20178187910867823</v>
      </c>
      <c r="O17" s="855"/>
      <c r="P17" s="970">
        <v>849</v>
      </c>
      <c r="Q17" s="970">
        <f t="shared" si="1"/>
        <v>0</v>
      </c>
      <c r="R17" s="971">
        <f t="shared" si="2"/>
        <v>61128</v>
      </c>
      <c r="S17" s="856">
        <f t="shared" si="13"/>
        <v>2.8464723521327867E-2</v>
      </c>
      <c r="T17" s="971"/>
      <c r="U17" s="971"/>
      <c r="V17" s="976">
        <v>3</v>
      </c>
      <c r="W17" s="971">
        <f t="shared" si="3"/>
        <v>1273.5</v>
      </c>
      <c r="X17" s="971">
        <f t="shared" si="14"/>
        <v>59854.5</v>
      </c>
      <c r="Y17" s="858">
        <f t="shared" si="15"/>
        <v>-2.083333333333337E-2</v>
      </c>
      <c r="Z17" s="857">
        <f t="shared" si="16"/>
        <v>1.1736176470588235</v>
      </c>
      <c r="AA17" s="856">
        <v>1.8048056854661182E-2</v>
      </c>
      <c r="AB17" s="856">
        <v>8.6625987886650699E-2</v>
      </c>
      <c r="AC17" s="970">
        <f t="shared" si="4"/>
        <v>899</v>
      </c>
      <c r="AD17" s="970">
        <v>50</v>
      </c>
      <c r="AE17" s="970">
        <f t="shared" si="22"/>
        <v>63.674999999999997</v>
      </c>
      <c r="AF17" s="971">
        <f t="shared" si="18"/>
        <v>64728</v>
      </c>
      <c r="AG17" s="857">
        <f t="shared" si="19"/>
        <v>5.8892815076560634E-2</v>
      </c>
      <c r="AH17" s="576">
        <v>0</v>
      </c>
      <c r="AI17" s="856">
        <f t="shared" si="21"/>
        <v>3.7077797726274814E-2</v>
      </c>
      <c r="AJ17" s="859">
        <v>0</v>
      </c>
      <c r="AK17" s="583">
        <v>3</v>
      </c>
      <c r="AL17" s="971">
        <f t="shared" si="20"/>
        <v>1348.5</v>
      </c>
      <c r="AM17" s="971">
        <f t="shared" si="6"/>
        <v>63379.5</v>
      </c>
      <c r="AN17" s="858">
        <f t="shared" si="7"/>
        <v>-2.083333333333337E-2</v>
      </c>
      <c r="AO17" s="857">
        <f t="shared" si="8"/>
        <v>1.242735294117647</v>
      </c>
      <c r="AP17" s="973">
        <f t="shared" si="9"/>
        <v>3525</v>
      </c>
      <c r="AQ17" s="855">
        <f t="shared" si="10"/>
        <v>5.8892815076560634E-2</v>
      </c>
      <c r="AR17" s="974">
        <f t="shared" si="23"/>
        <v>4.7494464392941499E-2</v>
      </c>
      <c r="AS17" s="975"/>
      <c r="AT17" s="976"/>
      <c r="AU17" s="971"/>
      <c r="AV17" s="976"/>
      <c r="AW17" s="970"/>
      <c r="AX17" s="971"/>
      <c r="AY17" s="971"/>
      <c r="AZ17" s="977"/>
      <c r="BA17" s="972"/>
      <c r="BB17" s="971"/>
      <c r="BC17" s="973"/>
      <c r="BD17" s="973"/>
      <c r="BE17" s="855"/>
      <c r="BF17" s="975"/>
      <c r="BG17" s="975"/>
      <c r="BH17" s="971"/>
      <c r="BI17" s="970"/>
      <c r="BJ17" s="971"/>
      <c r="BK17" s="971"/>
      <c r="BL17" s="977"/>
      <c r="BM17" s="972"/>
      <c r="BN17" s="971"/>
      <c r="BO17" s="973"/>
      <c r="BP17" s="973"/>
      <c r="BQ17" s="855"/>
      <c r="BR17" s="975"/>
      <c r="BS17" s="975"/>
      <c r="BT17" s="978"/>
      <c r="BU17" s="978"/>
      <c r="BV17" s="978">
        <v>1.3747710562115632E-2</v>
      </c>
      <c r="BW17" s="978">
        <f t="shared" si="12"/>
        <v>1.8048056854661182E-2</v>
      </c>
    </row>
    <row r="18" spans="1:75">
      <c r="A18" s="969">
        <v>2606</v>
      </c>
      <c r="B18" s="968" t="s">
        <v>14</v>
      </c>
      <c r="C18" s="969" t="s">
        <v>833</v>
      </c>
      <c r="D18" s="1059" t="s">
        <v>236</v>
      </c>
      <c r="E18" s="955"/>
      <c r="F18" s="955"/>
      <c r="G18" s="955" t="str">
        <f>IFERROR(VLOOKUP(D18,[3]전용!E:J,6,0),"")</f>
        <v/>
      </c>
      <c r="H18" s="854">
        <v>44333.333333333336</v>
      </c>
      <c r="I18" s="955">
        <v>5</v>
      </c>
      <c r="J18" s="955" t="s">
        <v>286</v>
      </c>
      <c r="K18" s="955">
        <v>24</v>
      </c>
      <c r="L18" s="970">
        <v>849</v>
      </c>
      <c r="M18" s="971">
        <f t="shared" si="0"/>
        <v>50940</v>
      </c>
      <c r="N18" s="855">
        <v>0.15</v>
      </c>
      <c r="O18" s="855"/>
      <c r="P18" s="970">
        <v>849</v>
      </c>
      <c r="Q18" s="970">
        <f t="shared" si="1"/>
        <v>0</v>
      </c>
      <c r="R18" s="971">
        <f t="shared" si="2"/>
        <v>50940</v>
      </c>
      <c r="S18" s="856">
        <f t="shared" si="13"/>
        <v>4.9556823709477213E-2</v>
      </c>
      <c r="T18" s="971"/>
      <c r="U18" s="971"/>
      <c r="V18" s="976">
        <v>12</v>
      </c>
      <c r="W18" s="971">
        <f t="shared" si="3"/>
        <v>5094</v>
      </c>
      <c r="X18" s="971">
        <f t="shared" si="14"/>
        <v>45846</v>
      </c>
      <c r="Y18" s="858">
        <f t="shared" si="15"/>
        <v>-9.9999999999999978E-2</v>
      </c>
      <c r="Z18" s="857">
        <f t="shared" si="16"/>
        <v>1.0341203007518796</v>
      </c>
      <c r="AA18" s="856">
        <v>-4.4317629052277385E-4</v>
      </c>
      <c r="AB18" s="856">
        <v>-3.457787561625454E-3</v>
      </c>
      <c r="AC18" s="1041">
        <v>749</v>
      </c>
      <c r="AD18" s="970">
        <f>AC18-P18</f>
        <v>-100</v>
      </c>
      <c r="AE18" s="970">
        <f t="shared" si="22"/>
        <v>84.9</v>
      </c>
      <c r="AF18" s="971">
        <f t="shared" si="18"/>
        <v>44940</v>
      </c>
      <c r="AG18" s="857">
        <f t="shared" si="19"/>
        <v>-0.11778563015312127</v>
      </c>
      <c r="AH18" s="576">
        <v>0</v>
      </c>
      <c r="AI18" s="856">
        <v>0.16200000000000001</v>
      </c>
      <c r="AJ18" s="859">
        <v>0</v>
      </c>
      <c r="AK18" s="583">
        <v>0</v>
      </c>
      <c r="AL18" s="971">
        <f t="shared" si="20"/>
        <v>0</v>
      </c>
      <c r="AM18" s="971">
        <f t="shared" si="6"/>
        <v>44940</v>
      </c>
      <c r="AN18" s="858">
        <f t="shared" si="7"/>
        <v>0</v>
      </c>
      <c r="AO18" s="857">
        <f t="shared" si="8"/>
        <v>1.0136842105263157</v>
      </c>
      <c r="AP18" s="973">
        <f t="shared" si="9"/>
        <v>-906</v>
      </c>
      <c r="AQ18" s="855">
        <f t="shared" si="10"/>
        <v>-1.9761811281245878E-2</v>
      </c>
      <c r="AR18" s="1042">
        <f>IFERROR(AA18-AG18*0.5,"")+5%</f>
        <v>0.10844963878603786</v>
      </c>
      <c r="AS18" s="975"/>
      <c r="AT18" s="976"/>
      <c r="AU18" s="971"/>
      <c r="AV18" s="976"/>
      <c r="AW18" s="970"/>
      <c r="AX18" s="971"/>
      <c r="AY18" s="971"/>
      <c r="AZ18" s="977"/>
      <c r="BA18" s="972"/>
      <c r="BB18" s="971"/>
      <c r="BC18" s="973"/>
      <c r="BD18" s="973"/>
      <c r="BE18" s="855"/>
      <c r="BF18" s="975"/>
      <c r="BG18" s="975"/>
      <c r="BH18" s="971"/>
      <c r="BI18" s="970"/>
      <c r="BJ18" s="971"/>
      <c r="BK18" s="971"/>
      <c r="BL18" s="977"/>
      <c r="BM18" s="972"/>
      <c r="BN18" s="971"/>
      <c r="BO18" s="973"/>
      <c r="BP18" s="973"/>
      <c r="BQ18" s="855"/>
      <c r="BR18" s="975"/>
      <c r="BS18" s="975"/>
      <c r="BT18" s="978"/>
      <c r="BU18" s="978"/>
      <c r="BV18" s="978">
        <v>0.02</v>
      </c>
      <c r="BW18" s="978">
        <f t="shared" si="12"/>
        <v>-4.4317629052277385E-4</v>
      </c>
    </row>
    <row r="19" spans="1:75">
      <c r="A19" s="980">
        <v>2606</v>
      </c>
      <c r="B19" s="979" t="s">
        <v>14</v>
      </c>
      <c r="C19" s="980" t="s">
        <v>833</v>
      </c>
      <c r="D19" s="1060" t="s">
        <v>236</v>
      </c>
      <c r="E19" s="955"/>
      <c r="F19" s="955"/>
      <c r="G19" s="955" t="str">
        <f>IFERROR(VLOOKUP(D19,[3]전용!E:J,6,0),"")</f>
        <v/>
      </c>
      <c r="H19" s="854">
        <v>44333.333333333336</v>
      </c>
      <c r="I19" s="955">
        <v>6</v>
      </c>
      <c r="J19" s="955" t="s">
        <v>286</v>
      </c>
      <c r="K19" s="955">
        <v>24</v>
      </c>
      <c r="L19" s="970">
        <v>699</v>
      </c>
      <c r="M19" s="971">
        <f t="shared" si="0"/>
        <v>50328</v>
      </c>
      <c r="N19" s="855">
        <v>0.15</v>
      </c>
      <c r="O19" s="855"/>
      <c r="P19" s="970">
        <v>699</v>
      </c>
      <c r="Q19" s="970">
        <f t="shared" si="1"/>
        <v>0</v>
      </c>
      <c r="R19" s="971">
        <f t="shared" si="2"/>
        <v>50328</v>
      </c>
      <c r="S19" s="856">
        <f t="shared" si="13"/>
        <v>4.1223490376143909E-2</v>
      </c>
      <c r="T19" s="971"/>
      <c r="U19" s="971"/>
      <c r="V19" s="972">
        <v>12</v>
      </c>
      <c r="W19" s="971">
        <f t="shared" si="3"/>
        <v>4194</v>
      </c>
      <c r="X19" s="971">
        <f t="shared" si="14"/>
        <v>46134</v>
      </c>
      <c r="Y19" s="858">
        <f t="shared" si="15"/>
        <v>-8.333333333333337E-2</v>
      </c>
      <c r="Z19" s="857">
        <f t="shared" si="16"/>
        <v>1.0406165413533834</v>
      </c>
      <c r="AA19" s="856">
        <v>-4.4317629052277385E-4</v>
      </c>
      <c r="AB19" s="856">
        <v>-3.457787561625454E-3</v>
      </c>
      <c r="AC19" s="1041">
        <v>649</v>
      </c>
      <c r="AD19" s="970">
        <f t="shared" ref="AD19" si="24">AC19-P19</f>
        <v>-50</v>
      </c>
      <c r="AE19" s="970">
        <f t="shared" si="22"/>
        <v>69.900000000000006</v>
      </c>
      <c r="AF19" s="971">
        <f t="shared" si="18"/>
        <v>46728</v>
      </c>
      <c r="AG19" s="857">
        <f t="shared" si="19"/>
        <v>-7.1530758226037161E-2</v>
      </c>
      <c r="AH19" s="576">
        <v>0</v>
      </c>
      <c r="AI19" s="856">
        <v>0.16900000000000001</v>
      </c>
      <c r="AJ19" s="859">
        <v>0</v>
      </c>
      <c r="AK19" s="583">
        <v>0</v>
      </c>
      <c r="AL19" s="971">
        <f t="shared" si="20"/>
        <v>0</v>
      </c>
      <c r="AM19" s="971">
        <f t="shared" si="6"/>
        <v>46728</v>
      </c>
      <c r="AN19" s="858">
        <f t="shared" si="7"/>
        <v>0</v>
      </c>
      <c r="AO19" s="857">
        <f t="shared" si="8"/>
        <v>1.054015037593985</v>
      </c>
      <c r="AP19" s="973">
        <f t="shared" si="9"/>
        <v>594</v>
      </c>
      <c r="AQ19" s="855">
        <f t="shared" si="10"/>
        <v>1.2875536480686733E-2</v>
      </c>
      <c r="AR19" s="1042">
        <f>IFERROR(AA19-AG19*0.5,"")+5%</f>
        <v>8.5322202822495807E-2</v>
      </c>
      <c r="AS19" s="975"/>
      <c r="AT19" s="976"/>
      <c r="AU19" s="971"/>
      <c r="AV19" s="976"/>
      <c r="AW19" s="970"/>
      <c r="AX19" s="971"/>
      <c r="AY19" s="971"/>
      <c r="AZ19" s="977"/>
      <c r="BA19" s="972"/>
      <c r="BB19" s="971"/>
      <c r="BC19" s="973"/>
      <c r="BD19" s="973"/>
      <c r="BE19" s="855"/>
      <c r="BF19" s="975"/>
      <c r="BG19" s="975"/>
      <c r="BH19" s="971"/>
      <c r="BI19" s="970"/>
      <c r="BJ19" s="971"/>
      <c r="BK19" s="971"/>
      <c r="BL19" s="977"/>
      <c r="BM19" s="972"/>
      <c r="BN19" s="971"/>
      <c r="BO19" s="973"/>
      <c r="BP19" s="973"/>
      <c r="BQ19" s="855"/>
      <c r="BR19" s="975"/>
      <c r="BS19" s="975"/>
      <c r="BT19" s="978"/>
      <c r="BU19" s="978"/>
      <c r="BV19" s="978">
        <v>0.02</v>
      </c>
      <c r="BW19" s="978">
        <f t="shared" si="12"/>
        <v>-4.4317629052277385E-4</v>
      </c>
    </row>
    <row r="20" spans="1:75" hidden="1">
      <c r="A20" s="969">
        <v>2606</v>
      </c>
      <c r="B20" s="968" t="s">
        <v>14</v>
      </c>
      <c r="C20" s="969" t="s">
        <v>829</v>
      </c>
      <c r="D20" s="984" t="s">
        <v>47</v>
      </c>
      <c r="E20" s="955"/>
      <c r="F20" s="955"/>
      <c r="G20" s="955" t="str">
        <f>IFERROR(VLOOKUP(D20,[3]전용!E:J,6,0),"")</f>
        <v/>
      </c>
      <c r="H20" s="854">
        <v>51000</v>
      </c>
      <c r="I20" s="955">
        <v>5</v>
      </c>
      <c r="J20" s="955" t="s">
        <v>286</v>
      </c>
      <c r="K20" s="955">
        <v>24</v>
      </c>
      <c r="L20" s="970">
        <v>899</v>
      </c>
      <c r="M20" s="971">
        <f t="shared" si="0"/>
        <v>53940</v>
      </c>
      <c r="N20" s="855">
        <v>0.14146420948797483</v>
      </c>
      <c r="O20" s="855"/>
      <c r="P20" s="970">
        <v>899</v>
      </c>
      <c r="Q20" s="970">
        <f t="shared" si="1"/>
        <v>0</v>
      </c>
      <c r="R20" s="971">
        <f t="shared" si="2"/>
        <v>53940</v>
      </c>
      <c r="S20" s="856">
        <f t="shared" si="13"/>
        <v>3.8275816532338899E-2</v>
      </c>
      <c r="T20" s="971"/>
      <c r="U20" s="971"/>
      <c r="V20" s="976">
        <v>6</v>
      </c>
      <c r="W20" s="971">
        <f t="shared" si="3"/>
        <v>2697</v>
      </c>
      <c r="X20" s="971">
        <f t="shared" si="14"/>
        <v>51243</v>
      </c>
      <c r="Y20" s="858">
        <f t="shared" si="15"/>
        <v>-5.0000000000000044E-2</v>
      </c>
      <c r="Z20" s="857">
        <f t="shared" si="16"/>
        <v>1.004764705882353</v>
      </c>
      <c r="AA20" s="856">
        <v>1.3275816532338874E-2</v>
      </c>
      <c r="AB20" s="856">
        <v>8.1203061760939874E-2</v>
      </c>
      <c r="AC20" s="970">
        <f t="shared" si="4"/>
        <v>949</v>
      </c>
      <c r="AD20" s="970">
        <v>50</v>
      </c>
      <c r="AE20" s="970">
        <f t="shared" si="22"/>
        <v>67.424999999999997</v>
      </c>
      <c r="AF20" s="971">
        <f t="shared" si="18"/>
        <v>56940</v>
      </c>
      <c r="AG20" s="857">
        <f t="shared" si="19"/>
        <v>5.5617352614015569E-2</v>
      </c>
      <c r="AH20" s="576">
        <v>0</v>
      </c>
      <c r="AI20" s="856">
        <f t="shared" si="21"/>
        <v>4.2474194847425803E-2</v>
      </c>
      <c r="AJ20" s="859">
        <v>0</v>
      </c>
      <c r="AK20" s="583">
        <v>3</v>
      </c>
      <c r="AL20" s="971">
        <f t="shared" si="20"/>
        <v>1423.5</v>
      </c>
      <c r="AM20" s="971">
        <f t="shared" si="6"/>
        <v>55516.5</v>
      </c>
      <c r="AN20" s="858">
        <f t="shared" si="7"/>
        <v>-2.5000000000000022E-2</v>
      </c>
      <c r="AO20" s="857">
        <f t="shared" si="8"/>
        <v>1.0885588235294117</v>
      </c>
      <c r="AP20" s="973">
        <f t="shared" si="9"/>
        <v>4273.5</v>
      </c>
      <c r="AQ20" s="855">
        <f t="shared" si="10"/>
        <v>8.3396756630173874E-2</v>
      </c>
      <c r="AR20" s="974">
        <f t="shared" si="23"/>
        <v>5.4974194847425814E-2</v>
      </c>
      <c r="AS20" s="975"/>
      <c r="AT20" s="976"/>
      <c r="AU20" s="971"/>
      <c r="AV20" s="976"/>
      <c r="AW20" s="970"/>
      <c r="AX20" s="971"/>
      <c r="AY20" s="971"/>
      <c r="AZ20" s="977"/>
      <c r="BA20" s="972"/>
      <c r="BB20" s="971"/>
      <c r="BC20" s="973"/>
      <c r="BD20" s="973"/>
      <c r="BE20" s="855"/>
      <c r="BF20" s="975"/>
      <c r="BG20" s="975"/>
      <c r="BH20" s="971"/>
      <c r="BI20" s="970"/>
      <c r="BJ20" s="971"/>
      <c r="BK20" s="971"/>
      <c r="BL20" s="977"/>
      <c r="BM20" s="972"/>
      <c r="BN20" s="971"/>
      <c r="BO20" s="973"/>
      <c r="BP20" s="973"/>
      <c r="BQ20" s="855"/>
      <c r="BR20" s="975"/>
      <c r="BS20" s="975"/>
      <c r="BT20" s="978"/>
      <c r="BU20" s="978"/>
      <c r="BV20" s="978">
        <v>6.3999120769522577E-3</v>
      </c>
      <c r="BW20" s="978">
        <f t="shared" si="12"/>
        <v>1.3275816532338874E-2</v>
      </c>
    </row>
    <row r="21" spans="1:75" hidden="1">
      <c r="A21" s="980">
        <v>2606</v>
      </c>
      <c r="B21" s="979" t="s">
        <v>14</v>
      </c>
      <c r="C21" s="980" t="s">
        <v>829</v>
      </c>
      <c r="D21" s="985" t="s">
        <v>47</v>
      </c>
      <c r="E21" s="955"/>
      <c r="F21" s="955"/>
      <c r="G21" s="955" t="str">
        <f>IFERROR(VLOOKUP(D21,[3]전용!E:J,6,0),"")</f>
        <v/>
      </c>
      <c r="H21" s="854">
        <v>51000</v>
      </c>
      <c r="I21" s="955">
        <v>6</v>
      </c>
      <c r="J21" s="955" t="s">
        <v>286</v>
      </c>
      <c r="K21" s="955">
        <v>24</v>
      </c>
      <c r="L21" s="970">
        <v>749</v>
      </c>
      <c r="M21" s="971">
        <f t="shared" si="0"/>
        <v>53928</v>
      </c>
      <c r="N21" s="855">
        <v>0.16213639112955164</v>
      </c>
      <c r="O21" s="855"/>
      <c r="P21" s="970">
        <v>749</v>
      </c>
      <c r="Q21" s="970">
        <f t="shared" si="1"/>
        <v>0</v>
      </c>
      <c r="R21" s="971">
        <f t="shared" si="2"/>
        <v>53928</v>
      </c>
      <c r="S21" s="856">
        <f t="shared" si="13"/>
        <v>3.4109149865672192E-2</v>
      </c>
      <c r="T21" s="971"/>
      <c r="U21" s="971"/>
      <c r="V21" s="976">
        <v>6</v>
      </c>
      <c r="W21" s="971">
        <f t="shared" si="3"/>
        <v>2247</v>
      </c>
      <c r="X21" s="971">
        <f t="shared" si="14"/>
        <v>51681</v>
      </c>
      <c r="Y21" s="858">
        <f t="shared" si="15"/>
        <v>-4.166666666666663E-2</v>
      </c>
      <c r="Z21" s="857">
        <f t="shared" si="16"/>
        <v>1.0133529411764706</v>
      </c>
      <c r="AA21" s="856">
        <v>1.3275816532338874E-2</v>
      </c>
      <c r="AB21" s="856">
        <v>8.1203061760939874E-2</v>
      </c>
      <c r="AC21" s="970">
        <f t="shared" si="4"/>
        <v>799</v>
      </c>
      <c r="AD21" s="970">
        <v>50</v>
      </c>
      <c r="AE21" s="970">
        <f t="shared" si="22"/>
        <v>56.174999999999997</v>
      </c>
      <c r="AF21" s="971">
        <f t="shared" si="18"/>
        <v>57528</v>
      </c>
      <c r="AG21" s="857">
        <f t="shared" si="19"/>
        <v>6.6755674232309659E-2</v>
      </c>
      <c r="AH21" s="576">
        <v>0</v>
      </c>
      <c r="AI21" s="856">
        <f t="shared" si="21"/>
        <v>4.7832157353917368E-2</v>
      </c>
      <c r="AJ21" s="859">
        <v>0</v>
      </c>
      <c r="AK21" s="583">
        <v>3</v>
      </c>
      <c r="AL21" s="971">
        <f t="shared" si="20"/>
        <v>1198.5</v>
      </c>
      <c r="AM21" s="971">
        <f t="shared" si="6"/>
        <v>56329.5</v>
      </c>
      <c r="AN21" s="858">
        <f t="shared" si="7"/>
        <v>-2.083333333333337E-2</v>
      </c>
      <c r="AO21" s="857">
        <f t="shared" si="8"/>
        <v>1.1045</v>
      </c>
      <c r="AP21" s="973">
        <f t="shared" si="9"/>
        <v>4648.5</v>
      </c>
      <c r="AQ21" s="855">
        <f t="shared" si="10"/>
        <v>8.9946014976490352E-2</v>
      </c>
      <c r="AR21" s="974">
        <f t="shared" si="23"/>
        <v>5.8248824020584053E-2</v>
      </c>
      <c r="AS21" s="975"/>
      <c r="AT21" s="976"/>
      <c r="AU21" s="971"/>
      <c r="AV21" s="976"/>
      <c r="AW21" s="970"/>
      <c r="AX21" s="971"/>
      <c r="AY21" s="971"/>
      <c r="AZ21" s="977"/>
      <c r="BA21" s="972"/>
      <c r="BB21" s="971"/>
      <c r="BC21" s="973"/>
      <c r="BD21" s="973"/>
      <c r="BE21" s="855"/>
      <c r="BF21" s="975"/>
      <c r="BG21" s="975"/>
      <c r="BH21" s="971"/>
      <c r="BI21" s="970"/>
      <c r="BJ21" s="971"/>
      <c r="BK21" s="971"/>
      <c r="BL21" s="977"/>
      <c r="BM21" s="972"/>
      <c r="BN21" s="971"/>
      <c r="BO21" s="973"/>
      <c r="BP21" s="973"/>
      <c r="BQ21" s="855"/>
      <c r="BR21" s="975"/>
      <c r="BS21" s="975"/>
      <c r="BT21" s="978"/>
      <c r="BU21" s="978"/>
      <c r="BV21" s="978">
        <v>6.3999120769522577E-3</v>
      </c>
      <c r="BW21" s="978">
        <f t="shared" si="12"/>
        <v>1.3275816532338874E-2</v>
      </c>
    </row>
    <row r="22" spans="1:75">
      <c r="A22" s="969">
        <v>2606</v>
      </c>
      <c r="B22" s="968" t="s">
        <v>14</v>
      </c>
      <c r="C22" s="969" t="s">
        <v>833</v>
      </c>
      <c r="D22" s="990" t="s">
        <v>46</v>
      </c>
      <c r="E22" s="955"/>
      <c r="F22" s="955"/>
      <c r="G22" s="955" t="str">
        <f>IFERROR(VLOOKUP(D22,[3]전용!E:J,6,0),"")</f>
        <v/>
      </c>
      <c r="H22" s="854">
        <v>45444.444444444445</v>
      </c>
      <c r="I22" s="955">
        <v>5</v>
      </c>
      <c r="J22" s="955" t="s">
        <v>286</v>
      </c>
      <c r="K22" s="955">
        <v>24</v>
      </c>
      <c r="L22" s="970">
        <v>849</v>
      </c>
      <c r="M22" s="971">
        <f t="shared" si="0"/>
        <v>50940</v>
      </c>
      <c r="N22" s="855">
        <v>0.13491500661852443</v>
      </c>
      <c r="O22" s="855"/>
      <c r="P22" s="970">
        <v>849</v>
      </c>
      <c r="Q22" s="970">
        <f t="shared" si="1"/>
        <v>0</v>
      </c>
      <c r="R22" s="971">
        <f t="shared" si="2"/>
        <v>50940</v>
      </c>
      <c r="S22" s="856">
        <f t="shared" si="13"/>
        <v>-4.5902455523016639E-2</v>
      </c>
      <c r="T22" s="971"/>
      <c r="U22" s="971"/>
      <c r="V22" s="972">
        <v>3</v>
      </c>
      <c r="W22" s="971">
        <f t="shared" si="3"/>
        <v>1273.5</v>
      </c>
      <c r="X22" s="971">
        <f t="shared" si="14"/>
        <v>49666.5</v>
      </c>
      <c r="Y22" s="858">
        <f t="shared" si="15"/>
        <v>-2.5000000000000022E-2</v>
      </c>
      <c r="Z22" s="857">
        <f t="shared" si="16"/>
        <v>1.09290586797066</v>
      </c>
      <c r="AA22" s="856">
        <v>-5.840245552301665E-2</v>
      </c>
      <c r="AB22" s="856">
        <v>0.1890125753503975</v>
      </c>
      <c r="AC22" s="1041">
        <v>749</v>
      </c>
      <c r="AD22" s="970">
        <f>AC22-P22</f>
        <v>-100</v>
      </c>
      <c r="AE22" s="970">
        <f t="shared" si="22"/>
        <v>84.9</v>
      </c>
      <c r="AF22" s="971">
        <f t="shared" si="18"/>
        <v>44940</v>
      </c>
      <c r="AG22" s="857">
        <f t="shared" si="19"/>
        <v>-0.11778563015312127</v>
      </c>
      <c r="AH22" s="576">
        <v>0</v>
      </c>
      <c r="AI22" s="856">
        <v>0.16900000000000001</v>
      </c>
      <c r="AJ22" s="859">
        <v>0</v>
      </c>
      <c r="AK22" s="583">
        <v>3</v>
      </c>
      <c r="AL22" s="971">
        <f t="shared" si="20"/>
        <v>1123.5</v>
      </c>
      <c r="AM22" s="971">
        <f t="shared" si="6"/>
        <v>43816.5</v>
      </c>
      <c r="AN22" s="858">
        <f t="shared" si="7"/>
        <v>-2.5000000000000022E-2</v>
      </c>
      <c r="AO22" s="857">
        <f t="shared" si="8"/>
        <v>0.96417726161369188</v>
      </c>
      <c r="AP22" s="973">
        <f t="shared" si="9"/>
        <v>-5850</v>
      </c>
      <c r="AQ22" s="855">
        <f t="shared" si="10"/>
        <v>-0.11778563015312127</v>
      </c>
      <c r="AR22" s="1042">
        <f>IFERROR(AA22-AG22*0.5,"")+5%</f>
        <v>5.0490359553543987E-2</v>
      </c>
      <c r="AS22" s="975"/>
      <c r="AT22" s="976"/>
      <c r="AU22" s="971"/>
      <c r="AV22" s="976"/>
      <c r="AW22" s="970"/>
      <c r="AX22" s="971"/>
      <c r="AY22" s="971"/>
      <c r="AZ22" s="977"/>
      <c r="BA22" s="972"/>
      <c r="BB22" s="971"/>
      <c r="BC22" s="973"/>
      <c r="BD22" s="973"/>
      <c r="BE22" s="855"/>
      <c r="BF22" s="975"/>
      <c r="BG22" s="975"/>
      <c r="BH22" s="971"/>
      <c r="BI22" s="970"/>
      <c r="BJ22" s="971"/>
      <c r="BK22" s="971"/>
      <c r="BL22" s="977"/>
      <c r="BM22" s="972"/>
      <c r="BN22" s="971"/>
      <c r="BO22" s="973"/>
      <c r="BP22" s="973"/>
      <c r="BQ22" s="855"/>
      <c r="BR22" s="975"/>
      <c r="BS22" s="975"/>
      <c r="BT22" s="978"/>
      <c r="BU22" s="978"/>
      <c r="BV22" s="978">
        <v>0.06</v>
      </c>
      <c r="BW22" s="978">
        <f t="shared" si="12"/>
        <v>-5.840245552301665E-2</v>
      </c>
    </row>
    <row r="23" spans="1:75">
      <c r="A23" s="980">
        <v>2606</v>
      </c>
      <c r="B23" s="979" t="s">
        <v>14</v>
      </c>
      <c r="C23" s="980" t="s">
        <v>833</v>
      </c>
      <c r="D23" s="991" t="s">
        <v>46</v>
      </c>
      <c r="E23" s="955"/>
      <c r="F23" s="955"/>
      <c r="G23" s="955" t="str">
        <f>IFERROR(VLOOKUP(D23,[3]전용!E:J,6,0),"")</f>
        <v/>
      </c>
      <c r="H23" s="854">
        <v>45444.444444444445</v>
      </c>
      <c r="I23" s="955">
        <v>6</v>
      </c>
      <c r="J23" s="955" t="s">
        <v>286</v>
      </c>
      <c r="K23" s="955">
        <v>24</v>
      </c>
      <c r="L23" s="970">
        <v>749</v>
      </c>
      <c r="M23" s="971">
        <f t="shared" si="0"/>
        <v>53928</v>
      </c>
      <c r="N23" s="855">
        <v>0.19072175364552738</v>
      </c>
      <c r="O23" s="855"/>
      <c r="P23" s="970">
        <v>749</v>
      </c>
      <c r="Q23" s="970">
        <f t="shared" si="1"/>
        <v>0</v>
      </c>
      <c r="R23" s="971">
        <f t="shared" si="2"/>
        <v>53928</v>
      </c>
      <c r="S23" s="856">
        <f t="shared" si="13"/>
        <v>-4.7985788856349965E-2</v>
      </c>
      <c r="T23" s="971"/>
      <c r="U23" s="971"/>
      <c r="V23" s="972">
        <v>3</v>
      </c>
      <c r="W23" s="971">
        <f t="shared" si="3"/>
        <v>1123.5</v>
      </c>
      <c r="X23" s="971">
        <f t="shared" si="14"/>
        <v>52804.5</v>
      </c>
      <c r="Y23" s="858">
        <f t="shared" si="15"/>
        <v>-2.083333333333337E-2</v>
      </c>
      <c r="Z23" s="857">
        <f t="shared" si="16"/>
        <v>1.1619572127139364</v>
      </c>
      <c r="AA23" s="856">
        <v>-5.840245552301665E-2</v>
      </c>
      <c r="AB23" s="856">
        <v>0.1890125753503975</v>
      </c>
      <c r="AC23" s="1041">
        <v>649</v>
      </c>
      <c r="AD23" s="970">
        <f>AC23-P23</f>
        <v>-100</v>
      </c>
      <c r="AE23" s="970">
        <f t="shared" si="22"/>
        <v>74.900000000000006</v>
      </c>
      <c r="AF23" s="971">
        <f t="shared" si="18"/>
        <v>46728</v>
      </c>
      <c r="AG23" s="857">
        <f t="shared" si="19"/>
        <v>-0.13351134846461954</v>
      </c>
      <c r="AH23" s="576">
        <v>0</v>
      </c>
      <c r="AI23" s="856">
        <v>0.24399999999999999</v>
      </c>
      <c r="AJ23" s="859">
        <v>0</v>
      </c>
      <c r="AK23" s="583">
        <v>3</v>
      </c>
      <c r="AL23" s="971">
        <f t="shared" si="20"/>
        <v>973.5</v>
      </c>
      <c r="AM23" s="971">
        <f t="shared" si="6"/>
        <v>45754.5</v>
      </c>
      <c r="AN23" s="858">
        <f t="shared" si="7"/>
        <v>-2.083333333333337E-2</v>
      </c>
      <c r="AO23" s="857">
        <f t="shared" si="8"/>
        <v>1.006822738386308</v>
      </c>
      <c r="AP23" s="973">
        <f t="shared" si="9"/>
        <v>-7050</v>
      </c>
      <c r="AQ23" s="855">
        <f t="shared" si="10"/>
        <v>-0.13351134846461954</v>
      </c>
      <c r="AR23" s="1042">
        <f>IFERROR(AA23-AG23*0.5,"")+5%</f>
        <v>5.8353218709293123E-2</v>
      </c>
      <c r="AS23" s="975"/>
      <c r="AT23" s="976"/>
      <c r="AU23" s="971"/>
      <c r="AV23" s="976"/>
      <c r="AW23" s="970"/>
      <c r="AX23" s="971"/>
      <c r="AY23" s="971"/>
      <c r="AZ23" s="977"/>
      <c r="BA23" s="972"/>
      <c r="BB23" s="971"/>
      <c r="BC23" s="973"/>
      <c r="BD23" s="973"/>
      <c r="BE23" s="855"/>
      <c r="BF23" s="975"/>
      <c r="BG23" s="975"/>
      <c r="BH23" s="971"/>
      <c r="BI23" s="970"/>
      <c r="BJ23" s="971"/>
      <c r="BK23" s="971"/>
      <c r="BL23" s="977"/>
      <c r="BM23" s="972"/>
      <c r="BN23" s="971"/>
      <c r="BO23" s="973"/>
      <c r="BP23" s="973"/>
      <c r="BQ23" s="855"/>
      <c r="BR23" s="975"/>
      <c r="BS23" s="975"/>
      <c r="BT23" s="978"/>
      <c r="BU23" s="978"/>
      <c r="BV23" s="978">
        <v>0.06</v>
      </c>
      <c r="BW23" s="978">
        <f t="shared" si="12"/>
        <v>-5.840245552301665E-2</v>
      </c>
    </row>
    <row r="24" spans="1:75" hidden="1">
      <c r="A24" s="969">
        <v>2606</v>
      </c>
      <c r="B24" s="968" t="s">
        <v>14</v>
      </c>
      <c r="C24" s="969" t="s">
        <v>829</v>
      </c>
      <c r="D24" s="984" t="s">
        <v>80</v>
      </c>
      <c r="E24" s="955"/>
      <c r="F24" s="955"/>
      <c r="G24" s="955" t="str">
        <f>IFERROR(VLOOKUP(D24,[3]전용!E:J,6,0),"")</f>
        <v/>
      </c>
      <c r="H24" s="854">
        <v>27766.666666666664</v>
      </c>
      <c r="I24" s="955">
        <v>5</v>
      </c>
      <c r="J24" s="955" t="s">
        <v>286</v>
      </c>
      <c r="K24" s="955">
        <v>24</v>
      </c>
      <c r="L24" s="970">
        <v>649</v>
      </c>
      <c r="M24" s="971">
        <f t="shared" si="0"/>
        <v>38940</v>
      </c>
      <c r="N24" s="855">
        <v>0.22972636357747539</v>
      </c>
      <c r="O24" s="855"/>
      <c r="P24" s="970">
        <v>649</v>
      </c>
      <c r="Q24" s="970">
        <f t="shared" si="1"/>
        <v>0</v>
      </c>
      <c r="R24" s="971">
        <f t="shared" si="2"/>
        <v>38940</v>
      </c>
      <c r="S24" s="856">
        <f t="shared" si="13"/>
        <v>0.14611355672339982</v>
      </c>
      <c r="T24" s="971"/>
      <c r="U24" s="971"/>
      <c r="V24" s="976">
        <v>3</v>
      </c>
      <c r="W24" s="971">
        <f t="shared" si="3"/>
        <v>973.5</v>
      </c>
      <c r="X24" s="971">
        <f t="shared" si="14"/>
        <v>37966.5</v>
      </c>
      <c r="Y24" s="858">
        <f t="shared" si="15"/>
        <v>-2.5000000000000022E-2</v>
      </c>
      <c r="Z24" s="857">
        <f t="shared" si="16"/>
        <v>1.3673409363745499</v>
      </c>
      <c r="AA24" s="856">
        <v>0.13361355672339981</v>
      </c>
      <c r="AB24" s="856">
        <v>1.6592189069931942E-2</v>
      </c>
      <c r="AC24" s="970">
        <f t="shared" si="4"/>
        <v>649</v>
      </c>
      <c r="AD24" s="970"/>
      <c r="AE24" s="970">
        <f t="shared" si="22"/>
        <v>0</v>
      </c>
      <c r="AF24" s="971">
        <f t="shared" si="18"/>
        <v>38940</v>
      </c>
      <c r="AG24" s="857">
        <f t="shared" si="19"/>
        <v>0</v>
      </c>
      <c r="AH24" s="576">
        <v>0</v>
      </c>
      <c r="AI24" s="856">
        <f t="shared" si="21"/>
        <v>0.1211135567233998</v>
      </c>
      <c r="AJ24" s="859">
        <v>0</v>
      </c>
      <c r="AK24" s="583">
        <v>3</v>
      </c>
      <c r="AL24" s="971">
        <f t="shared" si="20"/>
        <v>973.5</v>
      </c>
      <c r="AM24" s="971">
        <f t="shared" si="6"/>
        <v>37966.5</v>
      </c>
      <c r="AN24" s="858">
        <f t="shared" si="7"/>
        <v>-2.5000000000000022E-2</v>
      </c>
      <c r="AO24" s="857">
        <f t="shared" si="8"/>
        <v>1.3673409363745499</v>
      </c>
      <c r="AP24" s="973">
        <f t="shared" si="9"/>
        <v>0</v>
      </c>
      <c r="AQ24" s="855">
        <f t="shared" si="10"/>
        <v>0</v>
      </c>
      <c r="AR24" s="974">
        <f t="shared" si="23"/>
        <v>0.13361355672339981</v>
      </c>
      <c r="AS24" s="975"/>
      <c r="AT24" s="976"/>
      <c r="AU24" s="971"/>
      <c r="AV24" s="976"/>
      <c r="AW24" s="970"/>
      <c r="AX24" s="971"/>
      <c r="AY24" s="971"/>
      <c r="AZ24" s="977"/>
      <c r="BA24" s="972"/>
      <c r="BB24" s="971"/>
      <c r="BC24" s="973"/>
      <c r="BD24" s="973"/>
      <c r="BE24" s="855"/>
      <c r="BF24" s="975"/>
      <c r="BG24" s="975"/>
      <c r="BH24" s="971"/>
      <c r="BI24" s="970"/>
      <c r="BJ24" s="971"/>
      <c r="BK24" s="971"/>
      <c r="BL24" s="977"/>
      <c r="BM24" s="972"/>
      <c r="BN24" s="971"/>
      <c r="BO24" s="973"/>
      <c r="BP24" s="973"/>
      <c r="BQ24" s="855"/>
      <c r="BR24" s="975"/>
      <c r="BS24" s="975"/>
      <c r="BT24" s="978"/>
      <c r="BU24" s="978"/>
      <c r="BV24" s="978">
        <v>0.13361355672339978</v>
      </c>
      <c r="BW24" s="978">
        <f t="shared" si="12"/>
        <v>0.13361355672339981</v>
      </c>
    </row>
    <row r="25" spans="1:75" hidden="1">
      <c r="A25" s="980">
        <v>2606</v>
      </c>
      <c r="B25" s="979" t="s">
        <v>14</v>
      </c>
      <c r="C25" s="980" t="s">
        <v>829</v>
      </c>
      <c r="D25" s="985" t="s">
        <v>80</v>
      </c>
      <c r="E25" s="955"/>
      <c r="F25" s="955"/>
      <c r="G25" s="955" t="str">
        <f>IFERROR(VLOOKUP(D25,[3]전용!E:J,6,0),"")</f>
        <v/>
      </c>
      <c r="H25" s="854">
        <v>27766.666666666664</v>
      </c>
      <c r="I25" s="955">
        <v>6</v>
      </c>
      <c r="J25" s="955" t="s">
        <v>286</v>
      </c>
      <c r="K25" s="955">
        <v>24</v>
      </c>
      <c r="L25" s="970">
        <v>549</v>
      </c>
      <c r="M25" s="971">
        <f t="shared" si="0"/>
        <v>39528</v>
      </c>
      <c r="N25" s="855">
        <v>0.21962535347646522</v>
      </c>
      <c r="O25" s="855"/>
      <c r="P25" s="970">
        <v>549</v>
      </c>
      <c r="Q25" s="970">
        <f t="shared" si="1"/>
        <v>0</v>
      </c>
      <c r="R25" s="971">
        <f t="shared" si="2"/>
        <v>39528</v>
      </c>
      <c r="S25" s="856">
        <f t="shared" si="13"/>
        <v>0.14403022339006649</v>
      </c>
      <c r="T25" s="971"/>
      <c r="U25" s="971"/>
      <c r="V25" s="976">
        <v>3</v>
      </c>
      <c r="W25" s="971">
        <f t="shared" si="3"/>
        <v>823.5</v>
      </c>
      <c r="X25" s="971">
        <f t="shared" si="14"/>
        <v>38704.5</v>
      </c>
      <c r="Y25" s="858">
        <f t="shared" si="15"/>
        <v>-2.083333333333337E-2</v>
      </c>
      <c r="Z25" s="857">
        <f t="shared" si="16"/>
        <v>1.393919567827131</v>
      </c>
      <c r="AA25" s="856">
        <v>0.13361355672339981</v>
      </c>
      <c r="AB25" s="856">
        <v>1.6592189069931942E-2</v>
      </c>
      <c r="AC25" s="970">
        <f t="shared" si="4"/>
        <v>549</v>
      </c>
      <c r="AD25" s="970"/>
      <c r="AE25" s="970">
        <f t="shared" si="22"/>
        <v>0</v>
      </c>
      <c r="AF25" s="971">
        <f t="shared" si="18"/>
        <v>39528</v>
      </c>
      <c r="AG25" s="857">
        <f t="shared" si="19"/>
        <v>0</v>
      </c>
      <c r="AH25" s="576">
        <v>0</v>
      </c>
      <c r="AI25" s="856">
        <f t="shared" si="21"/>
        <v>0.12319689005673312</v>
      </c>
      <c r="AJ25" s="859">
        <v>0</v>
      </c>
      <c r="AK25" s="583">
        <v>3</v>
      </c>
      <c r="AL25" s="971">
        <f t="shared" si="20"/>
        <v>823.5</v>
      </c>
      <c r="AM25" s="971">
        <f t="shared" si="6"/>
        <v>38704.5</v>
      </c>
      <c r="AN25" s="858">
        <f t="shared" si="7"/>
        <v>-2.083333333333337E-2</v>
      </c>
      <c r="AO25" s="857">
        <f t="shared" si="8"/>
        <v>1.393919567827131</v>
      </c>
      <c r="AP25" s="973">
        <f t="shared" si="9"/>
        <v>0</v>
      </c>
      <c r="AQ25" s="855">
        <f t="shared" si="10"/>
        <v>0</v>
      </c>
      <c r="AR25" s="974">
        <f t="shared" si="23"/>
        <v>0.13361355672339981</v>
      </c>
      <c r="AS25" s="975"/>
      <c r="AT25" s="976"/>
      <c r="AU25" s="971"/>
      <c r="AV25" s="976"/>
      <c r="AW25" s="970"/>
      <c r="AX25" s="971"/>
      <c r="AY25" s="971"/>
      <c r="AZ25" s="977"/>
      <c r="BA25" s="972"/>
      <c r="BB25" s="971"/>
      <c r="BC25" s="973"/>
      <c r="BD25" s="973"/>
      <c r="BE25" s="855"/>
      <c r="BF25" s="975"/>
      <c r="BG25" s="975"/>
      <c r="BH25" s="971"/>
      <c r="BI25" s="970"/>
      <c r="BJ25" s="971"/>
      <c r="BK25" s="971"/>
      <c r="BL25" s="977"/>
      <c r="BM25" s="972"/>
      <c r="BN25" s="971"/>
      <c r="BO25" s="973"/>
      <c r="BP25" s="973"/>
      <c r="BQ25" s="855"/>
      <c r="BR25" s="975"/>
      <c r="BS25" s="975"/>
      <c r="BT25" s="978"/>
      <c r="BU25" s="978"/>
      <c r="BV25" s="978">
        <v>0.13361355672339978</v>
      </c>
      <c r="BW25" s="978">
        <f t="shared" si="12"/>
        <v>0.13361355672339981</v>
      </c>
    </row>
    <row r="26" spans="1:75">
      <c r="A26" s="969">
        <v>2606</v>
      </c>
      <c r="B26" s="968" t="s">
        <v>14</v>
      </c>
      <c r="C26" s="969" t="s">
        <v>833</v>
      </c>
      <c r="D26" s="990" t="s">
        <v>382</v>
      </c>
      <c r="E26" s="955"/>
      <c r="F26" s="955"/>
      <c r="G26" s="955" t="str">
        <f>IFERROR(VLOOKUP(D26,[3]전용!E:J,6,0),"")</f>
        <v/>
      </c>
      <c r="H26" s="854">
        <v>37666.666666666664</v>
      </c>
      <c r="I26" s="955">
        <v>5</v>
      </c>
      <c r="J26" s="955" t="s">
        <v>286</v>
      </c>
      <c r="K26" s="955">
        <v>24</v>
      </c>
      <c r="L26" s="970">
        <v>599</v>
      </c>
      <c r="M26" s="971">
        <f t="shared" si="0"/>
        <v>35940</v>
      </c>
      <c r="N26" s="855">
        <v>0.15</v>
      </c>
      <c r="O26" s="855"/>
      <c r="P26" s="970">
        <v>599</v>
      </c>
      <c r="Q26" s="970">
        <f t="shared" si="1"/>
        <v>0</v>
      </c>
      <c r="R26" s="971">
        <f t="shared" si="2"/>
        <v>35940</v>
      </c>
      <c r="S26" s="856">
        <f t="shared" si="13"/>
        <v>-5.259050387807801E-2</v>
      </c>
      <c r="T26" s="971"/>
      <c r="U26" s="971"/>
      <c r="V26" s="976">
        <v>0</v>
      </c>
      <c r="W26" s="971">
        <f t="shared" si="3"/>
        <v>0</v>
      </c>
      <c r="X26" s="971">
        <f t="shared" si="14"/>
        <v>35940</v>
      </c>
      <c r="Y26" s="858">
        <f t="shared" si="15"/>
        <v>0</v>
      </c>
      <c r="Z26" s="857">
        <f t="shared" si="16"/>
        <v>0.95415929203539829</v>
      </c>
      <c r="AA26" s="856">
        <v>-5.259050387807801E-2</v>
      </c>
      <c r="AB26" s="856">
        <v>7.4784115265018838E-2</v>
      </c>
      <c r="AC26" s="1041">
        <v>499</v>
      </c>
      <c r="AD26" s="970">
        <f>AC26-P26</f>
        <v>-100</v>
      </c>
      <c r="AE26" s="970">
        <f t="shared" si="22"/>
        <v>59.900000000000006</v>
      </c>
      <c r="AF26" s="971">
        <f t="shared" si="18"/>
        <v>29940</v>
      </c>
      <c r="AG26" s="857">
        <f t="shared" si="19"/>
        <v>-0.1669449081803005</v>
      </c>
      <c r="AH26" s="576">
        <v>0</v>
      </c>
      <c r="AI26" s="856">
        <v>0.13</v>
      </c>
      <c r="AJ26" s="859">
        <v>0</v>
      </c>
      <c r="AK26" s="583">
        <v>0</v>
      </c>
      <c r="AL26" s="971">
        <f t="shared" si="20"/>
        <v>0</v>
      </c>
      <c r="AM26" s="971">
        <f t="shared" si="6"/>
        <v>29940</v>
      </c>
      <c r="AN26" s="858">
        <f t="shared" si="7"/>
        <v>0</v>
      </c>
      <c r="AO26" s="857">
        <f t="shared" si="8"/>
        <v>0.79486725663716817</v>
      </c>
      <c r="AP26" s="973">
        <f t="shared" si="9"/>
        <v>-6000</v>
      </c>
      <c r="AQ26" s="855">
        <f t="shared" si="10"/>
        <v>-0.1669449081803005</v>
      </c>
      <c r="AR26" s="1042">
        <f>IFERROR(AA26-AG26*0.5,"")+5%</f>
        <v>8.0881950212072243E-2</v>
      </c>
      <c r="AS26" s="975"/>
      <c r="AT26" s="976"/>
      <c r="AU26" s="971"/>
      <c r="AV26" s="976"/>
      <c r="AW26" s="970"/>
      <c r="AX26" s="971"/>
      <c r="AY26" s="971"/>
      <c r="AZ26" s="977"/>
      <c r="BA26" s="972"/>
      <c r="BB26" s="971"/>
      <c r="BC26" s="973"/>
      <c r="BD26" s="973"/>
      <c r="BE26" s="855"/>
      <c r="BF26" s="975"/>
      <c r="BG26" s="975"/>
      <c r="BH26" s="971"/>
      <c r="BI26" s="970"/>
      <c r="BJ26" s="971"/>
      <c r="BK26" s="971"/>
      <c r="BL26" s="977"/>
      <c r="BM26" s="972"/>
      <c r="BN26" s="971"/>
      <c r="BO26" s="973"/>
      <c r="BP26" s="973"/>
      <c r="BQ26" s="855"/>
      <c r="BR26" s="975"/>
      <c r="BS26" s="975"/>
      <c r="BT26" s="978"/>
      <c r="BU26" s="978"/>
      <c r="BV26" s="978">
        <v>0.03</v>
      </c>
      <c r="BW26" s="978">
        <f t="shared" si="12"/>
        <v>-5.259050387807801E-2</v>
      </c>
    </row>
    <row r="27" spans="1:75">
      <c r="A27" s="980">
        <v>2606</v>
      </c>
      <c r="B27" s="979" t="s">
        <v>14</v>
      </c>
      <c r="C27" s="980" t="s">
        <v>833</v>
      </c>
      <c r="D27" s="991" t="s">
        <v>382</v>
      </c>
      <c r="E27" s="955"/>
      <c r="F27" s="955"/>
      <c r="G27" s="955" t="str">
        <f>IFERROR(VLOOKUP(D27,[3]전용!E:J,6,0),"")</f>
        <v/>
      </c>
      <c r="H27" s="854">
        <v>37666.666666666664</v>
      </c>
      <c r="I27" s="955">
        <v>6</v>
      </c>
      <c r="J27" s="955" t="s">
        <v>286</v>
      </c>
      <c r="K27" s="955">
        <v>24</v>
      </c>
      <c r="L27" s="970">
        <v>499</v>
      </c>
      <c r="M27" s="971">
        <f t="shared" si="0"/>
        <v>35928</v>
      </c>
      <c r="N27" s="855">
        <v>0.15</v>
      </c>
      <c r="O27" s="855"/>
      <c r="P27" s="970">
        <v>499</v>
      </c>
      <c r="Q27" s="970">
        <f t="shared" si="1"/>
        <v>0</v>
      </c>
      <c r="R27" s="971">
        <f t="shared" si="2"/>
        <v>35928</v>
      </c>
      <c r="S27" s="856">
        <f t="shared" si="13"/>
        <v>-5.259050387807801E-2</v>
      </c>
      <c r="T27" s="971"/>
      <c r="U27" s="971"/>
      <c r="V27" s="976">
        <v>0</v>
      </c>
      <c r="W27" s="971">
        <f t="shared" si="3"/>
        <v>0</v>
      </c>
      <c r="X27" s="971">
        <f t="shared" si="14"/>
        <v>35928</v>
      </c>
      <c r="Y27" s="858">
        <f t="shared" si="15"/>
        <v>0</v>
      </c>
      <c r="Z27" s="857">
        <f t="shared" si="16"/>
        <v>0.95384070796460185</v>
      </c>
      <c r="AA27" s="856">
        <v>-5.259050387807801E-2</v>
      </c>
      <c r="AB27" s="856">
        <v>7.4784115265018838E-2</v>
      </c>
      <c r="AC27" s="1041">
        <v>449</v>
      </c>
      <c r="AD27" s="970">
        <f>AC27-P27</f>
        <v>-50</v>
      </c>
      <c r="AE27" s="970">
        <f t="shared" si="22"/>
        <v>49.900000000000006</v>
      </c>
      <c r="AF27" s="971">
        <f t="shared" si="18"/>
        <v>32328</v>
      </c>
      <c r="AG27" s="857">
        <f t="shared" si="19"/>
        <v>-0.1002004008016032</v>
      </c>
      <c r="AH27" s="576">
        <v>0</v>
      </c>
      <c r="AI27" s="856">
        <v>9.7000000000000003E-2</v>
      </c>
      <c r="AJ27" s="859">
        <v>0</v>
      </c>
      <c r="AK27" s="583">
        <v>0</v>
      </c>
      <c r="AL27" s="971">
        <f t="shared" si="20"/>
        <v>0</v>
      </c>
      <c r="AM27" s="971">
        <f t="shared" si="6"/>
        <v>32328</v>
      </c>
      <c r="AN27" s="858">
        <f t="shared" si="7"/>
        <v>0</v>
      </c>
      <c r="AO27" s="857">
        <f t="shared" si="8"/>
        <v>0.85826548672566372</v>
      </c>
      <c r="AP27" s="973">
        <f t="shared" si="9"/>
        <v>-3600</v>
      </c>
      <c r="AQ27" s="855">
        <f t="shared" si="10"/>
        <v>-0.1002004008016032</v>
      </c>
      <c r="AR27" s="1042">
        <f>IFERROR(AA27-AG27*0.5,"")+5%</f>
        <v>4.7509696522723591E-2</v>
      </c>
      <c r="AS27" s="975"/>
      <c r="AT27" s="976"/>
      <c r="AU27" s="971"/>
      <c r="AV27" s="976"/>
      <c r="AW27" s="970"/>
      <c r="AX27" s="971"/>
      <c r="AY27" s="971"/>
      <c r="AZ27" s="977"/>
      <c r="BA27" s="972"/>
      <c r="BB27" s="971"/>
      <c r="BC27" s="973"/>
      <c r="BD27" s="973"/>
      <c r="BE27" s="855"/>
      <c r="BF27" s="975"/>
      <c r="BG27" s="975"/>
      <c r="BH27" s="971"/>
      <c r="BI27" s="970"/>
      <c r="BJ27" s="971"/>
      <c r="BK27" s="971"/>
      <c r="BL27" s="977"/>
      <c r="BM27" s="972"/>
      <c r="BN27" s="971"/>
      <c r="BO27" s="973"/>
      <c r="BP27" s="973"/>
      <c r="BQ27" s="855"/>
      <c r="BR27" s="975"/>
      <c r="BS27" s="975"/>
      <c r="BT27" s="978"/>
      <c r="BU27" s="978"/>
      <c r="BV27" s="978">
        <v>0.03</v>
      </c>
      <c r="BW27" s="978">
        <f t="shared" si="12"/>
        <v>-5.259050387807801E-2</v>
      </c>
    </row>
    <row r="28" spans="1:75" hidden="1">
      <c r="A28" s="969">
        <v>2606</v>
      </c>
      <c r="B28" s="968" t="s">
        <v>14</v>
      </c>
      <c r="C28" s="969" t="s">
        <v>831</v>
      </c>
      <c r="D28" s="981" t="s">
        <v>210</v>
      </c>
      <c r="E28" s="955"/>
      <c r="F28" s="955"/>
      <c r="G28" s="955" t="str">
        <f>IFERROR(VLOOKUP(D28,[3]전용!E:J,6,0),"")</f>
        <v/>
      </c>
      <c r="H28" s="860">
        <v>39888.888888888891</v>
      </c>
      <c r="I28" s="955">
        <v>5</v>
      </c>
      <c r="J28" s="955" t="s">
        <v>286</v>
      </c>
      <c r="K28" s="955">
        <v>24</v>
      </c>
      <c r="L28" s="970">
        <v>849</v>
      </c>
      <c r="M28" s="971">
        <f t="shared" si="0"/>
        <v>50940</v>
      </c>
      <c r="N28" s="855">
        <v>0.15</v>
      </c>
      <c r="O28" s="855"/>
      <c r="P28" s="970">
        <v>849</v>
      </c>
      <c r="Q28" s="970">
        <f t="shared" si="1"/>
        <v>0</v>
      </c>
      <c r="R28" s="971">
        <f t="shared" si="2"/>
        <v>50940</v>
      </c>
      <c r="S28" s="856">
        <f t="shared" si="13"/>
        <v>0.10151141437946888</v>
      </c>
      <c r="T28" s="971"/>
      <c r="U28" s="971"/>
      <c r="V28" s="976">
        <v>3</v>
      </c>
      <c r="W28" s="971">
        <f t="shared" si="3"/>
        <v>1273.5</v>
      </c>
      <c r="X28" s="971">
        <f t="shared" si="14"/>
        <v>49666.5</v>
      </c>
      <c r="Y28" s="856">
        <f t="shared" si="15"/>
        <v>-2.5000000000000022E-2</v>
      </c>
      <c r="Z28" s="861">
        <f t="shared" si="16"/>
        <v>1.2451211699164344</v>
      </c>
      <c r="AA28" s="856">
        <v>8.901141437946887E-2</v>
      </c>
      <c r="AB28" s="856">
        <v>9.8248975892912566E-2</v>
      </c>
      <c r="AC28" s="970">
        <f t="shared" si="4"/>
        <v>849</v>
      </c>
      <c r="AD28" s="970"/>
      <c r="AE28" s="970">
        <f t="shared" si="22"/>
        <v>33.96</v>
      </c>
      <c r="AF28" s="971">
        <f t="shared" si="18"/>
        <v>50940</v>
      </c>
      <c r="AG28" s="861">
        <f t="shared" si="19"/>
        <v>0</v>
      </c>
      <c r="AH28" s="576">
        <v>0</v>
      </c>
      <c r="AI28" s="856">
        <f t="shared" si="21"/>
        <v>7.6511414379468859E-2</v>
      </c>
      <c r="AJ28" s="859">
        <v>0</v>
      </c>
      <c r="AK28" s="583">
        <v>3</v>
      </c>
      <c r="AL28" s="971">
        <f t="shared" si="20"/>
        <v>1273.5</v>
      </c>
      <c r="AM28" s="971">
        <f t="shared" si="6"/>
        <v>49666.5</v>
      </c>
      <c r="AN28" s="856">
        <f t="shared" si="7"/>
        <v>-2.5000000000000022E-2</v>
      </c>
      <c r="AO28" s="857">
        <f t="shared" si="8"/>
        <v>1.2451211699164344</v>
      </c>
      <c r="AP28" s="973">
        <f t="shared" si="9"/>
        <v>0</v>
      </c>
      <c r="AQ28" s="855">
        <f t="shared" si="10"/>
        <v>0</v>
      </c>
      <c r="AR28" s="974">
        <f t="shared" si="23"/>
        <v>8.901141437946887E-2</v>
      </c>
      <c r="AS28" s="975"/>
      <c r="AT28" s="976"/>
      <c r="AU28" s="971"/>
      <c r="AV28" s="976"/>
      <c r="AW28" s="970"/>
      <c r="AX28" s="971"/>
      <c r="AY28" s="971"/>
      <c r="AZ28" s="977"/>
      <c r="BA28" s="972"/>
      <c r="BB28" s="971"/>
      <c r="BC28" s="973"/>
      <c r="BD28" s="973"/>
      <c r="BE28" s="855"/>
      <c r="BF28" s="975"/>
      <c r="BG28" s="975"/>
      <c r="BH28" s="971"/>
      <c r="BI28" s="970"/>
      <c r="BJ28" s="971"/>
      <c r="BK28" s="971"/>
      <c r="BL28" s="977"/>
      <c r="BM28" s="972"/>
      <c r="BN28" s="971"/>
      <c r="BO28" s="973"/>
      <c r="BP28" s="973"/>
      <c r="BQ28" s="855"/>
      <c r="BR28" s="975"/>
      <c r="BS28" s="975"/>
      <c r="BT28" s="978"/>
      <c r="BU28" s="978"/>
      <c r="BV28" s="978">
        <v>9.155992393912106E-2</v>
      </c>
      <c r="BW28" s="978">
        <f t="shared" si="12"/>
        <v>8.901141437946887E-2</v>
      </c>
    </row>
    <row r="29" spans="1:75" hidden="1">
      <c r="A29" s="980">
        <v>2606</v>
      </c>
      <c r="B29" s="979" t="s">
        <v>14</v>
      </c>
      <c r="C29" s="982" t="s">
        <v>831</v>
      </c>
      <c r="D29" s="983" t="s">
        <v>908</v>
      </c>
      <c r="E29" s="955"/>
      <c r="F29" s="955"/>
      <c r="G29" s="955" t="str">
        <f>IFERROR(VLOOKUP(D29,[3]전용!E:J,6,0),"")</f>
        <v/>
      </c>
      <c r="H29" s="860">
        <v>39888.888888888891</v>
      </c>
      <c r="I29" s="955">
        <v>6</v>
      </c>
      <c r="J29" s="955" t="s">
        <v>286</v>
      </c>
      <c r="K29" s="955">
        <v>24</v>
      </c>
      <c r="L29" s="970">
        <v>749</v>
      </c>
      <c r="M29" s="971">
        <f t="shared" si="0"/>
        <v>53928</v>
      </c>
      <c r="N29" s="855">
        <v>0.15</v>
      </c>
      <c r="O29" s="855"/>
      <c r="P29" s="970">
        <v>749</v>
      </c>
      <c r="Q29" s="970">
        <f t="shared" si="1"/>
        <v>0</v>
      </c>
      <c r="R29" s="971">
        <f t="shared" si="2"/>
        <v>53928</v>
      </c>
      <c r="S29" s="856">
        <f t="shared" si="13"/>
        <v>9.9428081046135555E-2</v>
      </c>
      <c r="T29" s="971"/>
      <c r="U29" s="971"/>
      <c r="V29" s="976">
        <v>3</v>
      </c>
      <c r="W29" s="971">
        <f t="shared" si="3"/>
        <v>1123.5</v>
      </c>
      <c r="X29" s="971">
        <f t="shared" si="14"/>
        <v>52804.5</v>
      </c>
      <c r="Y29" s="856">
        <f t="shared" si="15"/>
        <v>-2.083333333333337E-2</v>
      </c>
      <c r="Z29" s="861">
        <f t="shared" si="16"/>
        <v>1.3237896935933147</v>
      </c>
      <c r="AA29" s="856">
        <v>8.901141437946887E-2</v>
      </c>
      <c r="AB29" s="856">
        <v>9.8248975892912566E-2</v>
      </c>
      <c r="AC29" s="970">
        <f t="shared" si="4"/>
        <v>749</v>
      </c>
      <c r="AD29" s="970"/>
      <c r="AE29" s="970">
        <f t="shared" si="22"/>
        <v>29.96</v>
      </c>
      <c r="AF29" s="971">
        <f t="shared" si="18"/>
        <v>53928</v>
      </c>
      <c r="AG29" s="861">
        <f t="shared" si="19"/>
        <v>0</v>
      </c>
      <c r="AH29" s="576">
        <v>0</v>
      </c>
      <c r="AI29" s="856">
        <f t="shared" si="21"/>
        <v>7.8594747712802185E-2</v>
      </c>
      <c r="AJ29" s="859">
        <v>0</v>
      </c>
      <c r="AK29" s="583">
        <v>3</v>
      </c>
      <c r="AL29" s="971">
        <f t="shared" si="20"/>
        <v>1123.5</v>
      </c>
      <c r="AM29" s="971">
        <f t="shared" si="6"/>
        <v>52804.5</v>
      </c>
      <c r="AN29" s="856">
        <f t="shared" si="7"/>
        <v>-2.083333333333337E-2</v>
      </c>
      <c r="AO29" s="857">
        <f t="shared" si="8"/>
        <v>1.3237896935933147</v>
      </c>
      <c r="AP29" s="973">
        <f t="shared" si="9"/>
        <v>0</v>
      </c>
      <c r="AQ29" s="855">
        <f t="shared" si="10"/>
        <v>0</v>
      </c>
      <c r="AR29" s="974">
        <f t="shared" si="23"/>
        <v>8.901141437946887E-2</v>
      </c>
      <c r="AS29" s="975"/>
      <c r="AT29" s="976"/>
      <c r="AU29" s="971"/>
      <c r="AV29" s="976"/>
      <c r="AW29" s="970"/>
      <c r="AX29" s="971"/>
      <c r="AY29" s="971"/>
      <c r="AZ29" s="977"/>
      <c r="BA29" s="972"/>
      <c r="BB29" s="971"/>
      <c r="BC29" s="973"/>
      <c r="BD29" s="973"/>
      <c r="BE29" s="855"/>
      <c r="BF29" s="975"/>
      <c r="BG29" s="975"/>
      <c r="BH29" s="971"/>
      <c r="BI29" s="970"/>
      <c r="BJ29" s="971"/>
      <c r="BK29" s="971"/>
      <c r="BL29" s="977"/>
      <c r="BM29" s="972"/>
      <c r="BN29" s="971"/>
      <c r="BO29" s="973"/>
      <c r="BP29" s="973"/>
      <c r="BQ29" s="855"/>
      <c r="BR29" s="975"/>
      <c r="BS29" s="975"/>
      <c r="BT29" s="978"/>
      <c r="BU29" s="978"/>
      <c r="BV29" s="978">
        <v>9.155992393912106E-2</v>
      </c>
      <c r="BW29" s="978">
        <f t="shared" si="12"/>
        <v>8.901141437946887E-2</v>
      </c>
    </row>
    <row r="30" spans="1:75" hidden="1">
      <c r="A30" s="969">
        <v>2606</v>
      </c>
      <c r="B30" s="968" t="s">
        <v>14</v>
      </c>
      <c r="C30" s="969" t="s">
        <v>829</v>
      </c>
      <c r="D30" s="984" t="s">
        <v>17</v>
      </c>
      <c r="E30" s="955"/>
      <c r="F30" s="955"/>
      <c r="G30" s="955" t="str">
        <f>IFERROR(VLOOKUP(D30,[3]전용!E:J,6,0),"")</f>
        <v/>
      </c>
      <c r="H30" s="854">
        <v>24433.333333333332</v>
      </c>
      <c r="I30" s="955">
        <v>5</v>
      </c>
      <c r="J30" s="955" t="s">
        <v>286</v>
      </c>
      <c r="K30" s="955">
        <v>24</v>
      </c>
      <c r="L30" s="970">
        <v>549</v>
      </c>
      <c r="M30" s="971">
        <f t="shared" si="0"/>
        <v>32940</v>
      </c>
      <c r="N30" s="855">
        <v>0.23679272109605601</v>
      </c>
      <c r="O30" s="855"/>
      <c r="P30" s="970">
        <v>549</v>
      </c>
      <c r="Q30" s="970">
        <f t="shared" si="1"/>
        <v>0</v>
      </c>
      <c r="R30" s="971">
        <f t="shared" si="2"/>
        <v>32940</v>
      </c>
      <c r="S30" s="856">
        <f t="shared" si="13"/>
        <v>1.5731780346312348E-2</v>
      </c>
      <c r="T30" s="971"/>
      <c r="U30" s="971"/>
      <c r="V30" s="972">
        <v>3</v>
      </c>
      <c r="W30" s="971">
        <f t="shared" si="3"/>
        <v>823.5</v>
      </c>
      <c r="X30" s="971">
        <f t="shared" si="14"/>
        <v>32116.5</v>
      </c>
      <c r="Y30" s="858">
        <f t="shared" si="15"/>
        <v>-2.5000000000000022E-2</v>
      </c>
      <c r="Z30" s="857">
        <f t="shared" si="16"/>
        <v>1.3144542974079128</v>
      </c>
      <c r="AA30" s="856">
        <v>3.2317803463123352E-3</v>
      </c>
      <c r="AB30" s="856">
        <v>0.1445131283735541</v>
      </c>
      <c r="AC30" s="970">
        <f t="shared" si="4"/>
        <v>599</v>
      </c>
      <c r="AD30" s="970">
        <v>50</v>
      </c>
      <c r="AE30" s="970">
        <f t="shared" si="22"/>
        <v>41.174999999999997</v>
      </c>
      <c r="AF30" s="971">
        <f t="shared" si="18"/>
        <v>35940</v>
      </c>
      <c r="AG30" s="857">
        <f t="shared" si="19"/>
        <v>9.1074681238615618E-2</v>
      </c>
      <c r="AH30" s="576">
        <v>0</v>
      </c>
      <c r="AI30" s="856">
        <f t="shared" si="21"/>
        <v>3.6269120965620134E-2</v>
      </c>
      <c r="AJ30" s="859">
        <v>0</v>
      </c>
      <c r="AK30" s="583">
        <v>3</v>
      </c>
      <c r="AL30" s="971">
        <f t="shared" si="20"/>
        <v>898.5</v>
      </c>
      <c r="AM30" s="971">
        <f t="shared" si="6"/>
        <v>35041.5</v>
      </c>
      <c r="AN30" s="858">
        <f t="shared" si="7"/>
        <v>-2.5000000000000022E-2</v>
      </c>
      <c r="AO30" s="857">
        <f t="shared" si="8"/>
        <v>1.4341678035470669</v>
      </c>
      <c r="AP30" s="973">
        <f t="shared" si="9"/>
        <v>2925</v>
      </c>
      <c r="AQ30" s="855">
        <f t="shared" si="10"/>
        <v>9.1074681238615618E-2</v>
      </c>
      <c r="AR30" s="974">
        <f t="shared" si="23"/>
        <v>4.8769120965620145E-2</v>
      </c>
      <c r="AS30" s="975"/>
      <c r="AT30" s="976"/>
      <c r="AU30" s="971"/>
      <c r="AV30" s="976"/>
      <c r="AW30" s="970"/>
      <c r="AX30" s="971"/>
      <c r="AY30" s="971"/>
      <c r="AZ30" s="977"/>
      <c r="BA30" s="972"/>
      <c r="BB30" s="971"/>
      <c r="BC30" s="973"/>
      <c r="BD30" s="973"/>
      <c r="BE30" s="855"/>
      <c r="BF30" s="975"/>
      <c r="BG30" s="975"/>
      <c r="BH30" s="971"/>
      <c r="BI30" s="970"/>
      <c r="BJ30" s="971"/>
      <c r="BK30" s="971"/>
      <c r="BL30" s="977"/>
      <c r="BM30" s="972"/>
      <c r="BN30" s="971"/>
      <c r="BO30" s="973"/>
      <c r="BP30" s="973"/>
      <c r="BQ30" s="855"/>
      <c r="BR30" s="975"/>
      <c r="BS30" s="975"/>
      <c r="BT30" s="978"/>
      <c r="BU30" s="978"/>
      <c r="BV30" s="978">
        <v>0.02</v>
      </c>
      <c r="BW30" s="978">
        <f t="shared" si="12"/>
        <v>3.2317803463123352E-3</v>
      </c>
    </row>
    <row r="31" spans="1:75" hidden="1">
      <c r="A31" s="980">
        <v>2606</v>
      </c>
      <c r="B31" s="979" t="s">
        <v>14</v>
      </c>
      <c r="C31" s="980" t="s">
        <v>829</v>
      </c>
      <c r="D31" s="985" t="s">
        <v>17</v>
      </c>
      <c r="E31" s="955"/>
      <c r="F31" s="955"/>
      <c r="G31" s="955" t="str">
        <f>IFERROR(VLOOKUP(D31,[3]전용!E:J,6,0),"")</f>
        <v/>
      </c>
      <c r="H31" s="854">
        <v>24433.333333333332</v>
      </c>
      <c r="I31" s="955">
        <v>6</v>
      </c>
      <c r="J31" s="955" t="s">
        <v>286</v>
      </c>
      <c r="K31" s="955">
        <v>24</v>
      </c>
      <c r="L31" s="970">
        <v>449</v>
      </c>
      <c r="M31" s="971">
        <f t="shared" si="0"/>
        <v>32328</v>
      </c>
      <c r="N31" s="855">
        <v>0.18308536197667591</v>
      </c>
      <c r="O31" s="855"/>
      <c r="P31" s="970">
        <v>449</v>
      </c>
      <c r="Q31" s="970">
        <f t="shared" si="1"/>
        <v>0</v>
      </c>
      <c r="R31" s="971">
        <f t="shared" si="2"/>
        <v>32328</v>
      </c>
      <c r="S31" s="856">
        <f t="shared" si="13"/>
        <v>1.364844701297902E-2</v>
      </c>
      <c r="T31" s="971"/>
      <c r="U31" s="971"/>
      <c r="V31" s="972">
        <v>3</v>
      </c>
      <c r="W31" s="971">
        <f t="shared" si="3"/>
        <v>673.5</v>
      </c>
      <c r="X31" s="971">
        <f t="shared" si="14"/>
        <v>31654.5</v>
      </c>
      <c r="Y31" s="858">
        <f t="shared" si="15"/>
        <v>-2.083333333333337E-2</v>
      </c>
      <c r="Z31" s="857">
        <f t="shared" si="16"/>
        <v>1.2955457025920873</v>
      </c>
      <c r="AA31" s="856">
        <v>3.2317803463123352E-3</v>
      </c>
      <c r="AB31" s="856">
        <v>0.1445131283735541</v>
      </c>
      <c r="AC31" s="970">
        <f t="shared" si="4"/>
        <v>499</v>
      </c>
      <c r="AD31" s="970">
        <v>50</v>
      </c>
      <c r="AE31" s="970">
        <f t="shared" si="22"/>
        <v>33.674999999999997</v>
      </c>
      <c r="AF31" s="971">
        <f t="shared" si="18"/>
        <v>35928</v>
      </c>
      <c r="AG31" s="857">
        <f t="shared" si="19"/>
        <v>0.11135857461024501</v>
      </c>
      <c r="AH31" s="576">
        <v>0</v>
      </c>
      <c r="AI31" s="856">
        <f t="shared" si="21"/>
        <v>4.8494400984768156E-2</v>
      </c>
      <c r="AJ31" s="859">
        <v>0</v>
      </c>
      <c r="AK31" s="583">
        <v>3</v>
      </c>
      <c r="AL31" s="971">
        <f t="shared" si="20"/>
        <v>748.5</v>
      </c>
      <c r="AM31" s="971">
        <f t="shared" si="6"/>
        <v>35179.5</v>
      </c>
      <c r="AN31" s="858">
        <f t="shared" si="7"/>
        <v>-2.083333333333337E-2</v>
      </c>
      <c r="AO31" s="857">
        <f t="shared" si="8"/>
        <v>1.4398158253751705</v>
      </c>
      <c r="AP31" s="973">
        <f t="shared" si="9"/>
        <v>3525</v>
      </c>
      <c r="AQ31" s="855">
        <f t="shared" si="10"/>
        <v>0.11135857461024501</v>
      </c>
      <c r="AR31" s="974">
        <f t="shared" si="23"/>
        <v>5.8911067651434841E-2</v>
      </c>
      <c r="AS31" s="975"/>
      <c r="AT31" s="976"/>
      <c r="AU31" s="971"/>
      <c r="AV31" s="976"/>
      <c r="AW31" s="970"/>
      <c r="AX31" s="971"/>
      <c r="AY31" s="971"/>
      <c r="AZ31" s="977"/>
      <c r="BA31" s="972"/>
      <c r="BB31" s="971"/>
      <c r="BC31" s="973"/>
      <c r="BD31" s="973"/>
      <c r="BE31" s="855"/>
      <c r="BF31" s="975"/>
      <c r="BG31" s="975"/>
      <c r="BH31" s="971"/>
      <c r="BI31" s="970"/>
      <c r="BJ31" s="971"/>
      <c r="BK31" s="971"/>
      <c r="BL31" s="977"/>
      <c r="BM31" s="972"/>
      <c r="BN31" s="971"/>
      <c r="BO31" s="973"/>
      <c r="BP31" s="973"/>
      <c r="BQ31" s="855"/>
      <c r="BR31" s="975"/>
      <c r="BS31" s="975"/>
      <c r="BT31" s="978"/>
      <c r="BU31" s="978"/>
      <c r="BV31" s="978">
        <v>0.02</v>
      </c>
      <c r="BW31" s="978">
        <f t="shared" si="12"/>
        <v>3.2317803463123352E-3</v>
      </c>
    </row>
    <row r="32" spans="1:75">
      <c r="A32" s="969">
        <v>2606</v>
      </c>
      <c r="B32" s="968" t="s">
        <v>14</v>
      </c>
      <c r="C32" s="969" t="s">
        <v>833</v>
      </c>
      <c r="D32" s="990" t="s">
        <v>67</v>
      </c>
      <c r="E32" s="955"/>
      <c r="F32" s="955"/>
      <c r="G32" s="955" t="str">
        <f>IFERROR(VLOOKUP(D32,[3]전용!E:J,6,0),"")</f>
        <v/>
      </c>
      <c r="H32" s="854">
        <v>22211.111111111109</v>
      </c>
      <c r="I32" s="955">
        <v>5</v>
      </c>
      <c r="J32" s="955" t="s">
        <v>286</v>
      </c>
      <c r="K32" s="955">
        <v>24</v>
      </c>
      <c r="L32" s="970">
        <v>499</v>
      </c>
      <c r="M32" s="971">
        <f t="shared" si="0"/>
        <v>29940</v>
      </c>
      <c r="N32" s="855">
        <v>0.20587030248322399</v>
      </c>
      <c r="O32" s="855"/>
      <c r="P32" s="970">
        <v>499</v>
      </c>
      <c r="Q32" s="970">
        <f t="shared" si="1"/>
        <v>0</v>
      </c>
      <c r="R32" s="971">
        <f t="shared" si="2"/>
        <v>29940</v>
      </c>
      <c r="S32" s="856">
        <f t="shared" si="13"/>
        <v>-1.585122083796368E-2</v>
      </c>
      <c r="T32" s="971"/>
      <c r="U32" s="971"/>
      <c r="V32" s="972">
        <v>0</v>
      </c>
      <c r="W32" s="971">
        <f t="shared" si="3"/>
        <v>0</v>
      </c>
      <c r="X32" s="971">
        <f t="shared" si="14"/>
        <v>29940</v>
      </c>
      <c r="Y32" s="858">
        <f t="shared" si="15"/>
        <v>0</v>
      </c>
      <c r="Z32" s="857">
        <f t="shared" si="16"/>
        <v>1.3479739869934968</v>
      </c>
      <c r="AA32" s="856">
        <v>-1.585122083796368E-2</v>
      </c>
      <c r="AB32" s="856">
        <v>5.2807378388244369E-2</v>
      </c>
      <c r="AC32" s="1041">
        <v>399</v>
      </c>
      <c r="AD32" s="970">
        <f>AC32-P32</f>
        <v>-100</v>
      </c>
      <c r="AE32" s="970">
        <f t="shared" si="22"/>
        <v>49.900000000000006</v>
      </c>
      <c r="AF32" s="971">
        <f t="shared" si="18"/>
        <v>23940</v>
      </c>
      <c r="AG32" s="857">
        <f t="shared" si="19"/>
        <v>-0.20040080160320639</v>
      </c>
      <c r="AH32" s="576">
        <v>0</v>
      </c>
      <c r="AI32" s="856">
        <v>0.193</v>
      </c>
      <c r="AJ32" s="859">
        <v>0</v>
      </c>
      <c r="AK32" s="583">
        <v>3</v>
      </c>
      <c r="AL32" s="971">
        <f t="shared" si="20"/>
        <v>598.5</v>
      </c>
      <c r="AM32" s="971">
        <f t="shared" si="6"/>
        <v>23341.5</v>
      </c>
      <c r="AN32" s="858">
        <f t="shared" si="7"/>
        <v>-2.5000000000000022E-2</v>
      </c>
      <c r="AO32" s="857">
        <f t="shared" si="8"/>
        <v>1.0508929464732366</v>
      </c>
      <c r="AP32" s="973">
        <f t="shared" si="9"/>
        <v>-6598.5</v>
      </c>
      <c r="AQ32" s="855">
        <f t="shared" si="10"/>
        <v>-0.2203907815631263</v>
      </c>
      <c r="AR32" s="1042">
        <f>IFERROR(AA32-AG32*0.5,"")+5%</f>
        <v>0.13434917996363951</v>
      </c>
      <c r="AS32" s="975"/>
      <c r="AT32" s="976"/>
      <c r="AU32" s="971"/>
      <c r="AV32" s="976"/>
      <c r="AW32" s="970"/>
      <c r="AX32" s="971"/>
      <c r="AY32" s="971"/>
      <c r="AZ32" s="977"/>
      <c r="BA32" s="972"/>
      <c r="BB32" s="971"/>
      <c r="BC32" s="973"/>
      <c r="BD32" s="973"/>
      <c r="BE32" s="855"/>
      <c r="BF32" s="975"/>
      <c r="BG32" s="975"/>
      <c r="BH32" s="971"/>
      <c r="BI32" s="970"/>
      <c r="BJ32" s="971"/>
      <c r="BK32" s="971"/>
      <c r="BL32" s="977"/>
      <c r="BM32" s="972"/>
      <c r="BN32" s="971"/>
      <c r="BO32" s="973"/>
      <c r="BP32" s="973"/>
      <c r="BQ32" s="855"/>
      <c r="BR32" s="975"/>
      <c r="BS32" s="975"/>
      <c r="BT32" s="978"/>
      <c r="BU32" s="978"/>
      <c r="BV32" s="978">
        <v>0.02</v>
      </c>
      <c r="BW32" s="978">
        <f t="shared" si="12"/>
        <v>-1.585122083796368E-2</v>
      </c>
    </row>
    <row r="33" spans="1:75">
      <c r="A33" s="980">
        <v>2606</v>
      </c>
      <c r="B33" s="979" t="s">
        <v>14</v>
      </c>
      <c r="C33" s="980" t="s">
        <v>833</v>
      </c>
      <c r="D33" s="991" t="s">
        <v>67</v>
      </c>
      <c r="E33" s="955"/>
      <c r="F33" s="955"/>
      <c r="G33" s="955" t="str">
        <f>IFERROR(VLOOKUP(D33,[3]전용!E:J,6,0),"")</f>
        <v/>
      </c>
      <c r="H33" s="854">
        <v>22211.111111111109</v>
      </c>
      <c r="I33" s="955">
        <v>6</v>
      </c>
      <c r="J33" s="955" t="s">
        <v>286</v>
      </c>
      <c r="K33" s="955">
        <v>24</v>
      </c>
      <c r="L33" s="970">
        <v>399</v>
      </c>
      <c r="M33" s="971">
        <f t="shared" si="0"/>
        <v>28728</v>
      </c>
      <c r="N33" s="855">
        <v>0.14696010831387615</v>
      </c>
      <c r="O33" s="855"/>
      <c r="P33" s="970">
        <v>399</v>
      </c>
      <c r="Q33" s="970">
        <f t="shared" si="1"/>
        <v>0</v>
      </c>
      <c r="R33" s="971">
        <f t="shared" si="2"/>
        <v>28728</v>
      </c>
      <c r="S33" s="856">
        <f t="shared" si="13"/>
        <v>-1.585122083796368E-2</v>
      </c>
      <c r="T33" s="971"/>
      <c r="U33" s="971"/>
      <c r="V33" s="972">
        <v>0</v>
      </c>
      <c r="W33" s="971">
        <f t="shared" si="3"/>
        <v>0</v>
      </c>
      <c r="X33" s="971">
        <f t="shared" si="14"/>
        <v>28728</v>
      </c>
      <c r="Y33" s="858">
        <f t="shared" si="15"/>
        <v>0</v>
      </c>
      <c r="Z33" s="857">
        <f t="shared" si="16"/>
        <v>1.2934067033516758</v>
      </c>
      <c r="AA33" s="856">
        <v>-1.585122083796368E-2</v>
      </c>
      <c r="AB33" s="856">
        <v>5.2807378388244369E-2</v>
      </c>
      <c r="AC33" s="1041">
        <v>349</v>
      </c>
      <c r="AD33" s="970">
        <f>AC33-P33</f>
        <v>-50</v>
      </c>
      <c r="AE33" s="970">
        <f t="shared" si="22"/>
        <v>39.900000000000006</v>
      </c>
      <c r="AF33" s="971">
        <f t="shared" si="18"/>
        <v>25128</v>
      </c>
      <c r="AG33" s="857">
        <f t="shared" si="19"/>
        <v>-0.12531328320802004</v>
      </c>
      <c r="AH33" s="576">
        <v>0</v>
      </c>
      <c r="AI33" s="856">
        <v>0.13</v>
      </c>
      <c r="AJ33" s="859">
        <v>0</v>
      </c>
      <c r="AK33" s="583">
        <v>3</v>
      </c>
      <c r="AL33" s="971">
        <f t="shared" si="20"/>
        <v>523.5</v>
      </c>
      <c r="AM33" s="971">
        <f t="shared" si="6"/>
        <v>24604.5</v>
      </c>
      <c r="AN33" s="858">
        <f t="shared" si="7"/>
        <v>-2.083333333333337E-2</v>
      </c>
      <c r="AO33" s="857">
        <f t="shared" si="8"/>
        <v>1.1077563781890947</v>
      </c>
      <c r="AP33" s="973">
        <f t="shared" si="9"/>
        <v>-4123.5</v>
      </c>
      <c r="AQ33" s="855">
        <f t="shared" si="10"/>
        <v>-0.14353592314118635</v>
      </c>
      <c r="AR33" s="1042">
        <f>IFERROR(AA33-AG33*0.5,"")+5%</f>
        <v>9.6805420766046341E-2</v>
      </c>
      <c r="AS33" s="975"/>
      <c r="AT33" s="976"/>
      <c r="AU33" s="971"/>
      <c r="AV33" s="976"/>
      <c r="AW33" s="970"/>
      <c r="AX33" s="971"/>
      <c r="AY33" s="971"/>
      <c r="AZ33" s="977"/>
      <c r="BA33" s="972"/>
      <c r="BB33" s="971"/>
      <c r="BC33" s="973"/>
      <c r="BD33" s="973"/>
      <c r="BE33" s="855"/>
      <c r="BF33" s="975"/>
      <c r="BG33" s="975"/>
      <c r="BH33" s="971"/>
      <c r="BI33" s="970"/>
      <c r="BJ33" s="971"/>
      <c r="BK33" s="971"/>
      <c r="BL33" s="977"/>
      <c r="BM33" s="972"/>
      <c r="BN33" s="971"/>
      <c r="BO33" s="973"/>
      <c r="BP33" s="973"/>
      <c r="BQ33" s="855"/>
      <c r="BR33" s="975"/>
      <c r="BS33" s="975"/>
      <c r="BT33" s="978"/>
      <c r="BU33" s="978"/>
      <c r="BV33" s="978">
        <v>0.02</v>
      </c>
      <c r="BW33" s="978">
        <f t="shared" si="12"/>
        <v>-1.585122083796368E-2</v>
      </c>
    </row>
    <row r="34" spans="1:75" hidden="1">
      <c r="A34" s="969">
        <v>2606</v>
      </c>
      <c r="B34" s="968" t="s">
        <v>291</v>
      </c>
      <c r="C34" s="969" t="s">
        <v>829</v>
      </c>
      <c r="D34" s="984" t="s">
        <v>74</v>
      </c>
      <c r="E34" s="955" t="s">
        <v>74</v>
      </c>
      <c r="F34" s="955"/>
      <c r="G34" s="955" t="str">
        <f>IFERROR(VLOOKUP(D34,[3]전용!E:J,6,0),"")</f>
        <v/>
      </c>
      <c r="H34" s="854">
        <v>38777.777777777774</v>
      </c>
      <c r="I34" s="955">
        <v>5</v>
      </c>
      <c r="J34" s="955" t="s">
        <v>286</v>
      </c>
      <c r="K34" s="955">
        <v>12</v>
      </c>
      <c r="L34" s="970">
        <v>899</v>
      </c>
      <c r="M34" s="971">
        <f t="shared" si="0"/>
        <v>53940</v>
      </c>
      <c r="N34" s="855">
        <v>0.21724137931034487</v>
      </c>
      <c r="O34" s="855"/>
      <c r="P34" s="970">
        <v>899</v>
      </c>
      <c r="Q34" s="970">
        <f t="shared" si="1"/>
        <v>0</v>
      </c>
      <c r="R34" s="971">
        <f t="shared" si="2"/>
        <v>53940</v>
      </c>
      <c r="S34" s="856">
        <f t="shared" si="13"/>
        <v>0.38496717655082152</v>
      </c>
      <c r="T34" s="971"/>
      <c r="U34" s="971"/>
      <c r="V34" s="972">
        <v>12</v>
      </c>
      <c r="W34" s="971">
        <f t="shared" si="3"/>
        <v>5394</v>
      </c>
      <c r="X34" s="971">
        <f t="shared" si="14"/>
        <v>48546</v>
      </c>
      <c r="Y34" s="858">
        <f t="shared" si="15"/>
        <v>-9.9999999999999978E-2</v>
      </c>
      <c r="Z34" s="857">
        <f t="shared" si="16"/>
        <v>1.2519025787965616</v>
      </c>
      <c r="AA34" s="856">
        <v>0.33496717655082153</v>
      </c>
      <c r="AB34" s="856">
        <v>7.2829246114248694E-2</v>
      </c>
      <c r="AC34" s="970">
        <f t="shared" si="4"/>
        <v>899</v>
      </c>
      <c r="AD34" s="970"/>
      <c r="AE34" s="970">
        <f t="shared" si="22"/>
        <v>0</v>
      </c>
      <c r="AF34" s="971">
        <f t="shared" si="18"/>
        <v>53940</v>
      </c>
      <c r="AG34" s="857">
        <f t="shared" si="19"/>
        <v>0</v>
      </c>
      <c r="AH34" s="576">
        <v>0</v>
      </c>
      <c r="AI34" s="856">
        <f t="shared" si="21"/>
        <v>0.28496717655082154</v>
      </c>
      <c r="AJ34" s="859">
        <v>0</v>
      </c>
      <c r="AK34" s="583">
        <v>12</v>
      </c>
      <c r="AL34" s="971">
        <f t="shared" si="20"/>
        <v>5394</v>
      </c>
      <c r="AM34" s="971">
        <f t="shared" si="6"/>
        <v>48546</v>
      </c>
      <c r="AN34" s="858">
        <f t="shared" si="7"/>
        <v>-9.9999999999999978E-2</v>
      </c>
      <c r="AO34" s="857">
        <f t="shared" si="8"/>
        <v>1.2519025787965616</v>
      </c>
      <c r="AP34" s="973">
        <f t="shared" si="9"/>
        <v>0</v>
      </c>
      <c r="AQ34" s="855">
        <f t="shared" si="10"/>
        <v>0</v>
      </c>
      <c r="AR34" s="974">
        <f t="shared" si="23"/>
        <v>0.33496717655082153</v>
      </c>
      <c r="AS34" s="975"/>
      <c r="AT34" s="976"/>
      <c r="AU34" s="971"/>
      <c r="AV34" s="976"/>
      <c r="AW34" s="970"/>
      <c r="AX34" s="971"/>
      <c r="AY34" s="971"/>
      <c r="AZ34" s="977"/>
      <c r="BA34" s="972"/>
      <c r="BB34" s="971"/>
      <c r="BC34" s="973"/>
      <c r="BD34" s="973"/>
      <c r="BE34" s="855"/>
      <c r="BF34" s="975"/>
      <c r="BG34" s="975"/>
      <c r="BH34" s="971"/>
      <c r="BI34" s="970"/>
      <c r="BJ34" s="971"/>
      <c r="BK34" s="971"/>
      <c r="BL34" s="977"/>
      <c r="BM34" s="972"/>
      <c r="BN34" s="971"/>
      <c r="BO34" s="973"/>
      <c r="BP34" s="973"/>
      <c r="BQ34" s="855"/>
      <c r="BR34" s="975"/>
      <c r="BS34" s="975"/>
      <c r="BT34" s="978"/>
      <c r="BU34" s="978"/>
      <c r="BV34" s="978">
        <v>0.23433963523597201</v>
      </c>
      <c r="BW34" s="978">
        <f t="shared" si="12"/>
        <v>0.29696717655082155</v>
      </c>
    </row>
    <row r="35" spans="1:75" hidden="1">
      <c r="A35" s="969">
        <v>2606</v>
      </c>
      <c r="B35" s="968" t="s">
        <v>291</v>
      </c>
      <c r="C35" s="969" t="s">
        <v>829</v>
      </c>
      <c r="D35" s="969" t="s">
        <v>74</v>
      </c>
      <c r="E35" s="955" t="s">
        <v>74</v>
      </c>
      <c r="F35" s="955"/>
      <c r="G35" s="955" t="str">
        <f>IFERROR(VLOOKUP(D35,[3]전용!E:J,6,0),"")</f>
        <v/>
      </c>
      <c r="H35" s="854">
        <v>38777.777777777774</v>
      </c>
      <c r="I35" s="955">
        <v>5</v>
      </c>
      <c r="J35" s="955" t="s">
        <v>288</v>
      </c>
      <c r="K35" s="955">
        <v>12</v>
      </c>
      <c r="L35" s="970">
        <v>849</v>
      </c>
      <c r="M35" s="971">
        <f t="shared" si="0"/>
        <v>50940</v>
      </c>
      <c r="N35" s="855">
        <v>0.21724137931034487</v>
      </c>
      <c r="O35" s="855"/>
      <c r="P35" s="970">
        <v>849</v>
      </c>
      <c r="Q35" s="970">
        <f t="shared" si="1"/>
        <v>0</v>
      </c>
      <c r="R35" s="971">
        <f t="shared" si="2"/>
        <v>50940</v>
      </c>
      <c r="S35" s="856">
        <f t="shared" si="13"/>
        <v>0.38496717655082152</v>
      </c>
      <c r="T35" s="971"/>
      <c r="U35" s="971"/>
      <c r="V35" s="972">
        <v>12</v>
      </c>
      <c r="W35" s="971">
        <f t="shared" si="3"/>
        <v>5094</v>
      </c>
      <c r="X35" s="971">
        <f t="shared" si="14"/>
        <v>45846</v>
      </c>
      <c r="Y35" s="858">
        <f t="shared" si="15"/>
        <v>-9.9999999999999978E-2</v>
      </c>
      <c r="Z35" s="857">
        <f t="shared" si="16"/>
        <v>1.182275071633238</v>
      </c>
      <c r="AA35" s="856">
        <v>0.33496717655082153</v>
      </c>
      <c r="AB35" s="856">
        <v>7.2829246114248694E-2</v>
      </c>
      <c r="AC35" s="970">
        <f t="shared" si="4"/>
        <v>849</v>
      </c>
      <c r="AD35" s="970"/>
      <c r="AE35" s="970">
        <f t="shared" si="22"/>
        <v>0</v>
      </c>
      <c r="AF35" s="971">
        <f t="shared" si="18"/>
        <v>50940</v>
      </c>
      <c r="AG35" s="857">
        <f t="shared" si="19"/>
        <v>0</v>
      </c>
      <c r="AH35" s="576">
        <v>0</v>
      </c>
      <c r="AI35" s="856">
        <f t="shared" si="21"/>
        <v>0.28496717655082154</v>
      </c>
      <c r="AJ35" s="859">
        <v>0</v>
      </c>
      <c r="AK35" s="583">
        <v>12</v>
      </c>
      <c r="AL35" s="971">
        <f t="shared" si="20"/>
        <v>5094</v>
      </c>
      <c r="AM35" s="971">
        <f t="shared" si="6"/>
        <v>45846</v>
      </c>
      <c r="AN35" s="858">
        <f t="shared" si="7"/>
        <v>-9.9999999999999978E-2</v>
      </c>
      <c r="AO35" s="857">
        <f t="shared" si="8"/>
        <v>1.182275071633238</v>
      </c>
      <c r="AP35" s="973">
        <f t="shared" si="9"/>
        <v>0</v>
      </c>
      <c r="AQ35" s="855">
        <f t="shared" si="10"/>
        <v>0</v>
      </c>
      <c r="AR35" s="974">
        <f t="shared" si="23"/>
        <v>0.33496717655082153</v>
      </c>
      <c r="AS35" s="975"/>
      <c r="AT35" s="976"/>
      <c r="AU35" s="971"/>
      <c r="AV35" s="976"/>
      <c r="AW35" s="970"/>
      <c r="AX35" s="971"/>
      <c r="AY35" s="971"/>
      <c r="AZ35" s="977"/>
      <c r="BA35" s="972"/>
      <c r="BB35" s="971"/>
      <c r="BC35" s="973"/>
      <c r="BD35" s="973"/>
      <c r="BE35" s="855"/>
      <c r="BF35" s="975"/>
      <c r="BG35" s="975"/>
      <c r="BH35" s="971"/>
      <c r="BI35" s="970"/>
      <c r="BJ35" s="971"/>
      <c r="BK35" s="971"/>
      <c r="BL35" s="977"/>
      <c r="BM35" s="972"/>
      <c r="BN35" s="971"/>
      <c r="BO35" s="973"/>
      <c r="BP35" s="973"/>
      <c r="BQ35" s="855"/>
      <c r="BR35" s="975"/>
      <c r="BS35" s="975"/>
      <c r="BT35" s="978"/>
      <c r="BU35" s="978"/>
      <c r="BV35" s="978">
        <v>0.23433963523597201</v>
      </c>
      <c r="BW35" s="978">
        <f t="shared" si="12"/>
        <v>0.29696717655082155</v>
      </c>
    </row>
    <row r="36" spans="1:75" hidden="1">
      <c r="A36" s="969">
        <v>2606</v>
      </c>
      <c r="B36" s="968" t="s">
        <v>291</v>
      </c>
      <c r="C36" s="969" t="s">
        <v>829</v>
      </c>
      <c r="D36" s="969" t="s">
        <v>74</v>
      </c>
      <c r="E36" s="955" t="s">
        <v>74</v>
      </c>
      <c r="F36" s="955"/>
      <c r="G36" s="955" t="str">
        <f>IFERROR(VLOOKUP(D36,[3]전용!E:J,6,0),"")</f>
        <v/>
      </c>
      <c r="H36" s="854">
        <v>38777.777777777774</v>
      </c>
      <c r="I36" s="955">
        <v>6</v>
      </c>
      <c r="J36" s="955" t="s">
        <v>286</v>
      </c>
      <c r="K36" s="955">
        <v>12</v>
      </c>
      <c r="L36" s="970">
        <v>799</v>
      </c>
      <c r="M36" s="971">
        <f t="shared" si="0"/>
        <v>57528</v>
      </c>
      <c r="N36" s="855">
        <v>0.25314990094651113</v>
      </c>
      <c r="O36" s="855"/>
      <c r="P36" s="970">
        <v>799</v>
      </c>
      <c r="Q36" s="970">
        <f t="shared" si="1"/>
        <v>0</v>
      </c>
      <c r="R36" s="971">
        <f t="shared" si="2"/>
        <v>57528</v>
      </c>
      <c r="S36" s="856">
        <f t="shared" si="13"/>
        <v>0.37663384321748822</v>
      </c>
      <c r="T36" s="971"/>
      <c r="U36" s="971"/>
      <c r="V36" s="972">
        <v>12</v>
      </c>
      <c r="W36" s="971">
        <f t="shared" si="3"/>
        <v>4794</v>
      </c>
      <c r="X36" s="971">
        <f t="shared" si="14"/>
        <v>52734</v>
      </c>
      <c r="Y36" s="858">
        <f t="shared" si="15"/>
        <v>-8.333333333333337E-2</v>
      </c>
      <c r="Z36" s="857">
        <f t="shared" si="16"/>
        <v>1.3599025787965617</v>
      </c>
      <c r="AA36" s="856">
        <v>0.33496717655082153</v>
      </c>
      <c r="AB36" s="856">
        <v>7.2829246114248694E-2</v>
      </c>
      <c r="AC36" s="970">
        <f t="shared" si="4"/>
        <v>799</v>
      </c>
      <c r="AD36" s="970"/>
      <c r="AE36" s="970">
        <f t="shared" si="22"/>
        <v>0</v>
      </c>
      <c r="AF36" s="971">
        <f t="shared" si="18"/>
        <v>57528</v>
      </c>
      <c r="AG36" s="857">
        <f t="shared" si="19"/>
        <v>0</v>
      </c>
      <c r="AH36" s="576">
        <v>0</v>
      </c>
      <c r="AI36" s="856">
        <f t="shared" si="21"/>
        <v>0.29330050988415485</v>
      </c>
      <c r="AJ36" s="859">
        <v>0</v>
      </c>
      <c r="AK36" s="583">
        <v>12</v>
      </c>
      <c r="AL36" s="971">
        <f t="shared" si="20"/>
        <v>4794</v>
      </c>
      <c r="AM36" s="971">
        <f t="shared" si="6"/>
        <v>52734</v>
      </c>
      <c r="AN36" s="858">
        <f t="shared" si="7"/>
        <v>-8.333333333333337E-2</v>
      </c>
      <c r="AO36" s="857">
        <f t="shared" si="8"/>
        <v>1.3599025787965617</v>
      </c>
      <c r="AP36" s="973">
        <f t="shared" si="9"/>
        <v>0</v>
      </c>
      <c r="AQ36" s="855">
        <f t="shared" si="10"/>
        <v>0</v>
      </c>
      <c r="AR36" s="974">
        <f t="shared" si="23"/>
        <v>0.33496717655082153</v>
      </c>
      <c r="AS36" s="975"/>
      <c r="AT36" s="976"/>
      <c r="AU36" s="971"/>
      <c r="AV36" s="976"/>
      <c r="AW36" s="970"/>
      <c r="AX36" s="971"/>
      <c r="AY36" s="971"/>
      <c r="AZ36" s="977"/>
      <c r="BA36" s="972"/>
      <c r="BB36" s="971"/>
      <c r="BC36" s="973"/>
      <c r="BD36" s="973"/>
      <c r="BE36" s="855"/>
      <c r="BF36" s="975"/>
      <c r="BG36" s="975"/>
      <c r="BH36" s="971"/>
      <c r="BI36" s="970"/>
      <c r="BJ36" s="971"/>
      <c r="BK36" s="971"/>
      <c r="BL36" s="977"/>
      <c r="BM36" s="972"/>
      <c r="BN36" s="971"/>
      <c r="BO36" s="973"/>
      <c r="BP36" s="973"/>
      <c r="BQ36" s="855"/>
      <c r="BR36" s="975"/>
      <c r="BS36" s="975"/>
      <c r="BT36" s="978"/>
      <c r="BU36" s="978"/>
      <c r="BV36" s="978">
        <v>0.23433963523597201</v>
      </c>
      <c r="BW36" s="978">
        <f t="shared" si="12"/>
        <v>0.29696717655082155</v>
      </c>
    </row>
    <row r="37" spans="1:75" hidden="1">
      <c r="A37" s="980">
        <v>2606</v>
      </c>
      <c r="B37" s="979" t="s">
        <v>291</v>
      </c>
      <c r="C37" s="980" t="s">
        <v>829</v>
      </c>
      <c r="D37" s="980" t="s">
        <v>74</v>
      </c>
      <c r="E37" s="955" t="s">
        <v>74</v>
      </c>
      <c r="F37" s="955"/>
      <c r="G37" s="955" t="str">
        <f>IFERROR(VLOOKUP(D37,[3]전용!E:J,6,0),"")</f>
        <v/>
      </c>
      <c r="H37" s="854">
        <v>38777.777777777774</v>
      </c>
      <c r="I37" s="955">
        <v>6</v>
      </c>
      <c r="J37" s="955" t="s">
        <v>288</v>
      </c>
      <c r="K37" s="955">
        <v>12</v>
      </c>
      <c r="L37" s="970">
        <v>749</v>
      </c>
      <c r="M37" s="971">
        <f t="shared" si="0"/>
        <v>53928</v>
      </c>
      <c r="N37" s="855">
        <v>0.26307178631051753</v>
      </c>
      <c r="O37" s="855"/>
      <c r="P37" s="970">
        <v>749</v>
      </c>
      <c r="Q37" s="970">
        <f t="shared" si="1"/>
        <v>0</v>
      </c>
      <c r="R37" s="971">
        <f t="shared" si="2"/>
        <v>53928</v>
      </c>
      <c r="S37" s="856">
        <f t="shared" si="13"/>
        <v>0.37663384321748822</v>
      </c>
      <c r="T37" s="971"/>
      <c r="U37" s="971"/>
      <c r="V37" s="972">
        <v>12</v>
      </c>
      <c r="W37" s="971">
        <f t="shared" si="3"/>
        <v>4494</v>
      </c>
      <c r="X37" s="971">
        <f t="shared" si="14"/>
        <v>49434</v>
      </c>
      <c r="Y37" s="858">
        <f t="shared" si="15"/>
        <v>-8.333333333333337E-2</v>
      </c>
      <c r="Z37" s="857">
        <f t="shared" si="16"/>
        <v>1.2748022922636104</v>
      </c>
      <c r="AA37" s="856">
        <v>0.33496717655082153</v>
      </c>
      <c r="AB37" s="856">
        <v>7.2829246114248694E-2</v>
      </c>
      <c r="AC37" s="970">
        <f t="shared" si="4"/>
        <v>749</v>
      </c>
      <c r="AD37" s="970"/>
      <c r="AE37" s="970">
        <f t="shared" si="22"/>
        <v>0</v>
      </c>
      <c r="AF37" s="971">
        <f t="shared" si="18"/>
        <v>53928</v>
      </c>
      <c r="AG37" s="857">
        <f t="shared" si="19"/>
        <v>0</v>
      </c>
      <c r="AH37" s="576">
        <v>0</v>
      </c>
      <c r="AI37" s="856">
        <f t="shared" si="21"/>
        <v>0.29330050988415485</v>
      </c>
      <c r="AJ37" s="859">
        <v>0</v>
      </c>
      <c r="AK37" s="583">
        <v>12</v>
      </c>
      <c r="AL37" s="971">
        <f t="shared" si="20"/>
        <v>4494</v>
      </c>
      <c r="AM37" s="971">
        <f t="shared" si="6"/>
        <v>49434</v>
      </c>
      <c r="AN37" s="858">
        <f t="shared" si="7"/>
        <v>-8.333333333333337E-2</v>
      </c>
      <c r="AO37" s="857">
        <f t="shared" si="8"/>
        <v>1.2748022922636104</v>
      </c>
      <c r="AP37" s="973">
        <f t="shared" si="9"/>
        <v>0</v>
      </c>
      <c r="AQ37" s="855">
        <f t="shared" si="10"/>
        <v>0</v>
      </c>
      <c r="AR37" s="974">
        <f t="shared" si="23"/>
        <v>0.33496717655082153</v>
      </c>
      <c r="AS37" s="975"/>
      <c r="AT37" s="976"/>
      <c r="AU37" s="971"/>
      <c r="AV37" s="976"/>
      <c r="AW37" s="970"/>
      <c r="AX37" s="971"/>
      <c r="AY37" s="971"/>
      <c r="AZ37" s="977"/>
      <c r="BA37" s="972"/>
      <c r="BB37" s="971"/>
      <c r="BC37" s="973"/>
      <c r="BD37" s="973"/>
      <c r="BE37" s="855"/>
      <c r="BF37" s="975"/>
      <c r="BG37" s="975"/>
      <c r="BH37" s="971"/>
      <c r="BI37" s="970"/>
      <c r="BJ37" s="971"/>
      <c r="BK37" s="971"/>
      <c r="BL37" s="977"/>
      <c r="BM37" s="972"/>
      <c r="BN37" s="971"/>
      <c r="BO37" s="973"/>
      <c r="BP37" s="973"/>
      <c r="BQ37" s="855"/>
      <c r="BR37" s="975"/>
      <c r="BS37" s="975"/>
      <c r="BT37" s="978"/>
      <c r="BU37" s="978"/>
      <c r="BV37" s="978">
        <v>0.23433963523597201</v>
      </c>
      <c r="BW37" s="978">
        <f t="shared" si="12"/>
        <v>0.29696717655082155</v>
      </c>
    </row>
    <row r="38" spans="1:75" hidden="1">
      <c r="A38" s="969">
        <v>2606</v>
      </c>
      <c r="B38" s="968" t="s">
        <v>291</v>
      </c>
      <c r="C38" s="969" t="s">
        <v>831</v>
      </c>
      <c r="D38" s="981" t="s">
        <v>250</v>
      </c>
      <c r="E38" s="955" t="s">
        <v>250</v>
      </c>
      <c r="F38" s="955"/>
      <c r="G38" s="955" t="str">
        <f>IFERROR(VLOOKUP(D38,[3]전용!E:J,6,0),"")</f>
        <v/>
      </c>
      <c r="H38" s="854">
        <v>28777.777777777777</v>
      </c>
      <c r="I38" s="955">
        <v>5</v>
      </c>
      <c r="J38" s="955" t="s">
        <v>286</v>
      </c>
      <c r="K38" s="955">
        <v>12</v>
      </c>
      <c r="L38" s="970">
        <v>749</v>
      </c>
      <c r="M38" s="971">
        <f t="shared" si="0"/>
        <v>44940</v>
      </c>
      <c r="N38" s="855">
        <v>0.15</v>
      </c>
      <c r="O38" s="855"/>
      <c r="P38" s="970">
        <v>749</v>
      </c>
      <c r="Q38" s="970">
        <f t="shared" si="1"/>
        <v>0</v>
      </c>
      <c r="R38" s="971">
        <f t="shared" si="2"/>
        <v>44940</v>
      </c>
      <c r="S38" s="856">
        <f t="shared" si="13"/>
        <v>0.4474892809124737</v>
      </c>
      <c r="T38" s="971"/>
      <c r="U38" s="971"/>
      <c r="V38" s="972">
        <v>12</v>
      </c>
      <c r="W38" s="971">
        <f t="shared" si="3"/>
        <v>4494</v>
      </c>
      <c r="X38" s="971">
        <f t="shared" si="14"/>
        <v>40446</v>
      </c>
      <c r="Y38" s="858">
        <f t="shared" si="15"/>
        <v>-9.9999999999999978E-2</v>
      </c>
      <c r="Z38" s="857">
        <f t="shared" si="16"/>
        <v>1.4054594594594594</v>
      </c>
      <c r="AA38" s="856">
        <v>0.39748928091247371</v>
      </c>
      <c r="AB38" s="856">
        <v>3.6542545843996931E-3</v>
      </c>
      <c r="AC38" s="970">
        <f t="shared" si="4"/>
        <v>749</v>
      </c>
      <c r="AD38" s="970"/>
      <c r="AE38" s="970">
        <f t="shared" si="22"/>
        <v>0</v>
      </c>
      <c r="AF38" s="971">
        <f t="shared" si="18"/>
        <v>44940</v>
      </c>
      <c r="AG38" s="857">
        <f t="shared" si="19"/>
        <v>0</v>
      </c>
      <c r="AH38" s="576">
        <v>0</v>
      </c>
      <c r="AI38" s="856">
        <f t="shared" si="21"/>
        <v>0.45304483646802929</v>
      </c>
      <c r="AJ38" s="859">
        <v>0</v>
      </c>
      <c r="AK38" s="583">
        <v>0</v>
      </c>
      <c r="AL38" s="971">
        <f t="shared" si="20"/>
        <v>0</v>
      </c>
      <c r="AM38" s="971">
        <f t="shared" si="6"/>
        <v>44940</v>
      </c>
      <c r="AN38" s="858">
        <f t="shared" si="7"/>
        <v>0</v>
      </c>
      <c r="AO38" s="857">
        <f t="shared" si="8"/>
        <v>1.5616216216216217</v>
      </c>
      <c r="AP38" s="973">
        <f t="shared" si="9"/>
        <v>4494</v>
      </c>
      <c r="AQ38" s="855">
        <f t="shared" si="10"/>
        <v>0.11111111111111116</v>
      </c>
      <c r="AR38" s="974">
        <f t="shared" si="23"/>
        <v>0.45304483646802929</v>
      </c>
      <c r="AS38" s="975"/>
      <c r="AT38" s="976"/>
      <c r="AU38" s="971"/>
      <c r="AV38" s="976"/>
      <c r="AW38" s="970"/>
      <c r="AX38" s="971"/>
      <c r="AY38" s="971"/>
      <c r="AZ38" s="977"/>
      <c r="BA38" s="972"/>
      <c r="BB38" s="971"/>
      <c r="BC38" s="973"/>
      <c r="BD38" s="973"/>
      <c r="BE38" s="855"/>
      <c r="BF38" s="975"/>
      <c r="BG38" s="975"/>
      <c r="BH38" s="971"/>
      <c r="BI38" s="970"/>
      <c r="BJ38" s="971"/>
      <c r="BK38" s="971"/>
      <c r="BL38" s="977"/>
      <c r="BM38" s="972"/>
      <c r="BN38" s="971"/>
      <c r="BO38" s="973"/>
      <c r="BP38" s="973"/>
      <c r="BQ38" s="855"/>
      <c r="BR38" s="975"/>
      <c r="BS38" s="975"/>
      <c r="BT38" s="978"/>
      <c r="BU38" s="978"/>
      <c r="BV38" s="978">
        <v>0.29748928091247401</v>
      </c>
      <c r="BW38" s="978">
        <f t="shared" si="12"/>
        <v>0.35948928091247373</v>
      </c>
    </row>
    <row r="39" spans="1:75" hidden="1">
      <c r="A39" s="969">
        <v>2606</v>
      </c>
      <c r="B39" s="968" t="s">
        <v>291</v>
      </c>
      <c r="C39" s="969" t="s">
        <v>831</v>
      </c>
      <c r="D39" s="981" t="s">
        <v>250</v>
      </c>
      <c r="E39" s="955" t="s">
        <v>250</v>
      </c>
      <c r="F39" s="955"/>
      <c r="G39" s="955" t="str">
        <f>IFERROR(VLOOKUP(D39,[3]전용!E:J,6,0),"")</f>
        <v/>
      </c>
      <c r="H39" s="854">
        <v>28777.777777777777</v>
      </c>
      <c r="I39" s="955">
        <v>5</v>
      </c>
      <c r="J39" s="955" t="s">
        <v>288</v>
      </c>
      <c r="K39" s="955">
        <v>12</v>
      </c>
      <c r="L39" s="970">
        <v>699</v>
      </c>
      <c r="M39" s="971">
        <f t="shared" si="0"/>
        <v>41940</v>
      </c>
      <c r="N39" s="855">
        <v>0.15</v>
      </c>
      <c r="O39" s="855"/>
      <c r="P39" s="970">
        <v>699</v>
      </c>
      <c r="Q39" s="970">
        <f t="shared" si="1"/>
        <v>0</v>
      </c>
      <c r="R39" s="971">
        <f t="shared" si="2"/>
        <v>41940</v>
      </c>
      <c r="S39" s="856">
        <f t="shared" si="13"/>
        <v>0.4474892809124737</v>
      </c>
      <c r="T39" s="971"/>
      <c r="U39" s="971"/>
      <c r="V39" s="972">
        <v>12</v>
      </c>
      <c r="W39" s="971">
        <f t="shared" si="3"/>
        <v>4194</v>
      </c>
      <c r="X39" s="971">
        <f t="shared" si="14"/>
        <v>37746</v>
      </c>
      <c r="Y39" s="858">
        <f t="shared" si="15"/>
        <v>-9.9999999999999978E-2</v>
      </c>
      <c r="Z39" s="857">
        <f t="shared" si="16"/>
        <v>1.3116370656370657</v>
      </c>
      <c r="AA39" s="856">
        <v>0.39748928091247371</v>
      </c>
      <c r="AB39" s="856">
        <v>3.6542545843996931E-3</v>
      </c>
      <c r="AC39" s="970">
        <f t="shared" si="4"/>
        <v>699</v>
      </c>
      <c r="AD39" s="970"/>
      <c r="AE39" s="970">
        <f t="shared" si="22"/>
        <v>0</v>
      </c>
      <c r="AF39" s="971">
        <f t="shared" si="18"/>
        <v>41940</v>
      </c>
      <c r="AG39" s="857">
        <f t="shared" si="19"/>
        <v>0</v>
      </c>
      <c r="AH39" s="576">
        <v>0</v>
      </c>
      <c r="AI39" s="856">
        <f t="shared" si="21"/>
        <v>0.45304483646802929</v>
      </c>
      <c r="AJ39" s="859">
        <v>0</v>
      </c>
      <c r="AK39" s="583">
        <v>0</v>
      </c>
      <c r="AL39" s="971">
        <f t="shared" si="20"/>
        <v>0</v>
      </c>
      <c r="AM39" s="971">
        <f t="shared" si="6"/>
        <v>41940</v>
      </c>
      <c r="AN39" s="858">
        <f t="shared" si="7"/>
        <v>0</v>
      </c>
      <c r="AO39" s="857">
        <f t="shared" si="8"/>
        <v>1.4573745173745174</v>
      </c>
      <c r="AP39" s="973">
        <f t="shared" si="9"/>
        <v>4194</v>
      </c>
      <c r="AQ39" s="855">
        <f t="shared" si="10"/>
        <v>0.11111111111111116</v>
      </c>
      <c r="AR39" s="974">
        <f t="shared" si="23"/>
        <v>0.45304483646802929</v>
      </c>
      <c r="AS39" s="975"/>
      <c r="AT39" s="976"/>
      <c r="AU39" s="971"/>
      <c r="AV39" s="976"/>
      <c r="AW39" s="970"/>
      <c r="AX39" s="971"/>
      <c r="AY39" s="971"/>
      <c r="AZ39" s="977"/>
      <c r="BA39" s="972"/>
      <c r="BB39" s="971"/>
      <c r="BC39" s="973"/>
      <c r="BD39" s="973"/>
      <c r="BE39" s="855"/>
      <c r="BF39" s="975"/>
      <c r="BG39" s="975"/>
      <c r="BH39" s="971"/>
      <c r="BI39" s="970"/>
      <c r="BJ39" s="971"/>
      <c r="BK39" s="971"/>
      <c r="BL39" s="977"/>
      <c r="BM39" s="972"/>
      <c r="BN39" s="971"/>
      <c r="BO39" s="973"/>
      <c r="BP39" s="973"/>
      <c r="BQ39" s="855"/>
      <c r="BR39" s="975"/>
      <c r="BS39" s="975"/>
      <c r="BT39" s="978"/>
      <c r="BU39" s="978"/>
      <c r="BV39" s="978">
        <v>0.29748928091247401</v>
      </c>
      <c r="BW39" s="978">
        <f t="shared" si="12"/>
        <v>0.35948928091247373</v>
      </c>
    </row>
    <row r="40" spans="1:75" hidden="1">
      <c r="A40" s="969">
        <v>2606</v>
      </c>
      <c r="B40" s="968" t="s">
        <v>291</v>
      </c>
      <c r="C40" s="969" t="s">
        <v>831</v>
      </c>
      <c r="D40" s="981" t="s">
        <v>250</v>
      </c>
      <c r="E40" s="955" t="s">
        <v>250</v>
      </c>
      <c r="F40" s="955"/>
      <c r="G40" s="955" t="str">
        <f>IFERROR(VLOOKUP(D40,[3]전용!E:J,6,0),"")</f>
        <v/>
      </c>
      <c r="H40" s="854">
        <v>28777.777777777777</v>
      </c>
      <c r="I40" s="955">
        <v>6</v>
      </c>
      <c r="J40" s="955" t="s">
        <v>286</v>
      </c>
      <c r="K40" s="955">
        <v>12</v>
      </c>
      <c r="L40" s="970">
        <v>649</v>
      </c>
      <c r="M40" s="971">
        <f t="shared" si="0"/>
        <v>46728</v>
      </c>
      <c r="N40" s="855">
        <v>0.15</v>
      </c>
      <c r="O40" s="855"/>
      <c r="P40" s="970">
        <v>649</v>
      </c>
      <c r="Q40" s="970">
        <f t="shared" si="1"/>
        <v>0</v>
      </c>
      <c r="R40" s="971">
        <f t="shared" si="2"/>
        <v>46728</v>
      </c>
      <c r="S40" s="856">
        <f t="shared" si="13"/>
        <v>0.43915594757914039</v>
      </c>
      <c r="T40" s="971"/>
      <c r="U40" s="971"/>
      <c r="V40" s="972">
        <v>12</v>
      </c>
      <c r="W40" s="971">
        <f t="shared" si="3"/>
        <v>3894</v>
      </c>
      <c r="X40" s="971">
        <f t="shared" si="14"/>
        <v>42834</v>
      </c>
      <c r="Y40" s="858">
        <f t="shared" si="15"/>
        <v>-8.333333333333337E-2</v>
      </c>
      <c r="Z40" s="857">
        <f t="shared" si="16"/>
        <v>1.4884401544401544</v>
      </c>
      <c r="AA40" s="856">
        <v>0.39748928091247371</v>
      </c>
      <c r="AB40" s="856">
        <v>3.6542545843996931E-3</v>
      </c>
      <c r="AC40" s="970">
        <f t="shared" si="4"/>
        <v>649</v>
      </c>
      <c r="AD40" s="970"/>
      <c r="AE40" s="970">
        <f t="shared" si="22"/>
        <v>0</v>
      </c>
      <c r="AF40" s="971">
        <f t="shared" si="18"/>
        <v>46728</v>
      </c>
      <c r="AG40" s="857">
        <f t="shared" si="19"/>
        <v>0</v>
      </c>
      <c r="AH40" s="576">
        <v>0</v>
      </c>
      <c r="AI40" s="856">
        <f t="shared" si="21"/>
        <v>0.44294382636701912</v>
      </c>
      <c r="AJ40" s="859">
        <v>0</v>
      </c>
      <c r="AK40" s="583">
        <v>0</v>
      </c>
      <c r="AL40" s="971">
        <f t="shared" si="20"/>
        <v>0</v>
      </c>
      <c r="AM40" s="971">
        <f t="shared" si="6"/>
        <v>46728</v>
      </c>
      <c r="AN40" s="858">
        <f t="shared" si="7"/>
        <v>0</v>
      </c>
      <c r="AO40" s="857">
        <f t="shared" si="8"/>
        <v>1.6237528957528957</v>
      </c>
      <c r="AP40" s="973">
        <f t="shared" si="9"/>
        <v>3894</v>
      </c>
      <c r="AQ40" s="855">
        <f t="shared" si="10"/>
        <v>9.0909090909090828E-2</v>
      </c>
      <c r="AR40" s="974">
        <f t="shared" si="23"/>
        <v>0.44294382636701912</v>
      </c>
      <c r="AS40" s="975"/>
      <c r="AT40" s="976"/>
      <c r="AU40" s="971"/>
      <c r="AV40" s="976"/>
      <c r="AW40" s="970"/>
      <c r="AX40" s="971"/>
      <c r="AY40" s="971"/>
      <c r="AZ40" s="977"/>
      <c r="BA40" s="972"/>
      <c r="BB40" s="971"/>
      <c r="BC40" s="973"/>
      <c r="BD40" s="973"/>
      <c r="BE40" s="855"/>
      <c r="BF40" s="975"/>
      <c r="BG40" s="975"/>
      <c r="BH40" s="971"/>
      <c r="BI40" s="970"/>
      <c r="BJ40" s="971"/>
      <c r="BK40" s="971"/>
      <c r="BL40" s="977"/>
      <c r="BM40" s="972"/>
      <c r="BN40" s="971"/>
      <c r="BO40" s="973"/>
      <c r="BP40" s="973"/>
      <c r="BQ40" s="855"/>
      <c r="BR40" s="975"/>
      <c r="BS40" s="975"/>
      <c r="BT40" s="978"/>
      <c r="BU40" s="978"/>
      <c r="BV40" s="978">
        <v>0.29748928091247401</v>
      </c>
      <c r="BW40" s="978">
        <f t="shared" si="12"/>
        <v>0.35948928091247373</v>
      </c>
    </row>
    <row r="41" spans="1:75" hidden="1">
      <c r="A41" s="980">
        <v>2606</v>
      </c>
      <c r="B41" s="979" t="s">
        <v>291</v>
      </c>
      <c r="C41" s="980" t="s">
        <v>831</v>
      </c>
      <c r="D41" s="983" t="s">
        <v>250</v>
      </c>
      <c r="E41" s="955" t="s">
        <v>250</v>
      </c>
      <c r="F41" s="955"/>
      <c r="G41" s="955" t="str">
        <f>IFERROR(VLOOKUP(D41,[3]전용!E:J,6,0),"")</f>
        <v/>
      </c>
      <c r="H41" s="854">
        <v>28777.777777777777</v>
      </c>
      <c r="I41" s="955">
        <v>6</v>
      </c>
      <c r="J41" s="955" t="s">
        <v>288</v>
      </c>
      <c r="K41" s="955">
        <v>12</v>
      </c>
      <c r="L41" s="970">
        <v>599</v>
      </c>
      <c r="M41" s="971">
        <f t="shared" si="0"/>
        <v>43128</v>
      </c>
      <c r="N41" s="855">
        <v>0.15</v>
      </c>
      <c r="O41" s="855"/>
      <c r="P41" s="970">
        <v>599</v>
      </c>
      <c r="Q41" s="970">
        <f t="shared" si="1"/>
        <v>0</v>
      </c>
      <c r="R41" s="971">
        <f t="shared" si="2"/>
        <v>43128</v>
      </c>
      <c r="S41" s="856">
        <f t="shared" si="13"/>
        <v>0.43915594757914039</v>
      </c>
      <c r="T41" s="971"/>
      <c r="U41" s="971"/>
      <c r="V41" s="972">
        <v>12</v>
      </c>
      <c r="W41" s="971">
        <f t="shared" si="3"/>
        <v>3594</v>
      </c>
      <c r="X41" s="971">
        <f t="shared" si="14"/>
        <v>39534</v>
      </c>
      <c r="Y41" s="858">
        <f t="shared" si="15"/>
        <v>-8.333333333333337E-2</v>
      </c>
      <c r="Z41" s="857">
        <f t="shared" si="16"/>
        <v>1.3737683397683398</v>
      </c>
      <c r="AA41" s="856">
        <v>0.39748928091247371</v>
      </c>
      <c r="AB41" s="856">
        <v>3.6542545843996931E-3</v>
      </c>
      <c r="AC41" s="970">
        <f t="shared" si="4"/>
        <v>599</v>
      </c>
      <c r="AD41" s="970"/>
      <c r="AE41" s="970">
        <f t="shared" si="22"/>
        <v>0</v>
      </c>
      <c r="AF41" s="971">
        <f t="shared" si="18"/>
        <v>43128</v>
      </c>
      <c r="AG41" s="857">
        <f t="shared" si="19"/>
        <v>0</v>
      </c>
      <c r="AH41" s="576">
        <v>0</v>
      </c>
      <c r="AI41" s="856">
        <f t="shared" si="21"/>
        <v>0.44294382636701912</v>
      </c>
      <c r="AJ41" s="859">
        <v>0</v>
      </c>
      <c r="AK41" s="583">
        <v>0</v>
      </c>
      <c r="AL41" s="971">
        <f t="shared" si="20"/>
        <v>0</v>
      </c>
      <c r="AM41" s="971">
        <f t="shared" si="6"/>
        <v>43128</v>
      </c>
      <c r="AN41" s="858">
        <f t="shared" si="7"/>
        <v>0</v>
      </c>
      <c r="AO41" s="857">
        <f t="shared" si="8"/>
        <v>1.4986563706563707</v>
      </c>
      <c r="AP41" s="973">
        <f t="shared" si="9"/>
        <v>3594</v>
      </c>
      <c r="AQ41" s="855">
        <f t="shared" si="10"/>
        <v>9.0909090909090828E-2</v>
      </c>
      <c r="AR41" s="974">
        <f t="shared" si="23"/>
        <v>0.44294382636701912</v>
      </c>
      <c r="AS41" s="975"/>
      <c r="AT41" s="976"/>
      <c r="AU41" s="971"/>
      <c r="AV41" s="976"/>
      <c r="AW41" s="970"/>
      <c r="AX41" s="971"/>
      <c r="AY41" s="971"/>
      <c r="AZ41" s="977"/>
      <c r="BA41" s="972"/>
      <c r="BB41" s="971"/>
      <c r="BC41" s="973"/>
      <c r="BD41" s="973"/>
      <c r="BE41" s="855"/>
      <c r="BF41" s="975"/>
      <c r="BG41" s="975"/>
      <c r="BH41" s="971"/>
      <c r="BI41" s="970"/>
      <c r="BJ41" s="971"/>
      <c r="BK41" s="971"/>
      <c r="BL41" s="977"/>
      <c r="BM41" s="972"/>
      <c r="BN41" s="971"/>
      <c r="BO41" s="973"/>
      <c r="BP41" s="973"/>
      <c r="BQ41" s="855"/>
      <c r="BR41" s="975"/>
      <c r="BS41" s="975"/>
      <c r="BT41" s="978"/>
      <c r="BU41" s="978"/>
      <c r="BV41" s="978">
        <v>0.29748928091247401</v>
      </c>
      <c r="BW41" s="978">
        <f t="shared" si="12"/>
        <v>0.35948928091247373</v>
      </c>
    </row>
    <row r="42" spans="1:75" hidden="1">
      <c r="A42" s="976">
        <v>2606</v>
      </c>
      <c r="B42" s="955" t="s">
        <v>290</v>
      </c>
      <c r="C42" s="955" t="s">
        <v>829</v>
      </c>
      <c r="D42" s="976" t="s">
        <v>909</v>
      </c>
      <c r="E42" s="955" t="str">
        <f>D42</f>
        <v>MS4295DIS.BBKPETH</v>
      </c>
      <c r="F42" s="955"/>
      <c r="G42" s="955" t="str">
        <f>IFERROR(VLOOKUP(D42,[3]전용!E:J,6,0),"")</f>
        <v/>
      </c>
      <c r="H42" s="854">
        <v>4211.1111111111113</v>
      </c>
      <c r="I42" s="955">
        <v>6</v>
      </c>
      <c r="J42" s="955" t="s">
        <v>215</v>
      </c>
      <c r="K42" s="955" t="s">
        <v>834</v>
      </c>
      <c r="L42" s="970">
        <v>89</v>
      </c>
      <c r="M42" s="971">
        <f t="shared" si="0"/>
        <v>6408</v>
      </c>
      <c r="N42" s="855">
        <v>0.14245193035910853</v>
      </c>
      <c r="O42" s="855"/>
      <c r="P42" s="970">
        <v>89</v>
      </c>
      <c r="Q42" s="970">
        <f t="shared" si="1"/>
        <v>0</v>
      </c>
      <c r="R42" s="971">
        <f t="shared" si="2"/>
        <v>6408</v>
      </c>
      <c r="S42" s="856">
        <f t="shared" si="13"/>
        <v>-5.3671110818111989E-2</v>
      </c>
      <c r="T42" s="971"/>
      <c r="U42" s="971"/>
      <c r="V42" s="972">
        <v>0</v>
      </c>
      <c r="W42" s="971">
        <f t="shared" si="3"/>
        <v>0</v>
      </c>
      <c r="X42" s="971">
        <f t="shared" si="14"/>
        <v>6408</v>
      </c>
      <c r="Y42" s="858">
        <f t="shared" si="15"/>
        <v>0</v>
      </c>
      <c r="Z42" s="857">
        <f t="shared" si="16"/>
        <v>1.5216886543535619</v>
      </c>
      <c r="AA42" s="856">
        <v>-5.3671110818111989E-2</v>
      </c>
      <c r="AB42" s="856">
        <v>7.3893460826224389E-2</v>
      </c>
      <c r="AC42" s="970">
        <f t="shared" si="4"/>
        <v>99</v>
      </c>
      <c r="AD42" s="970">
        <v>10</v>
      </c>
      <c r="AE42" s="970">
        <f t="shared" si="22"/>
        <v>8.9</v>
      </c>
      <c r="AF42" s="971">
        <f t="shared" si="18"/>
        <v>7128</v>
      </c>
      <c r="AG42" s="857">
        <f t="shared" si="19"/>
        <v>0.11235955056179781</v>
      </c>
      <c r="AH42" s="576">
        <v>0</v>
      </c>
      <c r="AI42" s="856">
        <f t="shared" si="21"/>
        <v>3.0598552103236365E-2</v>
      </c>
      <c r="AJ42" s="859">
        <v>0</v>
      </c>
      <c r="AK42" s="583">
        <v>0</v>
      </c>
      <c r="AL42" s="971">
        <f t="shared" si="20"/>
        <v>0</v>
      </c>
      <c r="AM42" s="971">
        <f t="shared" si="6"/>
        <v>7128</v>
      </c>
      <c r="AN42" s="858">
        <f t="shared" si="7"/>
        <v>0</v>
      </c>
      <c r="AO42" s="857">
        <f t="shared" si="8"/>
        <v>1.6926649076517151</v>
      </c>
      <c r="AP42" s="973">
        <f t="shared" si="9"/>
        <v>720</v>
      </c>
      <c r="AQ42" s="855">
        <f t="shared" si="10"/>
        <v>0.11235955056179781</v>
      </c>
      <c r="AR42" s="974">
        <f>IFERROR(AA42+AQ42*0.75,"")</f>
        <v>3.0598552103236365E-2</v>
      </c>
      <c r="AS42" s="975"/>
      <c r="AT42" s="976"/>
      <c r="AU42" s="971"/>
      <c r="AV42" s="976"/>
      <c r="AW42" s="970"/>
      <c r="AX42" s="971"/>
      <c r="AY42" s="971"/>
      <c r="AZ42" s="977"/>
      <c r="BA42" s="972"/>
      <c r="BB42" s="971"/>
      <c r="BC42" s="973"/>
      <c r="BD42" s="973"/>
      <c r="BE42" s="855"/>
      <c r="BF42" s="975"/>
      <c r="BG42" s="975"/>
      <c r="BH42" s="971"/>
      <c r="BI42" s="970"/>
      <c r="BJ42" s="971"/>
      <c r="BK42" s="971"/>
      <c r="BL42" s="977"/>
      <c r="BM42" s="972"/>
      <c r="BN42" s="971"/>
      <c r="BO42" s="973"/>
      <c r="BP42" s="973"/>
      <c r="BQ42" s="855"/>
      <c r="BR42" s="975"/>
      <c r="BS42" s="975"/>
      <c r="BT42" s="978"/>
      <c r="BU42" s="978"/>
      <c r="BV42" s="978">
        <v>0.04</v>
      </c>
      <c r="BW42" s="978">
        <f t="shared" si="12"/>
        <v>-5.3671110818111989E-2</v>
      </c>
    </row>
    <row r="43" spans="1:75" hidden="1">
      <c r="A43" s="969">
        <v>2606</v>
      </c>
      <c r="B43" s="968" t="s">
        <v>307</v>
      </c>
      <c r="C43" s="969" t="s">
        <v>829</v>
      </c>
      <c r="D43" s="969" t="s">
        <v>79</v>
      </c>
      <c r="E43" s="955"/>
      <c r="F43" s="955"/>
      <c r="G43" s="955" t="str">
        <f>IFERROR(VLOOKUP(D43,[3]전용!E:J,6,0),"")</f>
        <v/>
      </c>
      <c r="H43" s="854">
        <v>17000</v>
      </c>
      <c r="I43" s="955">
        <v>5</v>
      </c>
      <c r="J43" s="955" t="s">
        <v>286</v>
      </c>
      <c r="K43" s="955">
        <v>6</v>
      </c>
      <c r="L43" s="970">
        <v>549</v>
      </c>
      <c r="M43" s="971">
        <f t="shared" si="0"/>
        <v>32940</v>
      </c>
      <c r="N43" s="855">
        <v>0.34450002077395081</v>
      </c>
      <c r="O43" s="855"/>
      <c r="P43" s="970">
        <v>549</v>
      </c>
      <c r="Q43" s="970">
        <f t="shared" si="1"/>
        <v>0</v>
      </c>
      <c r="R43" s="576">
        <f>(P43*((I43*12)-V43))</f>
        <v>32940</v>
      </c>
      <c r="S43" s="856">
        <f t="shared" si="13"/>
        <v>0.38943751271063626</v>
      </c>
      <c r="T43" s="580">
        <v>99</v>
      </c>
      <c r="U43" s="583">
        <v>6</v>
      </c>
      <c r="V43" s="583">
        <v>0</v>
      </c>
      <c r="W43" s="971">
        <f t="shared" si="3"/>
        <v>2700</v>
      </c>
      <c r="X43" s="971">
        <f t="shared" si="14"/>
        <v>30240</v>
      </c>
      <c r="Y43" s="858">
        <f t="shared" si="15"/>
        <v>-8.1967213114754078E-2</v>
      </c>
      <c r="Z43" s="857">
        <f t="shared" si="16"/>
        <v>1.7788235294117647</v>
      </c>
      <c r="AA43" s="856">
        <v>0.34845390615325922</v>
      </c>
      <c r="AB43" s="856">
        <v>2.6414950396984084E-2</v>
      </c>
      <c r="AC43" s="970">
        <f t="shared" si="4"/>
        <v>549</v>
      </c>
      <c r="AD43" s="970"/>
      <c r="AE43" s="970">
        <f t="shared" si="22"/>
        <v>0</v>
      </c>
      <c r="AF43" s="971">
        <f t="shared" si="18"/>
        <v>32940</v>
      </c>
      <c r="AG43" s="857">
        <f t="shared" si="19"/>
        <v>0</v>
      </c>
      <c r="AH43" s="576">
        <v>99</v>
      </c>
      <c r="AI43" s="856">
        <f t="shared" si="21"/>
        <v>0.30747029959588218</v>
      </c>
      <c r="AJ43" s="859">
        <v>6</v>
      </c>
      <c r="AK43" s="583">
        <v>0</v>
      </c>
      <c r="AL43" s="971">
        <f t="shared" si="20"/>
        <v>2700</v>
      </c>
      <c r="AM43" s="971">
        <f t="shared" si="6"/>
        <v>30240</v>
      </c>
      <c r="AN43" s="858">
        <f t="shared" si="7"/>
        <v>-8.1967213114754078E-2</v>
      </c>
      <c r="AO43" s="857">
        <f t="shared" si="8"/>
        <v>1.7788235294117647</v>
      </c>
      <c r="AP43" s="973">
        <f t="shared" si="9"/>
        <v>0</v>
      </c>
      <c r="AQ43" s="855">
        <f t="shared" si="10"/>
        <v>0</v>
      </c>
      <c r="AR43" s="974">
        <f t="shared" si="23"/>
        <v>0.34845390615325922</v>
      </c>
      <c r="AS43" s="975"/>
      <c r="AT43" s="976"/>
      <c r="AU43" s="971"/>
      <c r="AV43" s="976"/>
      <c r="AW43" s="970"/>
      <c r="AX43" s="971"/>
      <c r="AY43" s="971"/>
      <c r="AZ43" s="977"/>
      <c r="BA43" s="972"/>
      <c r="BB43" s="971"/>
      <c r="BC43" s="973"/>
      <c r="BD43" s="973"/>
      <c r="BE43" s="855"/>
      <c r="BF43" s="975"/>
      <c r="BG43" s="975"/>
      <c r="BH43" s="971"/>
      <c r="BI43" s="970"/>
      <c r="BJ43" s="971"/>
      <c r="BK43" s="971"/>
      <c r="BL43" s="977"/>
      <c r="BM43" s="972"/>
      <c r="BN43" s="971"/>
      <c r="BO43" s="973"/>
      <c r="BP43" s="973"/>
      <c r="BQ43" s="855"/>
      <c r="BR43" s="975"/>
      <c r="BS43" s="975"/>
      <c r="BT43" s="978"/>
      <c r="BU43" s="978"/>
      <c r="BV43" s="978">
        <v>0.34399235480985801</v>
      </c>
      <c r="BW43" s="978">
        <f t="shared" si="12"/>
        <v>0.31045390615325924</v>
      </c>
    </row>
    <row r="44" spans="1:75" hidden="1">
      <c r="A44" s="969">
        <v>2606</v>
      </c>
      <c r="B44" s="968" t="s">
        <v>307</v>
      </c>
      <c r="C44" s="969" t="s">
        <v>829</v>
      </c>
      <c r="D44" s="969" t="s">
        <v>79</v>
      </c>
      <c r="E44" s="955"/>
      <c r="F44" s="955"/>
      <c r="G44" s="955" t="str">
        <f>IFERROR(VLOOKUP(D44,[3]전용!E:J,6,0),"")</f>
        <v/>
      </c>
      <c r="H44" s="854">
        <v>17000</v>
      </c>
      <c r="I44" s="955">
        <v>5</v>
      </c>
      <c r="J44" s="955" t="s">
        <v>288</v>
      </c>
      <c r="K44" s="955">
        <v>6</v>
      </c>
      <c r="L44" s="970">
        <v>499</v>
      </c>
      <c r="M44" s="971">
        <f t="shared" si="0"/>
        <v>29940</v>
      </c>
      <c r="N44" s="855">
        <v>0.34450002077395081</v>
      </c>
      <c r="O44" s="855"/>
      <c r="P44" s="970">
        <v>499</v>
      </c>
      <c r="Q44" s="970">
        <f t="shared" si="1"/>
        <v>0</v>
      </c>
      <c r="R44" s="971">
        <f>P44*LEFT(I44,1)*12</f>
        <v>29940</v>
      </c>
      <c r="S44" s="856">
        <f t="shared" si="13"/>
        <v>0.38853406647390049</v>
      </c>
      <c r="T44" s="976">
        <v>99</v>
      </c>
      <c r="U44" s="972">
        <v>6</v>
      </c>
      <c r="V44" s="583">
        <v>0</v>
      </c>
      <c r="W44" s="971">
        <f t="shared" si="3"/>
        <v>2400</v>
      </c>
      <c r="X44" s="971">
        <f t="shared" si="14"/>
        <v>27540</v>
      </c>
      <c r="Y44" s="858">
        <f t="shared" si="15"/>
        <v>-8.0160320641282534E-2</v>
      </c>
      <c r="Z44" s="857">
        <f t="shared" si="16"/>
        <v>1.62</v>
      </c>
      <c r="AA44" s="856">
        <v>0.34845390615325922</v>
      </c>
      <c r="AB44" s="856">
        <v>2.6414950396984084E-2</v>
      </c>
      <c r="AC44" s="970">
        <f t="shared" si="4"/>
        <v>499</v>
      </c>
      <c r="AD44" s="970"/>
      <c r="AE44" s="970">
        <f t="shared" si="22"/>
        <v>0</v>
      </c>
      <c r="AF44" s="971">
        <f t="shared" si="18"/>
        <v>29940</v>
      </c>
      <c r="AG44" s="857">
        <f t="shared" si="19"/>
        <v>0</v>
      </c>
      <c r="AH44" s="576">
        <v>99</v>
      </c>
      <c r="AI44" s="856">
        <f t="shared" si="21"/>
        <v>0.30837374583261795</v>
      </c>
      <c r="AJ44" s="859">
        <v>6</v>
      </c>
      <c r="AK44" s="583">
        <v>0</v>
      </c>
      <c r="AL44" s="971">
        <f t="shared" si="20"/>
        <v>2400</v>
      </c>
      <c r="AM44" s="971">
        <f t="shared" si="6"/>
        <v>27540</v>
      </c>
      <c r="AN44" s="858">
        <f t="shared" si="7"/>
        <v>-8.0160320641282534E-2</v>
      </c>
      <c r="AO44" s="857">
        <f t="shared" si="8"/>
        <v>1.62</v>
      </c>
      <c r="AP44" s="973">
        <f t="shared" si="9"/>
        <v>0</v>
      </c>
      <c r="AQ44" s="855">
        <f t="shared" si="10"/>
        <v>0</v>
      </c>
      <c r="AR44" s="974">
        <f t="shared" si="23"/>
        <v>0.34845390615325922</v>
      </c>
      <c r="AS44" s="975"/>
      <c r="AT44" s="976"/>
      <c r="AU44" s="971"/>
      <c r="AV44" s="976"/>
      <c r="AW44" s="970"/>
      <c r="AX44" s="971"/>
      <c r="AY44" s="971"/>
      <c r="AZ44" s="977"/>
      <c r="BA44" s="972"/>
      <c r="BB44" s="971"/>
      <c r="BC44" s="973"/>
      <c r="BD44" s="973"/>
      <c r="BE44" s="855"/>
      <c r="BF44" s="975"/>
      <c r="BG44" s="975"/>
      <c r="BH44" s="971"/>
      <c r="BI44" s="970"/>
      <c r="BJ44" s="971"/>
      <c r="BK44" s="971"/>
      <c r="BL44" s="977"/>
      <c r="BM44" s="972"/>
      <c r="BN44" s="971"/>
      <c r="BO44" s="973"/>
      <c r="BP44" s="973"/>
      <c r="BQ44" s="855"/>
      <c r="BR44" s="975"/>
      <c r="BS44" s="975"/>
      <c r="BT44" s="978"/>
      <c r="BU44" s="978"/>
      <c r="BV44" s="978">
        <v>0.34399235480985801</v>
      </c>
      <c r="BW44" s="978">
        <f t="shared" si="12"/>
        <v>0.31045390615325924</v>
      </c>
    </row>
    <row r="45" spans="1:75" hidden="1">
      <c r="A45" s="969">
        <v>2606</v>
      </c>
      <c r="B45" s="968" t="s">
        <v>307</v>
      </c>
      <c r="C45" s="969" t="s">
        <v>829</v>
      </c>
      <c r="D45" s="969" t="s">
        <v>79</v>
      </c>
      <c r="E45" s="955"/>
      <c r="F45" s="955"/>
      <c r="G45" s="955" t="str">
        <f>IFERROR(VLOOKUP(D45,[3]전용!E:J,6,0),"")</f>
        <v/>
      </c>
      <c r="H45" s="854">
        <v>17000</v>
      </c>
      <c r="I45" s="955">
        <v>7</v>
      </c>
      <c r="J45" s="955" t="s">
        <v>286</v>
      </c>
      <c r="K45" s="955">
        <v>6</v>
      </c>
      <c r="L45" s="970">
        <v>449</v>
      </c>
      <c r="M45" s="971">
        <f t="shared" si="0"/>
        <v>37716</v>
      </c>
      <c r="N45" s="855">
        <v>0.32740600367993367</v>
      </c>
      <c r="O45" s="855"/>
      <c r="P45" s="970">
        <v>449</v>
      </c>
      <c r="Q45" s="970">
        <f t="shared" si="1"/>
        <v>0</v>
      </c>
      <c r="R45" s="971">
        <f>P45*LEFT(I45,1)*12</f>
        <v>37716</v>
      </c>
      <c r="S45" s="856">
        <f t="shared" si="13"/>
        <v>0.37629354980582047</v>
      </c>
      <c r="T45" s="976">
        <v>99</v>
      </c>
      <c r="U45" s="972">
        <v>6</v>
      </c>
      <c r="V45" s="583">
        <v>0</v>
      </c>
      <c r="W45" s="971">
        <f t="shared" si="3"/>
        <v>2100</v>
      </c>
      <c r="X45" s="971">
        <f t="shared" si="14"/>
        <v>35616</v>
      </c>
      <c r="Y45" s="858">
        <f t="shared" si="15"/>
        <v>-5.5679287305122505E-2</v>
      </c>
      <c r="Z45" s="857">
        <f t="shared" si="16"/>
        <v>2.0950588235294116</v>
      </c>
      <c r="AA45" s="856">
        <v>0.34845390615325922</v>
      </c>
      <c r="AB45" s="856">
        <v>2.6414950396984084E-2</v>
      </c>
      <c r="AC45" s="970">
        <f t="shared" si="4"/>
        <v>449</v>
      </c>
      <c r="AD45" s="970"/>
      <c r="AE45" s="970">
        <f t="shared" si="22"/>
        <v>0</v>
      </c>
      <c r="AF45" s="971">
        <f t="shared" si="18"/>
        <v>37716</v>
      </c>
      <c r="AG45" s="857">
        <f t="shared" si="19"/>
        <v>0</v>
      </c>
      <c r="AH45" s="576">
        <v>99</v>
      </c>
      <c r="AI45" s="856">
        <f t="shared" si="21"/>
        <v>0.32061426250069797</v>
      </c>
      <c r="AJ45" s="859">
        <v>6</v>
      </c>
      <c r="AK45" s="583">
        <v>0</v>
      </c>
      <c r="AL45" s="971">
        <f t="shared" si="20"/>
        <v>2100</v>
      </c>
      <c r="AM45" s="971">
        <f t="shared" si="6"/>
        <v>35616</v>
      </c>
      <c r="AN45" s="858">
        <f t="shared" si="7"/>
        <v>-5.5679287305122505E-2</v>
      </c>
      <c r="AO45" s="857">
        <f t="shared" si="8"/>
        <v>2.0950588235294116</v>
      </c>
      <c r="AP45" s="973">
        <f t="shared" si="9"/>
        <v>0</v>
      </c>
      <c r="AQ45" s="855">
        <f t="shared" si="10"/>
        <v>0</v>
      </c>
      <c r="AR45" s="974">
        <f t="shared" si="23"/>
        <v>0.34845390615325922</v>
      </c>
      <c r="AS45" s="975"/>
      <c r="AT45" s="976"/>
      <c r="AU45" s="971"/>
      <c r="AV45" s="976"/>
      <c r="AW45" s="970"/>
      <c r="AX45" s="971"/>
      <c r="AY45" s="971"/>
      <c r="AZ45" s="977"/>
      <c r="BA45" s="972"/>
      <c r="BB45" s="971"/>
      <c r="BC45" s="973"/>
      <c r="BD45" s="973"/>
      <c r="BE45" s="855"/>
      <c r="BF45" s="975"/>
      <c r="BG45" s="975"/>
      <c r="BH45" s="971"/>
      <c r="BI45" s="970"/>
      <c r="BJ45" s="971"/>
      <c r="BK45" s="971"/>
      <c r="BL45" s="977"/>
      <c r="BM45" s="972"/>
      <c r="BN45" s="971"/>
      <c r="BO45" s="973"/>
      <c r="BP45" s="973"/>
      <c r="BQ45" s="855"/>
      <c r="BR45" s="975"/>
      <c r="BS45" s="975"/>
      <c r="BT45" s="978"/>
      <c r="BU45" s="978"/>
      <c r="BV45" s="978">
        <v>0.34399235480985801</v>
      </c>
      <c r="BW45" s="978">
        <f t="shared" si="12"/>
        <v>0.31045390615325924</v>
      </c>
    </row>
    <row r="46" spans="1:75" hidden="1">
      <c r="A46" s="980">
        <v>2606</v>
      </c>
      <c r="B46" s="979" t="s">
        <v>307</v>
      </c>
      <c r="C46" s="980" t="s">
        <v>829</v>
      </c>
      <c r="D46" s="980" t="s">
        <v>79</v>
      </c>
      <c r="E46" s="955"/>
      <c r="F46" s="955"/>
      <c r="G46" s="955" t="str">
        <f>IFERROR(VLOOKUP(D46,[3]전용!E:J,6,0),"")</f>
        <v/>
      </c>
      <c r="H46" s="854">
        <v>17000</v>
      </c>
      <c r="I46" s="955">
        <v>7</v>
      </c>
      <c r="J46" s="955" t="s">
        <v>288</v>
      </c>
      <c r="K46" s="955">
        <v>6</v>
      </c>
      <c r="L46" s="970">
        <v>399</v>
      </c>
      <c r="M46" s="971">
        <f t="shared" si="0"/>
        <v>33516</v>
      </c>
      <c r="N46" s="855">
        <v>0.32740600367993367</v>
      </c>
      <c r="O46" s="855"/>
      <c r="P46" s="970">
        <v>399</v>
      </c>
      <c r="Q46" s="970">
        <f t="shared" si="1"/>
        <v>0</v>
      </c>
      <c r="R46" s="971">
        <f>P46*LEFT(I46,1)*12</f>
        <v>33516</v>
      </c>
      <c r="S46" s="856">
        <f t="shared" si="13"/>
        <v>0.37530675255497781</v>
      </c>
      <c r="T46" s="976">
        <v>99</v>
      </c>
      <c r="U46" s="972">
        <v>6</v>
      </c>
      <c r="V46" s="583">
        <v>0</v>
      </c>
      <c r="W46" s="971">
        <f t="shared" si="3"/>
        <v>1800</v>
      </c>
      <c r="X46" s="971">
        <f t="shared" si="14"/>
        <v>31716</v>
      </c>
      <c r="Y46" s="858">
        <f t="shared" si="15"/>
        <v>-5.3705692803437177E-2</v>
      </c>
      <c r="Z46" s="857">
        <f t="shared" si="16"/>
        <v>1.8656470588235294</v>
      </c>
      <c r="AA46" s="856">
        <v>0.34845390615325922</v>
      </c>
      <c r="AB46" s="856">
        <v>2.6414950396984084E-2</v>
      </c>
      <c r="AC46" s="970">
        <f t="shared" si="4"/>
        <v>399</v>
      </c>
      <c r="AD46" s="970"/>
      <c r="AE46" s="970">
        <f t="shared" si="22"/>
        <v>0</v>
      </c>
      <c r="AF46" s="971">
        <f t="shared" si="18"/>
        <v>33516</v>
      </c>
      <c r="AG46" s="857">
        <f t="shared" si="19"/>
        <v>0</v>
      </c>
      <c r="AH46" s="576">
        <v>99</v>
      </c>
      <c r="AI46" s="856">
        <f t="shared" si="21"/>
        <v>0.32160105975154063</v>
      </c>
      <c r="AJ46" s="859">
        <v>6</v>
      </c>
      <c r="AK46" s="583">
        <v>0</v>
      </c>
      <c r="AL46" s="971">
        <f t="shared" si="20"/>
        <v>1800</v>
      </c>
      <c r="AM46" s="971">
        <f t="shared" si="6"/>
        <v>31716</v>
      </c>
      <c r="AN46" s="858">
        <f t="shared" si="7"/>
        <v>-5.3705692803437177E-2</v>
      </c>
      <c r="AO46" s="857">
        <f t="shared" si="8"/>
        <v>1.8656470588235294</v>
      </c>
      <c r="AP46" s="973">
        <f t="shared" si="9"/>
        <v>0</v>
      </c>
      <c r="AQ46" s="855">
        <f t="shared" si="10"/>
        <v>0</v>
      </c>
      <c r="AR46" s="974">
        <f t="shared" si="23"/>
        <v>0.34845390615325922</v>
      </c>
      <c r="AS46" s="975"/>
      <c r="AT46" s="976"/>
      <c r="AU46" s="971"/>
      <c r="AV46" s="976"/>
      <c r="AW46" s="970"/>
      <c r="AX46" s="971"/>
      <c r="AY46" s="971"/>
      <c r="AZ46" s="977"/>
      <c r="BA46" s="972"/>
      <c r="BB46" s="971"/>
      <c r="BC46" s="973"/>
      <c r="BD46" s="973"/>
      <c r="BE46" s="855"/>
      <c r="BF46" s="975"/>
      <c r="BG46" s="975"/>
      <c r="BH46" s="971"/>
      <c r="BI46" s="970"/>
      <c r="BJ46" s="971"/>
      <c r="BK46" s="971"/>
      <c r="BL46" s="977"/>
      <c r="BM46" s="972"/>
      <c r="BN46" s="971"/>
      <c r="BO46" s="973"/>
      <c r="BP46" s="973"/>
      <c r="BQ46" s="855"/>
      <c r="BR46" s="975"/>
      <c r="BS46" s="975"/>
      <c r="BT46" s="978"/>
      <c r="BU46" s="978"/>
      <c r="BV46" s="978">
        <v>0.34399235480985801</v>
      </c>
      <c r="BW46" s="978">
        <f t="shared" si="12"/>
        <v>0.31045390615325924</v>
      </c>
    </row>
    <row r="47" spans="1:75" hidden="1">
      <c r="A47" s="969">
        <v>2606</v>
      </c>
      <c r="B47" s="968" t="s">
        <v>307</v>
      </c>
      <c r="C47" s="969" t="s">
        <v>829</v>
      </c>
      <c r="D47" s="969" t="s">
        <v>2</v>
      </c>
      <c r="E47" s="955"/>
      <c r="F47" s="955"/>
      <c r="G47" s="955" t="str">
        <f>IFERROR(VLOOKUP(D47,[3]전용!E:J,6,0),"")</f>
        <v/>
      </c>
      <c r="H47" s="854">
        <v>25000</v>
      </c>
      <c r="I47" s="955">
        <v>5</v>
      </c>
      <c r="J47" s="955" t="s">
        <v>286</v>
      </c>
      <c r="K47" s="955">
        <v>6</v>
      </c>
      <c r="L47" s="970">
        <v>799</v>
      </c>
      <c r="M47" s="971">
        <f t="shared" si="0"/>
        <v>47940</v>
      </c>
      <c r="N47" s="855">
        <v>0.27555555555555555</v>
      </c>
      <c r="O47" s="855"/>
      <c r="P47" s="970">
        <v>799</v>
      </c>
      <c r="Q47" s="970">
        <f t="shared" si="1"/>
        <v>0</v>
      </c>
      <c r="R47" s="576">
        <f>(P47*((I47*12)-V47))</f>
        <v>47940</v>
      </c>
      <c r="S47" s="856">
        <f t="shared" si="13"/>
        <v>0.22811429116472717</v>
      </c>
      <c r="T47" s="580">
        <v>149</v>
      </c>
      <c r="U47" s="583">
        <v>6</v>
      </c>
      <c r="V47" s="583">
        <v>0</v>
      </c>
      <c r="W47" s="971">
        <f t="shared" si="3"/>
        <v>3900</v>
      </c>
      <c r="X47" s="971">
        <f t="shared" si="14"/>
        <v>44040</v>
      </c>
      <c r="Y47" s="858">
        <f t="shared" si="15"/>
        <v>-8.1351689612014999E-2</v>
      </c>
      <c r="Z47" s="857">
        <f t="shared" si="16"/>
        <v>1.7616000000000001</v>
      </c>
      <c r="AA47" s="856">
        <v>0.18743844635871967</v>
      </c>
      <c r="AB47" s="856">
        <v>2.4350339619015109E-2</v>
      </c>
      <c r="AC47" s="970">
        <f t="shared" si="4"/>
        <v>799</v>
      </c>
      <c r="AD47" s="970"/>
      <c r="AE47" s="970">
        <f t="shared" si="22"/>
        <v>0</v>
      </c>
      <c r="AF47" s="971">
        <f t="shared" si="18"/>
        <v>47940</v>
      </c>
      <c r="AG47" s="857">
        <f t="shared" si="19"/>
        <v>0</v>
      </c>
      <c r="AH47" s="576">
        <v>149</v>
      </c>
      <c r="AI47" s="856">
        <f t="shared" si="21"/>
        <v>0.14676260155271217</v>
      </c>
      <c r="AJ47" s="859">
        <v>6</v>
      </c>
      <c r="AK47" s="583">
        <v>0</v>
      </c>
      <c r="AL47" s="971">
        <f t="shared" si="20"/>
        <v>3900</v>
      </c>
      <c r="AM47" s="971">
        <f t="shared" si="6"/>
        <v>44040</v>
      </c>
      <c r="AN47" s="858">
        <f t="shared" si="7"/>
        <v>-8.1351689612014999E-2</v>
      </c>
      <c r="AO47" s="857">
        <f t="shared" si="8"/>
        <v>1.7616000000000001</v>
      </c>
      <c r="AP47" s="973">
        <f t="shared" si="9"/>
        <v>0</v>
      </c>
      <c r="AQ47" s="855">
        <f t="shared" si="10"/>
        <v>0</v>
      </c>
      <c r="AR47" s="974">
        <f t="shared" si="23"/>
        <v>0.18743844635871967</v>
      </c>
      <c r="AS47" s="975"/>
      <c r="AT47" s="976"/>
      <c r="AU47" s="971"/>
      <c r="AV47" s="976"/>
      <c r="AW47" s="970"/>
      <c r="AX47" s="971"/>
      <c r="AY47" s="971"/>
      <c r="AZ47" s="977"/>
      <c r="BA47" s="972"/>
      <c r="BB47" s="971"/>
      <c r="BC47" s="973"/>
      <c r="BD47" s="973"/>
      <c r="BE47" s="855"/>
      <c r="BF47" s="975"/>
      <c r="BG47" s="975"/>
      <c r="BH47" s="971"/>
      <c r="BI47" s="970"/>
      <c r="BJ47" s="971"/>
      <c r="BK47" s="971"/>
      <c r="BL47" s="977"/>
      <c r="BM47" s="972"/>
      <c r="BN47" s="971"/>
      <c r="BO47" s="973"/>
      <c r="BP47" s="973"/>
      <c r="BQ47" s="855"/>
      <c r="BR47" s="975"/>
      <c r="BS47" s="975"/>
      <c r="BT47" s="978"/>
      <c r="BU47" s="978"/>
      <c r="BV47" s="978">
        <v>0.18701085404561701</v>
      </c>
      <c r="BW47" s="978">
        <f t="shared" si="12"/>
        <v>0.18743844635871967</v>
      </c>
    </row>
    <row r="48" spans="1:75" hidden="1">
      <c r="A48" s="969">
        <v>2606</v>
      </c>
      <c r="B48" s="968" t="s">
        <v>307</v>
      </c>
      <c r="C48" s="969" t="s">
        <v>829</v>
      </c>
      <c r="D48" s="969" t="s">
        <v>2</v>
      </c>
      <c r="E48" s="955"/>
      <c r="F48" s="955"/>
      <c r="G48" s="955" t="str">
        <f>IFERROR(VLOOKUP(D48,[3]전용!E:J,6,0),"")</f>
        <v/>
      </c>
      <c r="H48" s="854">
        <v>25000</v>
      </c>
      <c r="I48" s="955">
        <v>5</v>
      </c>
      <c r="J48" s="955" t="s">
        <v>288</v>
      </c>
      <c r="K48" s="955">
        <v>6</v>
      </c>
      <c r="L48" s="970">
        <v>699</v>
      </c>
      <c r="M48" s="971">
        <f t="shared" si="0"/>
        <v>41940</v>
      </c>
      <c r="N48" s="855">
        <v>0.27555555555555555</v>
      </c>
      <c r="O48" s="855"/>
      <c r="P48" s="970">
        <v>699</v>
      </c>
      <c r="Q48" s="970">
        <f t="shared" si="1"/>
        <v>0</v>
      </c>
      <c r="R48" s="971">
        <f>P48*LEFT(I48,1)*12</f>
        <v>41940</v>
      </c>
      <c r="S48" s="856">
        <f t="shared" si="13"/>
        <v>0.22678036338304011</v>
      </c>
      <c r="T48" s="976">
        <v>149</v>
      </c>
      <c r="U48" s="972">
        <v>6</v>
      </c>
      <c r="V48" s="583">
        <v>0</v>
      </c>
      <c r="W48" s="971">
        <f t="shared" si="3"/>
        <v>3300</v>
      </c>
      <c r="X48" s="971">
        <f t="shared" si="14"/>
        <v>38640</v>
      </c>
      <c r="Y48" s="858">
        <f t="shared" si="15"/>
        <v>-7.8683834048640877E-2</v>
      </c>
      <c r="Z48" s="857">
        <f t="shared" si="16"/>
        <v>1.5456000000000001</v>
      </c>
      <c r="AA48" s="856">
        <v>0.18743844635871967</v>
      </c>
      <c r="AB48" s="856">
        <v>2.4350339619015109E-2</v>
      </c>
      <c r="AC48" s="970">
        <f t="shared" si="4"/>
        <v>699</v>
      </c>
      <c r="AD48" s="970"/>
      <c r="AE48" s="970">
        <f t="shared" si="22"/>
        <v>0</v>
      </c>
      <c r="AF48" s="971">
        <f t="shared" si="18"/>
        <v>41940</v>
      </c>
      <c r="AG48" s="857">
        <f t="shared" si="19"/>
        <v>0</v>
      </c>
      <c r="AH48" s="576">
        <v>149</v>
      </c>
      <c r="AI48" s="856">
        <f t="shared" si="21"/>
        <v>0.14809652933439924</v>
      </c>
      <c r="AJ48" s="859">
        <v>6</v>
      </c>
      <c r="AK48" s="583">
        <v>0</v>
      </c>
      <c r="AL48" s="971">
        <f t="shared" si="20"/>
        <v>3300</v>
      </c>
      <c r="AM48" s="971">
        <f t="shared" si="6"/>
        <v>38640</v>
      </c>
      <c r="AN48" s="858">
        <f t="shared" si="7"/>
        <v>-7.8683834048640877E-2</v>
      </c>
      <c r="AO48" s="857">
        <f t="shared" si="8"/>
        <v>1.5456000000000001</v>
      </c>
      <c r="AP48" s="973">
        <f t="shared" si="9"/>
        <v>0</v>
      </c>
      <c r="AQ48" s="855">
        <f t="shared" si="10"/>
        <v>0</v>
      </c>
      <c r="AR48" s="974">
        <f t="shared" si="23"/>
        <v>0.18743844635871967</v>
      </c>
      <c r="AS48" s="975"/>
      <c r="AT48" s="976"/>
      <c r="AU48" s="971"/>
      <c r="AV48" s="976"/>
      <c r="AW48" s="970"/>
      <c r="AX48" s="971"/>
      <c r="AY48" s="971"/>
      <c r="AZ48" s="977"/>
      <c r="BA48" s="972"/>
      <c r="BB48" s="971"/>
      <c r="BC48" s="973"/>
      <c r="BD48" s="973"/>
      <c r="BE48" s="855"/>
      <c r="BF48" s="975"/>
      <c r="BG48" s="975"/>
      <c r="BH48" s="971"/>
      <c r="BI48" s="970"/>
      <c r="BJ48" s="971"/>
      <c r="BK48" s="971"/>
      <c r="BL48" s="977"/>
      <c r="BM48" s="972"/>
      <c r="BN48" s="971"/>
      <c r="BO48" s="973"/>
      <c r="BP48" s="973"/>
      <c r="BQ48" s="855"/>
      <c r="BR48" s="975"/>
      <c r="BS48" s="975"/>
      <c r="BT48" s="978"/>
      <c r="BU48" s="978"/>
      <c r="BV48" s="978">
        <v>0.18701085404561701</v>
      </c>
      <c r="BW48" s="978">
        <f t="shared" si="12"/>
        <v>0.18743844635871967</v>
      </c>
    </row>
    <row r="49" spans="1:75" hidden="1">
      <c r="A49" s="969">
        <v>2606</v>
      </c>
      <c r="B49" s="968" t="s">
        <v>307</v>
      </c>
      <c r="C49" s="969" t="s">
        <v>829</v>
      </c>
      <c r="D49" s="969" t="s">
        <v>2</v>
      </c>
      <c r="E49" s="955"/>
      <c r="F49" s="955"/>
      <c r="G49" s="955" t="str">
        <f>IFERROR(VLOOKUP(D49,[3]전용!E:J,6,0),"")</f>
        <v/>
      </c>
      <c r="H49" s="854">
        <v>25000</v>
      </c>
      <c r="I49" s="955">
        <v>7</v>
      </c>
      <c r="J49" s="955" t="s">
        <v>286</v>
      </c>
      <c r="K49" s="955">
        <v>6</v>
      </c>
      <c r="L49" s="970">
        <v>599</v>
      </c>
      <c r="M49" s="971">
        <f t="shared" si="0"/>
        <v>50316</v>
      </c>
      <c r="N49" s="855">
        <v>0.25846153846153841</v>
      </c>
      <c r="O49" s="855"/>
      <c r="P49" s="970">
        <v>599</v>
      </c>
      <c r="Q49" s="970">
        <f t="shared" si="1"/>
        <v>0</v>
      </c>
      <c r="R49" s="971">
        <f>P49*LEFT(I49,1)*12</f>
        <v>50316</v>
      </c>
      <c r="S49" s="856">
        <f t="shared" si="13"/>
        <v>0.21426887803055369</v>
      </c>
      <c r="T49" s="976">
        <v>149</v>
      </c>
      <c r="U49" s="972">
        <v>6</v>
      </c>
      <c r="V49" s="583">
        <v>0</v>
      </c>
      <c r="W49" s="971">
        <f t="shared" si="3"/>
        <v>2700</v>
      </c>
      <c r="X49" s="971">
        <f t="shared" si="14"/>
        <v>47616</v>
      </c>
      <c r="Y49" s="858">
        <f t="shared" si="15"/>
        <v>-5.3660863343668042E-2</v>
      </c>
      <c r="Z49" s="857">
        <f t="shared" si="16"/>
        <v>1.9046400000000001</v>
      </c>
      <c r="AA49" s="856">
        <v>0.18743844635871967</v>
      </c>
      <c r="AB49" s="856">
        <v>2.4350339619015109E-2</v>
      </c>
      <c r="AC49" s="970">
        <f t="shared" si="4"/>
        <v>599</v>
      </c>
      <c r="AD49" s="970"/>
      <c r="AE49" s="970">
        <f t="shared" si="22"/>
        <v>0</v>
      </c>
      <c r="AF49" s="971">
        <f t="shared" si="18"/>
        <v>50316</v>
      </c>
      <c r="AG49" s="857">
        <f t="shared" si="19"/>
        <v>0</v>
      </c>
      <c r="AH49" s="576">
        <v>149</v>
      </c>
      <c r="AI49" s="856">
        <f t="shared" si="21"/>
        <v>0.16060801468688565</v>
      </c>
      <c r="AJ49" s="859">
        <v>6</v>
      </c>
      <c r="AK49" s="583">
        <v>0</v>
      </c>
      <c r="AL49" s="971">
        <f t="shared" si="20"/>
        <v>2700</v>
      </c>
      <c r="AM49" s="971">
        <f t="shared" si="6"/>
        <v>47616</v>
      </c>
      <c r="AN49" s="858">
        <f t="shared" si="7"/>
        <v>-5.3660863343668042E-2</v>
      </c>
      <c r="AO49" s="857">
        <f t="shared" si="8"/>
        <v>1.9046400000000001</v>
      </c>
      <c r="AP49" s="973">
        <f t="shared" si="9"/>
        <v>0</v>
      </c>
      <c r="AQ49" s="855">
        <f t="shared" si="10"/>
        <v>0</v>
      </c>
      <c r="AR49" s="974">
        <f t="shared" si="23"/>
        <v>0.18743844635871967</v>
      </c>
      <c r="AS49" s="975"/>
      <c r="AT49" s="976"/>
      <c r="AU49" s="971"/>
      <c r="AV49" s="976"/>
      <c r="AW49" s="970"/>
      <c r="AX49" s="971"/>
      <c r="AY49" s="971"/>
      <c r="AZ49" s="977"/>
      <c r="BA49" s="972"/>
      <c r="BB49" s="971"/>
      <c r="BC49" s="973"/>
      <c r="BD49" s="973"/>
      <c r="BE49" s="855"/>
      <c r="BF49" s="975"/>
      <c r="BG49" s="975"/>
      <c r="BH49" s="971"/>
      <c r="BI49" s="970"/>
      <c r="BJ49" s="971"/>
      <c r="BK49" s="971"/>
      <c r="BL49" s="977"/>
      <c r="BM49" s="972"/>
      <c r="BN49" s="971"/>
      <c r="BO49" s="973"/>
      <c r="BP49" s="973"/>
      <c r="BQ49" s="855"/>
      <c r="BR49" s="975"/>
      <c r="BS49" s="975"/>
      <c r="BT49" s="978"/>
      <c r="BU49" s="978"/>
      <c r="BV49" s="978">
        <v>0.18701085404561701</v>
      </c>
      <c r="BW49" s="978">
        <f t="shared" si="12"/>
        <v>0.18743844635871967</v>
      </c>
    </row>
    <row r="50" spans="1:75" hidden="1">
      <c r="A50" s="980">
        <v>2606</v>
      </c>
      <c r="B50" s="979" t="s">
        <v>307</v>
      </c>
      <c r="C50" s="980" t="s">
        <v>829</v>
      </c>
      <c r="D50" s="980" t="s">
        <v>2</v>
      </c>
      <c r="E50" s="955"/>
      <c r="F50" s="955"/>
      <c r="G50" s="955" t="str">
        <f>IFERROR(VLOOKUP(D50,[3]전용!E:J,6,0),"")</f>
        <v/>
      </c>
      <c r="H50" s="854">
        <v>25000</v>
      </c>
      <c r="I50" s="955">
        <v>7</v>
      </c>
      <c r="J50" s="955" t="s">
        <v>288</v>
      </c>
      <c r="K50" s="955">
        <v>6</v>
      </c>
      <c r="L50" s="970">
        <v>499</v>
      </c>
      <c r="M50" s="971">
        <f t="shared" si="0"/>
        <v>41916</v>
      </c>
      <c r="N50" s="855">
        <v>0.25846153846153841</v>
      </c>
      <c r="O50" s="855"/>
      <c r="P50" s="970">
        <v>499</v>
      </c>
      <c r="Q50" s="970">
        <f t="shared" si="1"/>
        <v>0</v>
      </c>
      <c r="R50" s="971">
        <f>P50*LEFT(I50,1)*12</f>
        <v>41916</v>
      </c>
      <c r="S50" s="856">
        <f t="shared" si="13"/>
        <v>0.2124885465591205</v>
      </c>
      <c r="T50" s="976">
        <v>149</v>
      </c>
      <c r="U50" s="972">
        <v>6</v>
      </c>
      <c r="V50" s="583">
        <v>0</v>
      </c>
      <c r="W50" s="971">
        <f t="shared" si="3"/>
        <v>2100</v>
      </c>
      <c r="X50" s="971">
        <f t="shared" si="14"/>
        <v>39816</v>
      </c>
      <c r="Y50" s="858">
        <f t="shared" si="15"/>
        <v>-5.0100200400801653E-2</v>
      </c>
      <c r="Z50" s="857">
        <f t="shared" si="16"/>
        <v>1.5926400000000001</v>
      </c>
      <c r="AA50" s="856">
        <v>0.18743844635871967</v>
      </c>
      <c r="AB50" s="856">
        <v>2.4350339619015109E-2</v>
      </c>
      <c r="AC50" s="970">
        <f t="shared" si="4"/>
        <v>499</v>
      </c>
      <c r="AD50" s="970"/>
      <c r="AE50" s="970">
        <f t="shared" si="22"/>
        <v>0</v>
      </c>
      <c r="AF50" s="971">
        <f t="shared" si="18"/>
        <v>41916</v>
      </c>
      <c r="AG50" s="857">
        <f t="shared" si="19"/>
        <v>0</v>
      </c>
      <c r="AH50" s="576">
        <v>149</v>
      </c>
      <c r="AI50" s="856">
        <f t="shared" si="21"/>
        <v>0.16238834615831885</v>
      </c>
      <c r="AJ50" s="859">
        <v>6</v>
      </c>
      <c r="AK50" s="583">
        <v>0</v>
      </c>
      <c r="AL50" s="971">
        <f t="shared" si="20"/>
        <v>2100</v>
      </c>
      <c r="AM50" s="971">
        <f t="shared" si="6"/>
        <v>39816</v>
      </c>
      <c r="AN50" s="858">
        <f t="shared" si="7"/>
        <v>-5.0100200400801653E-2</v>
      </c>
      <c r="AO50" s="857">
        <f t="shared" si="8"/>
        <v>1.5926400000000001</v>
      </c>
      <c r="AP50" s="973">
        <f t="shared" si="9"/>
        <v>0</v>
      </c>
      <c r="AQ50" s="855">
        <f t="shared" si="10"/>
        <v>0</v>
      </c>
      <c r="AR50" s="974">
        <f t="shared" si="23"/>
        <v>0.18743844635871967</v>
      </c>
      <c r="AS50" s="975"/>
      <c r="AT50" s="976"/>
      <c r="AU50" s="971"/>
      <c r="AV50" s="976"/>
      <c r="AW50" s="970"/>
      <c r="AX50" s="971"/>
      <c r="AY50" s="971"/>
      <c r="AZ50" s="977"/>
      <c r="BA50" s="972"/>
      <c r="BB50" s="971"/>
      <c r="BC50" s="973"/>
      <c r="BD50" s="973"/>
      <c r="BE50" s="855"/>
      <c r="BF50" s="975"/>
      <c r="BG50" s="975"/>
      <c r="BH50" s="971"/>
      <c r="BI50" s="970"/>
      <c r="BJ50" s="971"/>
      <c r="BK50" s="971"/>
      <c r="BL50" s="977"/>
      <c r="BM50" s="972"/>
      <c r="BN50" s="971"/>
      <c r="BO50" s="973"/>
      <c r="BP50" s="973"/>
      <c r="BQ50" s="855"/>
      <c r="BR50" s="975"/>
      <c r="BS50" s="975"/>
      <c r="BT50" s="978"/>
      <c r="BU50" s="978"/>
      <c r="BV50" s="978">
        <v>0.18701085404561701</v>
      </c>
      <c r="BW50" s="978">
        <f t="shared" si="12"/>
        <v>0.18743844635871967</v>
      </c>
    </row>
    <row r="51" spans="1:75" hidden="1">
      <c r="A51" s="969">
        <v>2606</v>
      </c>
      <c r="B51" s="968" t="s">
        <v>307</v>
      </c>
      <c r="C51" s="969" t="s">
        <v>829</v>
      </c>
      <c r="D51" s="969" t="s">
        <v>4</v>
      </c>
      <c r="E51" s="955"/>
      <c r="F51" s="955"/>
      <c r="G51" s="955" t="str">
        <f>IFERROR(VLOOKUP(D51,[3]전용!E:J,6,0),"")</f>
        <v/>
      </c>
      <c r="H51" s="854">
        <v>25000</v>
      </c>
      <c r="I51" s="955">
        <v>5</v>
      </c>
      <c r="J51" s="955" t="s">
        <v>286</v>
      </c>
      <c r="K51" s="955">
        <v>6</v>
      </c>
      <c r="L51" s="970">
        <v>799</v>
      </c>
      <c r="M51" s="971">
        <f t="shared" si="0"/>
        <v>47940</v>
      </c>
      <c r="N51" s="855">
        <v>0.27555555555555555</v>
      </c>
      <c r="O51" s="855"/>
      <c r="P51" s="970">
        <v>799</v>
      </c>
      <c r="Q51" s="970">
        <f t="shared" si="1"/>
        <v>0</v>
      </c>
      <c r="R51" s="576">
        <f>(P51*((I51*12)-V51))</f>
        <v>47940</v>
      </c>
      <c r="S51" s="856">
        <f t="shared" si="13"/>
        <v>0.23720395518000514</v>
      </c>
      <c r="T51" s="580">
        <v>149</v>
      </c>
      <c r="U51" s="583">
        <v>6</v>
      </c>
      <c r="V51" s="583">
        <v>0</v>
      </c>
      <c r="W51" s="971">
        <f t="shared" si="3"/>
        <v>3900</v>
      </c>
      <c r="X51" s="971">
        <f t="shared" si="14"/>
        <v>44040</v>
      </c>
      <c r="Y51" s="858">
        <f t="shared" si="15"/>
        <v>-8.1351689612014999E-2</v>
      </c>
      <c r="Z51" s="857">
        <f t="shared" si="16"/>
        <v>1.7616000000000001</v>
      </c>
      <c r="AA51" s="856">
        <v>0.19652811037399764</v>
      </c>
      <c r="AB51" s="856">
        <v>3.6628146812653299E-2</v>
      </c>
      <c r="AC51" s="970">
        <f t="shared" si="4"/>
        <v>799</v>
      </c>
      <c r="AD51" s="970"/>
      <c r="AE51" s="970">
        <f t="shared" si="22"/>
        <v>0</v>
      </c>
      <c r="AF51" s="971">
        <f t="shared" si="18"/>
        <v>47940</v>
      </c>
      <c r="AG51" s="857">
        <f t="shared" si="19"/>
        <v>0</v>
      </c>
      <c r="AH51" s="576">
        <v>149</v>
      </c>
      <c r="AI51" s="856">
        <f t="shared" si="21"/>
        <v>0.15585226556799014</v>
      </c>
      <c r="AJ51" s="859">
        <v>6</v>
      </c>
      <c r="AK51" s="583">
        <v>0</v>
      </c>
      <c r="AL51" s="971">
        <f t="shared" si="20"/>
        <v>3900</v>
      </c>
      <c r="AM51" s="971">
        <f t="shared" si="6"/>
        <v>44040</v>
      </c>
      <c r="AN51" s="858">
        <f t="shared" si="7"/>
        <v>-8.1351689612014999E-2</v>
      </c>
      <c r="AO51" s="857">
        <f t="shared" si="8"/>
        <v>1.7616000000000001</v>
      </c>
      <c r="AP51" s="973">
        <f t="shared" si="9"/>
        <v>0</v>
      </c>
      <c r="AQ51" s="855">
        <f t="shared" si="10"/>
        <v>0</v>
      </c>
      <c r="AR51" s="974">
        <f t="shared" si="23"/>
        <v>0.19652811037399764</v>
      </c>
      <c r="AS51" s="975"/>
      <c r="AT51" s="976"/>
      <c r="AU51" s="971"/>
      <c r="AV51" s="976"/>
      <c r="AW51" s="970"/>
      <c r="AX51" s="971"/>
      <c r="AY51" s="971"/>
      <c r="AZ51" s="977"/>
      <c r="BA51" s="972"/>
      <c r="BB51" s="971"/>
      <c r="BC51" s="973"/>
      <c r="BD51" s="973"/>
      <c r="BE51" s="855"/>
      <c r="BF51" s="975"/>
      <c r="BG51" s="975"/>
      <c r="BH51" s="971"/>
      <c r="BI51" s="970"/>
      <c r="BJ51" s="971"/>
      <c r="BK51" s="971"/>
      <c r="BL51" s="977"/>
      <c r="BM51" s="972"/>
      <c r="BN51" s="971"/>
      <c r="BO51" s="973"/>
      <c r="BP51" s="973"/>
      <c r="BQ51" s="855"/>
      <c r="BR51" s="975"/>
      <c r="BS51" s="975"/>
      <c r="BT51" s="978"/>
      <c r="BU51" s="978"/>
      <c r="BV51" s="978">
        <v>0.19203678912316632</v>
      </c>
      <c r="BW51" s="978">
        <f t="shared" si="12"/>
        <v>0.15852811037399764</v>
      </c>
    </row>
    <row r="52" spans="1:75" hidden="1">
      <c r="A52" s="969">
        <v>2606</v>
      </c>
      <c r="B52" s="968" t="s">
        <v>307</v>
      </c>
      <c r="C52" s="969" t="s">
        <v>829</v>
      </c>
      <c r="D52" s="969" t="s">
        <v>4</v>
      </c>
      <c r="E52" s="955"/>
      <c r="F52" s="955"/>
      <c r="G52" s="955" t="str">
        <f>IFERROR(VLOOKUP(D52,[3]전용!E:J,6,0),"")</f>
        <v/>
      </c>
      <c r="H52" s="854">
        <v>25000</v>
      </c>
      <c r="I52" s="955">
        <v>5</v>
      </c>
      <c r="J52" s="955" t="s">
        <v>288</v>
      </c>
      <c r="K52" s="955">
        <v>6</v>
      </c>
      <c r="L52" s="970">
        <v>699</v>
      </c>
      <c r="M52" s="971">
        <f t="shared" si="0"/>
        <v>41940</v>
      </c>
      <c r="N52" s="855">
        <v>0.27555555555555555</v>
      </c>
      <c r="O52" s="855"/>
      <c r="P52" s="970">
        <v>699</v>
      </c>
      <c r="Q52" s="970">
        <f t="shared" si="1"/>
        <v>0</v>
      </c>
      <c r="R52" s="971">
        <f>P52*LEFT(I52,1)*12</f>
        <v>41940</v>
      </c>
      <c r="S52" s="856">
        <f t="shared" si="13"/>
        <v>0.23587002739831808</v>
      </c>
      <c r="T52" s="976">
        <v>149</v>
      </c>
      <c r="U52" s="972">
        <v>6</v>
      </c>
      <c r="V52" s="583">
        <v>0</v>
      </c>
      <c r="W52" s="971">
        <f t="shared" si="3"/>
        <v>3300</v>
      </c>
      <c r="X52" s="971">
        <f t="shared" si="14"/>
        <v>38640</v>
      </c>
      <c r="Y52" s="858">
        <f t="shared" si="15"/>
        <v>-7.8683834048640877E-2</v>
      </c>
      <c r="Z52" s="857">
        <f t="shared" si="16"/>
        <v>1.5456000000000001</v>
      </c>
      <c r="AA52" s="856">
        <v>0.19652811037399764</v>
      </c>
      <c r="AB52" s="856">
        <v>3.6628146812653299E-2</v>
      </c>
      <c r="AC52" s="970">
        <f t="shared" si="4"/>
        <v>699</v>
      </c>
      <c r="AD52" s="970"/>
      <c r="AE52" s="970">
        <f t="shared" si="22"/>
        <v>0</v>
      </c>
      <c r="AF52" s="971">
        <f t="shared" si="18"/>
        <v>41940</v>
      </c>
      <c r="AG52" s="857">
        <f t="shared" si="19"/>
        <v>0</v>
      </c>
      <c r="AH52" s="576">
        <v>149</v>
      </c>
      <c r="AI52" s="856">
        <f t="shared" si="21"/>
        <v>0.15718619334967721</v>
      </c>
      <c r="AJ52" s="859">
        <v>6</v>
      </c>
      <c r="AK52" s="583">
        <v>0</v>
      </c>
      <c r="AL52" s="971">
        <f t="shared" si="20"/>
        <v>3300</v>
      </c>
      <c r="AM52" s="971">
        <f t="shared" si="6"/>
        <v>38640</v>
      </c>
      <c r="AN52" s="858">
        <f t="shared" si="7"/>
        <v>-7.8683834048640877E-2</v>
      </c>
      <c r="AO52" s="857">
        <f t="shared" si="8"/>
        <v>1.5456000000000001</v>
      </c>
      <c r="AP52" s="973">
        <f t="shared" si="9"/>
        <v>0</v>
      </c>
      <c r="AQ52" s="855">
        <f t="shared" si="10"/>
        <v>0</v>
      </c>
      <c r="AR52" s="974">
        <f t="shared" si="23"/>
        <v>0.19652811037399764</v>
      </c>
      <c r="AS52" s="975"/>
      <c r="AT52" s="976"/>
      <c r="AU52" s="971"/>
      <c r="AV52" s="976"/>
      <c r="AW52" s="970"/>
      <c r="AX52" s="971"/>
      <c r="AY52" s="971"/>
      <c r="AZ52" s="977"/>
      <c r="BA52" s="972"/>
      <c r="BB52" s="971"/>
      <c r="BC52" s="973"/>
      <c r="BD52" s="973"/>
      <c r="BE52" s="855"/>
      <c r="BF52" s="975"/>
      <c r="BG52" s="975"/>
      <c r="BH52" s="971"/>
      <c r="BI52" s="970"/>
      <c r="BJ52" s="971"/>
      <c r="BK52" s="971"/>
      <c r="BL52" s="977"/>
      <c r="BM52" s="972"/>
      <c r="BN52" s="971"/>
      <c r="BO52" s="973"/>
      <c r="BP52" s="973"/>
      <c r="BQ52" s="855"/>
      <c r="BR52" s="975"/>
      <c r="BS52" s="975"/>
      <c r="BT52" s="978"/>
      <c r="BU52" s="978"/>
      <c r="BV52" s="978">
        <v>0.19203678912316632</v>
      </c>
      <c r="BW52" s="978">
        <f t="shared" si="12"/>
        <v>0.15852811037399764</v>
      </c>
    </row>
    <row r="53" spans="1:75" hidden="1">
      <c r="A53" s="969">
        <v>2606</v>
      </c>
      <c r="B53" s="968" t="s">
        <v>307</v>
      </c>
      <c r="C53" s="969" t="s">
        <v>829</v>
      </c>
      <c r="D53" s="969" t="s">
        <v>4</v>
      </c>
      <c r="E53" s="955"/>
      <c r="F53" s="955"/>
      <c r="G53" s="955" t="str">
        <f>IFERROR(VLOOKUP(D53,[3]전용!E:J,6,0),"")</f>
        <v/>
      </c>
      <c r="H53" s="854">
        <v>25000</v>
      </c>
      <c r="I53" s="955">
        <v>7</v>
      </c>
      <c r="J53" s="955" t="s">
        <v>286</v>
      </c>
      <c r="K53" s="955">
        <v>6</v>
      </c>
      <c r="L53" s="970">
        <v>599</v>
      </c>
      <c r="M53" s="971">
        <f t="shared" si="0"/>
        <v>50316</v>
      </c>
      <c r="N53" s="855">
        <v>0.25846153846153841</v>
      </c>
      <c r="O53" s="855"/>
      <c r="P53" s="970">
        <v>599</v>
      </c>
      <c r="Q53" s="970">
        <f t="shared" si="1"/>
        <v>0</v>
      </c>
      <c r="R53" s="971">
        <f>P53*LEFT(I53,1)*12</f>
        <v>50316</v>
      </c>
      <c r="S53" s="856">
        <f t="shared" si="13"/>
        <v>0.22335854204583167</v>
      </c>
      <c r="T53" s="976">
        <v>149</v>
      </c>
      <c r="U53" s="972">
        <v>6</v>
      </c>
      <c r="V53" s="583">
        <v>0</v>
      </c>
      <c r="W53" s="971">
        <f t="shared" si="3"/>
        <v>2700</v>
      </c>
      <c r="X53" s="971">
        <f t="shared" si="14"/>
        <v>47616</v>
      </c>
      <c r="Y53" s="858">
        <f t="shared" si="15"/>
        <v>-5.3660863343668042E-2</v>
      </c>
      <c r="Z53" s="857">
        <f t="shared" si="16"/>
        <v>1.9046400000000001</v>
      </c>
      <c r="AA53" s="856">
        <v>0.19652811037399764</v>
      </c>
      <c r="AB53" s="856">
        <v>3.6628146812653299E-2</v>
      </c>
      <c r="AC53" s="970">
        <f t="shared" si="4"/>
        <v>599</v>
      </c>
      <c r="AD53" s="970"/>
      <c r="AE53" s="970">
        <f t="shared" si="22"/>
        <v>0</v>
      </c>
      <c r="AF53" s="971">
        <f t="shared" si="18"/>
        <v>50316</v>
      </c>
      <c r="AG53" s="857">
        <f t="shared" si="19"/>
        <v>0</v>
      </c>
      <c r="AH53" s="576">
        <v>149</v>
      </c>
      <c r="AI53" s="856">
        <f t="shared" si="21"/>
        <v>0.16969767870216362</v>
      </c>
      <c r="AJ53" s="859">
        <v>6</v>
      </c>
      <c r="AK53" s="583">
        <v>0</v>
      </c>
      <c r="AL53" s="971">
        <f t="shared" si="20"/>
        <v>2700</v>
      </c>
      <c r="AM53" s="971">
        <f t="shared" si="6"/>
        <v>47616</v>
      </c>
      <c r="AN53" s="858">
        <f t="shared" si="7"/>
        <v>-5.3660863343668042E-2</v>
      </c>
      <c r="AO53" s="857">
        <f t="shared" si="8"/>
        <v>1.9046400000000001</v>
      </c>
      <c r="AP53" s="973">
        <f t="shared" si="9"/>
        <v>0</v>
      </c>
      <c r="AQ53" s="855">
        <f t="shared" si="10"/>
        <v>0</v>
      </c>
      <c r="AR53" s="974">
        <f t="shared" si="23"/>
        <v>0.19652811037399764</v>
      </c>
      <c r="AS53" s="975"/>
      <c r="AT53" s="976"/>
      <c r="AU53" s="971"/>
      <c r="AV53" s="976"/>
      <c r="AW53" s="970"/>
      <c r="AX53" s="971"/>
      <c r="AY53" s="971"/>
      <c r="AZ53" s="977"/>
      <c r="BA53" s="972"/>
      <c r="BB53" s="971"/>
      <c r="BC53" s="973"/>
      <c r="BD53" s="973"/>
      <c r="BE53" s="855"/>
      <c r="BF53" s="975"/>
      <c r="BG53" s="975"/>
      <c r="BH53" s="971"/>
      <c r="BI53" s="970"/>
      <c r="BJ53" s="971"/>
      <c r="BK53" s="971"/>
      <c r="BL53" s="977"/>
      <c r="BM53" s="972"/>
      <c r="BN53" s="971"/>
      <c r="BO53" s="973"/>
      <c r="BP53" s="973"/>
      <c r="BQ53" s="855"/>
      <c r="BR53" s="975"/>
      <c r="BS53" s="975"/>
      <c r="BT53" s="978"/>
      <c r="BU53" s="978"/>
      <c r="BV53" s="978">
        <v>0.19203678912316632</v>
      </c>
      <c r="BW53" s="978">
        <f t="shared" si="12"/>
        <v>0.15852811037399764</v>
      </c>
    </row>
    <row r="54" spans="1:75" hidden="1">
      <c r="A54" s="980">
        <v>2606</v>
      </c>
      <c r="B54" s="979" t="s">
        <v>307</v>
      </c>
      <c r="C54" s="980" t="s">
        <v>829</v>
      </c>
      <c r="D54" s="980" t="s">
        <v>4</v>
      </c>
      <c r="E54" s="955"/>
      <c r="F54" s="955"/>
      <c r="G54" s="955" t="str">
        <f>IFERROR(VLOOKUP(D54,[3]전용!E:J,6,0),"")</f>
        <v/>
      </c>
      <c r="H54" s="854">
        <v>25000</v>
      </c>
      <c r="I54" s="955">
        <v>7</v>
      </c>
      <c r="J54" s="955" t="s">
        <v>288</v>
      </c>
      <c r="K54" s="955">
        <v>6</v>
      </c>
      <c r="L54" s="970">
        <v>499</v>
      </c>
      <c r="M54" s="971">
        <f t="shared" si="0"/>
        <v>41916</v>
      </c>
      <c r="N54" s="855">
        <v>0.25846153846153841</v>
      </c>
      <c r="O54" s="855"/>
      <c r="P54" s="970">
        <v>499</v>
      </c>
      <c r="Q54" s="970">
        <f t="shared" si="1"/>
        <v>0</v>
      </c>
      <c r="R54" s="971">
        <f>P54*LEFT(I54,1)*12</f>
        <v>41916</v>
      </c>
      <c r="S54" s="856">
        <f t="shared" si="13"/>
        <v>0.22157821057439847</v>
      </c>
      <c r="T54" s="976">
        <v>149</v>
      </c>
      <c r="U54" s="972">
        <v>6</v>
      </c>
      <c r="V54" s="583">
        <v>0</v>
      </c>
      <c r="W54" s="971">
        <f t="shared" si="3"/>
        <v>2100</v>
      </c>
      <c r="X54" s="971">
        <f t="shared" si="14"/>
        <v>39816</v>
      </c>
      <c r="Y54" s="858">
        <f t="shared" si="15"/>
        <v>-5.0100200400801653E-2</v>
      </c>
      <c r="Z54" s="857">
        <f t="shared" si="16"/>
        <v>1.5926400000000001</v>
      </c>
      <c r="AA54" s="856">
        <v>0.19652811037399764</v>
      </c>
      <c r="AB54" s="856">
        <v>3.6628146812653299E-2</v>
      </c>
      <c r="AC54" s="970">
        <f t="shared" si="4"/>
        <v>499</v>
      </c>
      <c r="AD54" s="970"/>
      <c r="AE54" s="970">
        <f t="shared" si="22"/>
        <v>0</v>
      </c>
      <c r="AF54" s="971">
        <f t="shared" si="18"/>
        <v>41916</v>
      </c>
      <c r="AG54" s="857">
        <f t="shared" si="19"/>
        <v>0</v>
      </c>
      <c r="AH54" s="576">
        <v>149</v>
      </c>
      <c r="AI54" s="856">
        <f t="shared" si="21"/>
        <v>0.17147801017359682</v>
      </c>
      <c r="AJ54" s="859">
        <v>6</v>
      </c>
      <c r="AK54" s="583">
        <v>0</v>
      </c>
      <c r="AL54" s="971">
        <f t="shared" si="20"/>
        <v>2100</v>
      </c>
      <c r="AM54" s="971">
        <f t="shared" si="6"/>
        <v>39816</v>
      </c>
      <c r="AN54" s="858">
        <f t="shared" si="7"/>
        <v>-5.0100200400801653E-2</v>
      </c>
      <c r="AO54" s="857">
        <f t="shared" si="8"/>
        <v>1.5926400000000001</v>
      </c>
      <c r="AP54" s="973">
        <f t="shared" si="9"/>
        <v>0</v>
      </c>
      <c r="AQ54" s="855">
        <f t="shared" si="10"/>
        <v>0</v>
      </c>
      <c r="AR54" s="974">
        <f t="shared" si="23"/>
        <v>0.19652811037399764</v>
      </c>
      <c r="AS54" s="975"/>
      <c r="AT54" s="976"/>
      <c r="AU54" s="971"/>
      <c r="AV54" s="976"/>
      <c r="AW54" s="970"/>
      <c r="AX54" s="971"/>
      <c r="AY54" s="971"/>
      <c r="AZ54" s="977"/>
      <c r="BA54" s="972"/>
      <c r="BB54" s="971"/>
      <c r="BC54" s="973"/>
      <c r="BD54" s="973"/>
      <c r="BE54" s="855"/>
      <c r="BF54" s="975"/>
      <c r="BG54" s="975"/>
      <c r="BH54" s="971"/>
      <c r="BI54" s="970"/>
      <c r="BJ54" s="971"/>
      <c r="BK54" s="971"/>
      <c r="BL54" s="977"/>
      <c r="BM54" s="972"/>
      <c r="BN54" s="971"/>
      <c r="BO54" s="973"/>
      <c r="BP54" s="973"/>
      <c r="BQ54" s="855"/>
      <c r="BR54" s="975"/>
      <c r="BS54" s="975"/>
      <c r="BT54" s="978"/>
      <c r="BU54" s="978"/>
      <c r="BV54" s="978">
        <v>0.19203678912316632</v>
      </c>
      <c r="BW54" s="978">
        <f t="shared" si="12"/>
        <v>0.15852811037399764</v>
      </c>
    </row>
    <row r="55" spans="1:75" hidden="1">
      <c r="A55" s="969">
        <v>2606</v>
      </c>
      <c r="B55" s="968" t="s">
        <v>307</v>
      </c>
      <c r="C55" s="969" t="s">
        <v>829</v>
      </c>
      <c r="D55" s="969" t="s">
        <v>6</v>
      </c>
      <c r="E55" s="955"/>
      <c r="F55" s="955"/>
      <c r="G55" s="955" t="str">
        <f>IFERROR(VLOOKUP(D55,[3]전용!E:J,6,0),"")</f>
        <v/>
      </c>
      <c r="H55" s="854">
        <v>25000</v>
      </c>
      <c r="I55" s="955">
        <v>5</v>
      </c>
      <c r="J55" s="955" t="s">
        <v>286</v>
      </c>
      <c r="K55" s="955">
        <v>6</v>
      </c>
      <c r="L55" s="970">
        <v>799</v>
      </c>
      <c r="M55" s="971">
        <f t="shared" si="0"/>
        <v>47940</v>
      </c>
      <c r="N55" s="855">
        <v>0.27555555555555555</v>
      </c>
      <c r="O55" s="855"/>
      <c r="P55" s="970">
        <v>799</v>
      </c>
      <c r="Q55" s="970">
        <f t="shared" si="1"/>
        <v>0</v>
      </c>
      <c r="R55" s="576">
        <f>(P55*((I55*12)-V55))</f>
        <v>47940</v>
      </c>
      <c r="S55" s="856">
        <f t="shared" si="13"/>
        <v>0.23278535677639511</v>
      </c>
      <c r="T55" s="580">
        <v>149</v>
      </c>
      <c r="U55" s="583">
        <v>6</v>
      </c>
      <c r="V55" s="583">
        <v>0</v>
      </c>
      <c r="W55" s="971">
        <f t="shared" si="3"/>
        <v>3900</v>
      </c>
      <c r="X55" s="971">
        <f t="shared" si="14"/>
        <v>44040</v>
      </c>
      <c r="Y55" s="858">
        <f t="shared" si="15"/>
        <v>-8.1351689612014999E-2</v>
      </c>
      <c r="Z55" s="857">
        <f t="shared" si="16"/>
        <v>1.7616000000000001</v>
      </c>
      <c r="AA55" s="856">
        <v>0.19210951197038761</v>
      </c>
      <c r="AB55" s="856">
        <v>2.8620681209159903E-2</v>
      </c>
      <c r="AC55" s="970">
        <f t="shared" si="4"/>
        <v>799</v>
      </c>
      <c r="AD55" s="970"/>
      <c r="AE55" s="970">
        <f t="shared" si="22"/>
        <v>0</v>
      </c>
      <c r="AF55" s="971">
        <f t="shared" si="18"/>
        <v>47940</v>
      </c>
      <c r="AG55" s="857">
        <f t="shared" si="19"/>
        <v>0</v>
      </c>
      <c r="AH55" s="576">
        <v>149</v>
      </c>
      <c r="AI55" s="856">
        <f t="shared" si="21"/>
        <v>0.15143366716438011</v>
      </c>
      <c r="AJ55" s="859">
        <v>6</v>
      </c>
      <c r="AK55" s="583">
        <v>0</v>
      </c>
      <c r="AL55" s="971">
        <f t="shared" si="20"/>
        <v>3900</v>
      </c>
      <c r="AM55" s="971">
        <f t="shared" si="6"/>
        <v>44040</v>
      </c>
      <c r="AN55" s="858">
        <f t="shared" si="7"/>
        <v>-8.1351689612014999E-2</v>
      </c>
      <c r="AO55" s="857">
        <f t="shared" si="8"/>
        <v>1.7616000000000001</v>
      </c>
      <c r="AP55" s="973">
        <f t="shared" si="9"/>
        <v>0</v>
      </c>
      <c r="AQ55" s="855">
        <f t="shared" si="10"/>
        <v>0</v>
      </c>
      <c r="AR55" s="974">
        <f t="shared" si="23"/>
        <v>0.19210951197038761</v>
      </c>
      <c r="AS55" s="975"/>
      <c r="AT55" s="976"/>
      <c r="AU55" s="971"/>
      <c r="AV55" s="976"/>
      <c r="AW55" s="970"/>
      <c r="AX55" s="971"/>
      <c r="AY55" s="971"/>
      <c r="AZ55" s="977"/>
      <c r="BA55" s="972"/>
      <c r="BB55" s="971"/>
      <c r="BC55" s="973"/>
      <c r="BD55" s="973"/>
      <c r="BE55" s="855"/>
      <c r="BF55" s="975"/>
      <c r="BG55" s="975"/>
      <c r="BH55" s="971"/>
      <c r="BI55" s="970"/>
      <c r="BJ55" s="971"/>
      <c r="BK55" s="971"/>
      <c r="BL55" s="977"/>
      <c r="BM55" s="972"/>
      <c r="BN55" s="971"/>
      <c r="BO55" s="973"/>
      <c r="BP55" s="973"/>
      <c r="BQ55" s="855"/>
      <c r="BR55" s="975"/>
      <c r="BS55" s="975"/>
      <c r="BT55" s="978"/>
      <c r="BU55" s="978"/>
      <c r="BV55" s="978">
        <v>0.19515117167181595</v>
      </c>
      <c r="BW55" s="978">
        <f t="shared" si="12"/>
        <v>0.15410951197038761</v>
      </c>
    </row>
    <row r="56" spans="1:75" hidden="1">
      <c r="A56" s="969">
        <v>2606</v>
      </c>
      <c r="B56" s="968" t="s">
        <v>307</v>
      </c>
      <c r="C56" s="969" t="s">
        <v>829</v>
      </c>
      <c r="D56" s="969" t="s">
        <v>6</v>
      </c>
      <c r="E56" s="955"/>
      <c r="F56" s="955"/>
      <c r="G56" s="955" t="str">
        <f>IFERROR(VLOOKUP(D56,[3]전용!E:J,6,0),"")</f>
        <v/>
      </c>
      <c r="H56" s="854">
        <v>25000</v>
      </c>
      <c r="I56" s="955">
        <v>5</v>
      </c>
      <c r="J56" s="955" t="s">
        <v>288</v>
      </c>
      <c r="K56" s="955">
        <v>6</v>
      </c>
      <c r="L56" s="970">
        <v>699</v>
      </c>
      <c r="M56" s="971">
        <f t="shared" si="0"/>
        <v>41940</v>
      </c>
      <c r="N56" s="855">
        <v>0.27555555555555555</v>
      </c>
      <c r="O56" s="855"/>
      <c r="P56" s="970">
        <v>699</v>
      </c>
      <c r="Q56" s="970">
        <f t="shared" si="1"/>
        <v>0</v>
      </c>
      <c r="R56" s="971">
        <f>P56*LEFT(I56,1)*12</f>
        <v>41940</v>
      </c>
      <c r="S56" s="856">
        <f t="shared" si="13"/>
        <v>0.23145142899470805</v>
      </c>
      <c r="T56" s="976">
        <v>149</v>
      </c>
      <c r="U56" s="972">
        <v>6</v>
      </c>
      <c r="V56" s="583">
        <v>0</v>
      </c>
      <c r="W56" s="971">
        <f t="shared" si="3"/>
        <v>3300</v>
      </c>
      <c r="X56" s="971">
        <f t="shared" si="14"/>
        <v>38640</v>
      </c>
      <c r="Y56" s="858">
        <f t="shared" si="15"/>
        <v>-7.8683834048640877E-2</v>
      </c>
      <c r="Z56" s="857">
        <f t="shared" si="16"/>
        <v>1.5456000000000001</v>
      </c>
      <c r="AA56" s="856">
        <v>0.19210951197038761</v>
      </c>
      <c r="AB56" s="856">
        <v>2.8620681209159903E-2</v>
      </c>
      <c r="AC56" s="970">
        <f t="shared" si="4"/>
        <v>699</v>
      </c>
      <c r="AD56" s="970"/>
      <c r="AE56" s="970">
        <f t="shared" si="22"/>
        <v>0</v>
      </c>
      <c r="AF56" s="971">
        <f t="shared" si="18"/>
        <v>41940</v>
      </c>
      <c r="AG56" s="857">
        <f t="shared" si="19"/>
        <v>0</v>
      </c>
      <c r="AH56" s="576">
        <v>149</v>
      </c>
      <c r="AI56" s="856">
        <f t="shared" si="21"/>
        <v>0.15276759494606718</v>
      </c>
      <c r="AJ56" s="859">
        <v>6</v>
      </c>
      <c r="AK56" s="583">
        <v>0</v>
      </c>
      <c r="AL56" s="971">
        <f t="shared" si="20"/>
        <v>3300</v>
      </c>
      <c r="AM56" s="971">
        <f t="shared" si="6"/>
        <v>38640</v>
      </c>
      <c r="AN56" s="858">
        <f t="shared" si="7"/>
        <v>-7.8683834048640877E-2</v>
      </c>
      <c r="AO56" s="857">
        <f t="shared" si="8"/>
        <v>1.5456000000000001</v>
      </c>
      <c r="AP56" s="973">
        <f t="shared" si="9"/>
        <v>0</v>
      </c>
      <c r="AQ56" s="855">
        <f t="shared" si="10"/>
        <v>0</v>
      </c>
      <c r="AR56" s="974">
        <f t="shared" si="23"/>
        <v>0.19210951197038761</v>
      </c>
      <c r="AS56" s="975"/>
      <c r="AT56" s="976"/>
      <c r="AU56" s="971"/>
      <c r="AV56" s="976"/>
      <c r="AW56" s="970"/>
      <c r="AX56" s="971"/>
      <c r="AY56" s="971"/>
      <c r="AZ56" s="977"/>
      <c r="BA56" s="972"/>
      <c r="BB56" s="971"/>
      <c r="BC56" s="973"/>
      <c r="BD56" s="973"/>
      <c r="BE56" s="855"/>
      <c r="BF56" s="975"/>
      <c r="BG56" s="975"/>
      <c r="BH56" s="971"/>
      <c r="BI56" s="970"/>
      <c r="BJ56" s="971"/>
      <c r="BK56" s="971"/>
      <c r="BL56" s="977"/>
      <c r="BM56" s="972"/>
      <c r="BN56" s="971"/>
      <c r="BO56" s="973"/>
      <c r="BP56" s="973"/>
      <c r="BQ56" s="855"/>
      <c r="BR56" s="975"/>
      <c r="BS56" s="975"/>
      <c r="BT56" s="978"/>
      <c r="BU56" s="978"/>
      <c r="BV56" s="978">
        <v>0.19515117167181595</v>
      </c>
      <c r="BW56" s="978">
        <f t="shared" si="12"/>
        <v>0.15410951197038761</v>
      </c>
    </row>
    <row r="57" spans="1:75" hidden="1">
      <c r="A57" s="969">
        <v>2606</v>
      </c>
      <c r="B57" s="968" t="s">
        <v>307</v>
      </c>
      <c r="C57" s="969" t="s">
        <v>829</v>
      </c>
      <c r="D57" s="969" t="s">
        <v>6</v>
      </c>
      <c r="E57" s="955"/>
      <c r="F57" s="955"/>
      <c r="G57" s="955" t="str">
        <f>IFERROR(VLOOKUP(D57,[3]전용!E:J,6,0),"")</f>
        <v/>
      </c>
      <c r="H57" s="854">
        <v>25000</v>
      </c>
      <c r="I57" s="955">
        <v>7</v>
      </c>
      <c r="J57" s="955" t="s">
        <v>286</v>
      </c>
      <c r="K57" s="955">
        <v>6</v>
      </c>
      <c r="L57" s="970">
        <v>599</v>
      </c>
      <c r="M57" s="971">
        <f t="shared" si="0"/>
        <v>50316</v>
      </c>
      <c r="N57" s="855">
        <v>0.25846153846153841</v>
      </c>
      <c r="O57" s="855"/>
      <c r="P57" s="970">
        <v>599</v>
      </c>
      <c r="Q57" s="970">
        <f t="shared" si="1"/>
        <v>0</v>
      </c>
      <c r="R57" s="971">
        <f>P57*LEFT(I57,1)*12</f>
        <v>50316</v>
      </c>
      <c r="S57" s="856">
        <f t="shared" si="13"/>
        <v>0.21893994364222163</v>
      </c>
      <c r="T57" s="976">
        <v>149</v>
      </c>
      <c r="U57" s="972">
        <v>6</v>
      </c>
      <c r="V57" s="583">
        <v>0</v>
      </c>
      <c r="W57" s="971">
        <f t="shared" si="3"/>
        <v>2700</v>
      </c>
      <c r="X57" s="971">
        <f t="shared" si="14"/>
        <v>47616</v>
      </c>
      <c r="Y57" s="858">
        <f t="shared" si="15"/>
        <v>-5.3660863343668042E-2</v>
      </c>
      <c r="Z57" s="857">
        <f t="shared" si="16"/>
        <v>1.9046400000000001</v>
      </c>
      <c r="AA57" s="856">
        <v>0.19210951197038761</v>
      </c>
      <c r="AB57" s="856">
        <v>2.8620681209159903E-2</v>
      </c>
      <c r="AC57" s="970">
        <f t="shared" si="4"/>
        <v>599</v>
      </c>
      <c r="AD57" s="970"/>
      <c r="AE57" s="970">
        <f t="shared" si="22"/>
        <v>0</v>
      </c>
      <c r="AF57" s="971">
        <f t="shared" si="18"/>
        <v>50316</v>
      </c>
      <c r="AG57" s="857">
        <f t="shared" si="19"/>
        <v>0</v>
      </c>
      <c r="AH57" s="576">
        <v>149</v>
      </c>
      <c r="AI57" s="856">
        <f t="shared" si="21"/>
        <v>0.16527908029855359</v>
      </c>
      <c r="AJ57" s="859">
        <v>6</v>
      </c>
      <c r="AK57" s="583">
        <v>0</v>
      </c>
      <c r="AL57" s="971">
        <f t="shared" si="20"/>
        <v>2700</v>
      </c>
      <c r="AM57" s="971">
        <f t="shared" si="6"/>
        <v>47616</v>
      </c>
      <c r="AN57" s="858">
        <f t="shared" si="7"/>
        <v>-5.3660863343668042E-2</v>
      </c>
      <c r="AO57" s="857">
        <f t="shared" si="8"/>
        <v>1.9046400000000001</v>
      </c>
      <c r="AP57" s="973">
        <f t="shared" si="9"/>
        <v>0</v>
      </c>
      <c r="AQ57" s="855">
        <f t="shared" si="10"/>
        <v>0</v>
      </c>
      <c r="AR57" s="974">
        <f t="shared" si="23"/>
        <v>0.19210951197038761</v>
      </c>
      <c r="AS57" s="975"/>
      <c r="AT57" s="976"/>
      <c r="AU57" s="971"/>
      <c r="AV57" s="976"/>
      <c r="AW57" s="970"/>
      <c r="AX57" s="971"/>
      <c r="AY57" s="971"/>
      <c r="AZ57" s="977"/>
      <c r="BA57" s="972"/>
      <c r="BB57" s="971"/>
      <c r="BC57" s="973"/>
      <c r="BD57" s="973"/>
      <c r="BE57" s="855"/>
      <c r="BF57" s="975"/>
      <c r="BG57" s="975"/>
      <c r="BH57" s="971"/>
      <c r="BI57" s="970"/>
      <c r="BJ57" s="971"/>
      <c r="BK57" s="971"/>
      <c r="BL57" s="977"/>
      <c r="BM57" s="972"/>
      <c r="BN57" s="971"/>
      <c r="BO57" s="973"/>
      <c r="BP57" s="973"/>
      <c r="BQ57" s="855"/>
      <c r="BR57" s="975"/>
      <c r="BS57" s="975"/>
      <c r="BT57" s="978"/>
      <c r="BU57" s="978"/>
      <c r="BV57" s="978">
        <v>0.19515117167181595</v>
      </c>
      <c r="BW57" s="978">
        <f t="shared" si="12"/>
        <v>0.15410951197038761</v>
      </c>
    </row>
    <row r="58" spans="1:75" hidden="1">
      <c r="A58" s="980">
        <v>2606</v>
      </c>
      <c r="B58" s="979" t="s">
        <v>307</v>
      </c>
      <c r="C58" s="980" t="s">
        <v>829</v>
      </c>
      <c r="D58" s="980" t="s">
        <v>6</v>
      </c>
      <c r="E58" s="955"/>
      <c r="F58" s="955"/>
      <c r="G58" s="955" t="str">
        <f>IFERROR(VLOOKUP(D58,[3]전용!E:J,6,0),"")</f>
        <v/>
      </c>
      <c r="H58" s="854">
        <v>25000</v>
      </c>
      <c r="I58" s="955">
        <v>7</v>
      </c>
      <c r="J58" s="955" t="s">
        <v>288</v>
      </c>
      <c r="K58" s="955">
        <v>6</v>
      </c>
      <c r="L58" s="970">
        <v>499</v>
      </c>
      <c r="M58" s="971">
        <f t="shared" si="0"/>
        <v>41916</v>
      </c>
      <c r="N58" s="855">
        <v>0.25846153846153841</v>
      </c>
      <c r="O58" s="855"/>
      <c r="P58" s="970">
        <v>499</v>
      </c>
      <c r="Q58" s="970">
        <f t="shared" si="1"/>
        <v>0</v>
      </c>
      <c r="R58" s="971">
        <f>P58*LEFT(I58,1)*12</f>
        <v>41916</v>
      </c>
      <c r="S58" s="856">
        <f t="shared" si="13"/>
        <v>0.21715961217078844</v>
      </c>
      <c r="T58" s="976">
        <v>149</v>
      </c>
      <c r="U58" s="972">
        <v>6</v>
      </c>
      <c r="V58" s="583">
        <v>0</v>
      </c>
      <c r="W58" s="971">
        <f t="shared" si="3"/>
        <v>2100</v>
      </c>
      <c r="X58" s="971">
        <f t="shared" si="14"/>
        <v>39816</v>
      </c>
      <c r="Y58" s="858">
        <f t="shared" si="15"/>
        <v>-5.0100200400801653E-2</v>
      </c>
      <c r="Z58" s="857">
        <f t="shared" si="16"/>
        <v>1.5926400000000001</v>
      </c>
      <c r="AA58" s="856">
        <v>0.19210951197038761</v>
      </c>
      <c r="AB58" s="856">
        <v>2.8620681209159903E-2</v>
      </c>
      <c r="AC58" s="970">
        <f t="shared" si="4"/>
        <v>499</v>
      </c>
      <c r="AD58" s="970"/>
      <c r="AE58" s="970">
        <f t="shared" si="22"/>
        <v>0</v>
      </c>
      <c r="AF58" s="971">
        <f t="shared" si="18"/>
        <v>41916</v>
      </c>
      <c r="AG58" s="857">
        <f t="shared" si="19"/>
        <v>0</v>
      </c>
      <c r="AH58" s="576">
        <v>149</v>
      </c>
      <c r="AI58" s="856">
        <f t="shared" si="21"/>
        <v>0.16705941176998679</v>
      </c>
      <c r="AJ58" s="859">
        <v>6</v>
      </c>
      <c r="AK58" s="583">
        <v>0</v>
      </c>
      <c r="AL58" s="971">
        <f t="shared" si="20"/>
        <v>2100</v>
      </c>
      <c r="AM58" s="971">
        <f t="shared" si="6"/>
        <v>39816</v>
      </c>
      <c r="AN58" s="858">
        <f t="shared" si="7"/>
        <v>-5.0100200400801653E-2</v>
      </c>
      <c r="AO58" s="857">
        <f t="shared" si="8"/>
        <v>1.5926400000000001</v>
      </c>
      <c r="AP58" s="973">
        <f t="shared" si="9"/>
        <v>0</v>
      </c>
      <c r="AQ58" s="855">
        <f t="shared" si="10"/>
        <v>0</v>
      </c>
      <c r="AR58" s="974">
        <f t="shared" si="23"/>
        <v>0.19210951197038761</v>
      </c>
      <c r="AS58" s="975"/>
      <c r="AT58" s="976"/>
      <c r="AU58" s="971"/>
      <c r="AV58" s="976"/>
      <c r="AW58" s="970"/>
      <c r="AX58" s="971"/>
      <c r="AY58" s="971"/>
      <c r="AZ58" s="977"/>
      <c r="BA58" s="972"/>
      <c r="BB58" s="971"/>
      <c r="BC58" s="973"/>
      <c r="BD58" s="973"/>
      <c r="BE58" s="855"/>
      <c r="BF58" s="975"/>
      <c r="BG58" s="975"/>
      <c r="BH58" s="971"/>
      <c r="BI58" s="970"/>
      <c r="BJ58" s="971"/>
      <c r="BK58" s="971"/>
      <c r="BL58" s="977"/>
      <c r="BM58" s="972"/>
      <c r="BN58" s="971"/>
      <c r="BO58" s="973"/>
      <c r="BP58" s="973"/>
      <c r="BQ58" s="855"/>
      <c r="BR58" s="975"/>
      <c r="BS58" s="975"/>
      <c r="BT58" s="978"/>
      <c r="BU58" s="978"/>
      <c r="BV58" s="978">
        <v>0.19515117167181595</v>
      </c>
      <c r="BW58" s="978">
        <f t="shared" si="12"/>
        <v>0.15410951197038761</v>
      </c>
    </row>
    <row r="59" spans="1:75" hidden="1">
      <c r="A59" s="969">
        <v>2606</v>
      </c>
      <c r="B59" s="968" t="s">
        <v>307</v>
      </c>
      <c r="C59" s="969" t="s">
        <v>829</v>
      </c>
      <c r="D59" s="969" t="s">
        <v>8</v>
      </c>
      <c r="E59" s="955"/>
      <c r="F59" s="955"/>
      <c r="G59" s="955" t="str">
        <f>IFERROR(VLOOKUP(D59,[3]전용!E:J,6,0),"")</f>
        <v/>
      </c>
      <c r="H59" s="854">
        <v>25000</v>
      </c>
      <c r="I59" s="955">
        <v>5</v>
      </c>
      <c r="J59" s="955" t="s">
        <v>286</v>
      </c>
      <c r="K59" s="955">
        <v>6</v>
      </c>
      <c r="L59" s="970">
        <v>799</v>
      </c>
      <c r="M59" s="971">
        <f t="shared" si="0"/>
        <v>47940</v>
      </c>
      <c r="N59" s="855">
        <v>0.23555555555555557</v>
      </c>
      <c r="O59" s="855"/>
      <c r="P59" s="970">
        <v>799</v>
      </c>
      <c r="Q59" s="970">
        <f t="shared" si="1"/>
        <v>0</v>
      </c>
      <c r="R59" s="576">
        <f>(P59*((I59*12)-V59))</f>
        <v>47940</v>
      </c>
      <c r="S59" s="856">
        <f t="shared" si="13"/>
        <v>0.22972216575519255</v>
      </c>
      <c r="T59" s="580">
        <v>149</v>
      </c>
      <c r="U59" s="583">
        <v>6</v>
      </c>
      <c r="V59" s="583">
        <v>0</v>
      </c>
      <c r="W59" s="971">
        <f t="shared" si="3"/>
        <v>3900</v>
      </c>
      <c r="X59" s="971">
        <f t="shared" si="14"/>
        <v>44040</v>
      </c>
      <c r="Y59" s="858">
        <f t="shared" si="15"/>
        <v>-8.1351689612014999E-2</v>
      </c>
      <c r="Z59" s="857">
        <f t="shared" si="16"/>
        <v>1.7616000000000001</v>
      </c>
      <c r="AA59" s="856">
        <v>0.18904632094918505</v>
      </c>
      <c r="AB59" s="856">
        <v>3.964770572964596E-2</v>
      </c>
      <c r="AC59" s="970">
        <f t="shared" si="4"/>
        <v>799</v>
      </c>
      <c r="AD59" s="970"/>
      <c r="AE59" s="970">
        <f t="shared" si="22"/>
        <v>0</v>
      </c>
      <c r="AF59" s="971">
        <f t="shared" si="18"/>
        <v>47940</v>
      </c>
      <c r="AG59" s="857">
        <f t="shared" si="19"/>
        <v>0</v>
      </c>
      <c r="AH59" s="576">
        <v>149</v>
      </c>
      <c r="AI59" s="856">
        <f t="shared" si="21"/>
        <v>0.14837047614317755</v>
      </c>
      <c r="AJ59" s="859">
        <v>6</v>
      </c>
      <c r="AK59" s="583">
        <v>0</v>
      </c>
      <c r="AL59" s="971">
        <f t="shared" si="20"/>
        <v>3900</v>
      </c>
      <c r="AM59" s="971">
        <f t="shared" si="6"/>
        <v>44040</v>
      </c>
      <c r="AN59" s="858">
        <f t="shared" si="7"/>
        <v>-8.1351689612014999E-2</v>
      </c>
      <c r="AO59" s="857">
        <f t="shared" si="8"/>
        <v>1.7616000000000001</v>
      </c>
      <c r="AP59" s="973">
        <f t="shared" si="9"/>
        <v>0</v>
      </c>
      <c r="AQ59" s="855">
        <f t="shared" si="10"/>
        <v>0</v>
      </c>
      <c r="AR59" s="974">
        <f t="shared" si="23"/>
        <v>0.18904632094918505</v>
      </c>
      <c r="AS59" s="975"/>
      <c r="AT59" s="976"/>
      <c r="AU59" s="971"/>
      <c r="AV59" s="976"/>
      <c r="AW59" s="970"/>
      <c r="AX59" s="971"/>
      <c r="AY59" s="971"/>
      <c r="AZ59" s="977"/>
      <c r="BA59" s="972"/>
      <c r="BB59" s="971"/>
      <c r="BC59" s="973"/>
      <c r="BD59" s="973"/>
      <c r="BE59" s="855"/>
      <c r="BF59" s="975"/>
      <c r="BG59" s="975"/>
      <c r="BH59" s="971"/>
      <c r="BI59" s="970"/>
      <c r="BJ59" s="971"/>
      <c r="BK59" s="971"/>
      <c r="BL59" s="977"/>
      <c r="BM59" s="972"/>
      <c r="BN59" s="971"/>
      <c r="BO59" s="973"/>
      <c r="BP59" s="973"/>
      <c r="BQ59" s="855"/>
      <c r="BR59" s="975"/>
      <c r="BS59" s="975"/>
      <c r="BT59" s="978"/>
      <c r="BU59" s="978"/>
      <c r="BV59" s="978">
        <v>0.18441507450050784</v>
      </c>
      <c r="BW59" s="978">
        <f t="shared" si="12"/>
        <v>0.18904632094918505</v>
      </c>
    </row>
    <row r="60" spans="1:75" hidden="1">
      <c r="A60" s="969">
        <v>2606</v>
      </c>
      <c r="B60" s="968" t="s">
        <v>307</v>
      </c>
      <c r="C60" s="969" t="s">
        <v>829</v>
      </c>
      <c r="D60" s="969" t="s">
        <v>8</v>
      </c>
      <c r="E60" s="955"/>
      <c r="F60" s="955"/>
      <c r="G60" s="955" t="str">
        <f>IFERROR(VLOOKUP(D60,[3]전용!E:J,6,0),"")</f>
        <v/>
      </c>
      <c r="H60" s="854">
        <v>25000</v>
      </c>
      <c r="I60" s="955">
        <v>5</v>
      </c>
      <c r="J60" s="955" t="s">
        <v>288</v>
      </c>
      <c r="K60" s="955">
        <v>6</v>
      </c>
      <c r="L60" s="970">
        <v>699</v>
      </c>
      <c r="M60" s="971">
        <f t="shared" si="0"/>
        <v>41940</v>
      </c>
      <c r="N60" s="855">
        <v>0.23555555555555557</v>
      </c>
      <c r="O60" s="855"/>
      <c r="P60" s="970">
        <v>699</v>
      </c>
      <c r="Q60" s="970">
        <f t="shared" si="1"/>
        <v>0</v>
      </c>
      <c r="R60" s="971">
        <f t="shared" ref="R60:R66" si="25">P60*LEFT(I60,1)*12</f>
        <v>41940</v>
      </c>
      <c r="S60" s="856">
        <f t="shared" si="13"/>
        <v>0.22838823797350549</v>
      </c>
      <c r="T60" s="976">
        <v>149</v>
      </c>
      <c r="U60" s="972">
        <v>6</v>
      </c>
      <c r="V60" s="583">
        <v>0</v>
      </c>
      <c r="W60" s="971">
        <f t="shared" si="3"/>
        <v>3300</v>
      </c>
      <c r="X60" s="971">
        <f t="shared" si="14"/>
        <v>38640</v>
      </c>
      <c r="Y60" s="858">
        <f t="shared" si="15"/>
        <v>-7.8683834048640877E-2</v>
      </c>
      <c r="Z60" s="857">
        <f t="shared" si="16"/>
        <v>1.5456000000000001</v>
      </c>
      <c r="AA60" s="856">
        <v>0.18904632094918505</v>
      </c>
      <c r="AB60" s="856">
        <v>3.964770572964596E-2</v>
      </c>
      <c r="AC60" s="970">
        <f t="shared" si="4"/>
        <v>699</v>
      </c>
      <c r="AD60" s="970"/>
      <c r="AE60" s="970">
        <f t="shared" si="22"/>
        <v>0</v>
      </c>
      <c r="AF60" s="971">
        <f t="shared" si="18"/>
        <v>41940</v>
      </c>
      <c r="AG60" s="857">
        <f t="shared" si="19"/>
        <v>0</v>
      </c>
      <c r="AH60" s="576">
        <v>149</v>
      </c>
      <c r="AI60" s="856">
        <f t="shared" si="21"/>
        <v>0.14970440392486462</v>
      </c>
      <c r="AJ60" s="859">
        <v>6</v>
      </c>
      <c r="AK60" s="583">
        <v>0</v>
      </c>
      <c r="AL60" s="971">
        <f t="shared" si="20"/>
        <v>3300</v>
      </c>
      <c r="AM60" s="971">
        <f t="shared" si="6"/>
        <v>38640</v>
      </c>
      <c r="AN60" s="858">
        <f t="shared" si="7"/>
        <v>-7.8683834048640877E-2</v>
      </c>
      <c r="AO60" s="857">
        <f t="shared" si="8"/>
        <v>1.5456000000000001</v>
      </c>
      <c r="AP60" s="973">
        <f t="shared" si="9"/>
        <v>0</v>
      </c>
      <c r="AQ60" s="855">
        <f t="shared" si="10"/>
        <v>0</v>
      </c>
      <c r="AR60" s="974">
        <f t="shared" si="23"/>
        <v>0.18904632094918505</v>
      </c>
      <c r="AS60" s="975"/>
      <c r="AT60" s="976"/>
      <c r="AU60" s="971"/>
      <c r="AV60" s="976"/>
      <c r="AW60" s="970"/>
      <c r="AX60" s="971"/>
      <c r="AY60" s="971"/>
      <c r="AZ60" s="977"/>
      <c r="BA60" s="972"/>
      <c r="BB60" s="971"/>
      <c r="BC60" s="973"/>
      <c r="BD60" s="973"/>
      <c r="BE60" s="855"/>
      <c r="BF60" s="975"/>
      <c r="BG60" s="975"/>
      <c r="BH60" s="971"/>
      <c r="BI60" s="970"/>
      <c r="BJ60" s="971"/>
      <c r="BK60" s="971"/>
      <c r="BL60" s="977"/>
      <c r="BM60" s="972"/>
      <c r="BN60" s="971"/>
      <c r="BO60" s="973"/>
      <c r="BP60" s="973"/>
      <c r="BQ60" s="855"/>
      <c r="BR60" s="975"/>
      <c r="BS60" s="975"/>
      <c r="BT60" s="978"/>
      <c r="BU60" s="978"/>
      <c r="BV60" s="978">
        <v>0.18441507450050784</v>
      </c>
      <c r="BW60" s="978">
        <f t="shared" si="12"/>
        <v>0.18904632094918505</v>
      </c>
    </row>
    <row r="61" spans="1:75" hidden="1">
      <c r="A61" s="969">
        <v>2606</v>
      </c>
      <c r="B61" s="968" t="s">
        <v>307</v>
      </c>
      <c r="C61" s="969" t="s">
        <v>829</v>
      </c>
      <c r="D61" s="969" t="s">
        <v>8</v>
      </c>
      <c r="E61" s="955"/>
      <c r="F61" s="955"/>
      <c r="G61" s="955" t="str">
        <f>IFERROR(VLOOKUP(D61,[3]전용!E:J,6,0),"")</f>
        <v/>
      </c>
      <c r="H61" s="854">
        <v>25000</v>
      </c>
      <c r="I61" s="955">
        <v>7</v>
      </c>
      <c r="J61" s="955" t="s">
        <v>286</v>
      </c>
      <c r="K61" s="955">
        <v>6</v>
      </c>
      <c r="L61" s="970">
        <v>599</v>
      </c>
      <c r="M61" s="971">
        <f t="shared" si="0"/>
        <v>50316</v>
      </c>
      <c r="N61" s="855">
        <v>0.21846153846153843</v>
      </c>
      <c r="O61" s="855"/>
      <c r="P61" s="970">
        <v>599</v>
      </c>
      <c r="Q61" s="970">
        <f t="shared" si="1"/>
        <v>0</v>
      </c>
      <c r="R61" s="971">
        <f t="shared" si="25"/>
        <v>50316</v>
      </c>
      <c r="S61" s="856">
        <f t="shared" si="13"/>
        <v>0.21587675262101907</v>
      </c>
      <c r="T61" s="976">
        <v>149</v>
      </c>
      <c r="U61" s="972">
        <v>6</v>
      </c>
      <c r="V61" s="583">
        <v>0</v>
      </c>
      <c r="W61" s="971">
        <f t="shared" si="3"/>
        <v>2700</v>
      </c>
      <c r="X61" s="971">
        <f t="shared" si="14"/>
        <v>47616</v>
      </c>
      <c r="Y61" s="858">
        <f t="shared" si="15"/>
        <v>-5.3660863343668042E-2</v>
      </c>
      <c r="Z61" s="857">
        <f t="shared" si="16"/>
        <v>1.9046400000000001</v>
      </c>
      <c r="AA61" s="856">
        <v>0.18904632094918505</v>
      </c>
      <c r="AB61" s="856">
        <v>3.964770572964596E-2</v>
      </c>
      <c r="AC61" s="970">
        <f t="shared" si="4"/>
        <v>599</v>
      </c>
      <c r="AD61" s="970"/>
      <c r="AE61" s="970">
        <f t="shared" si="22"/>
        <v>0</v>
      </c>
      <c r="AF61" s="971">
        <f t="shared" si="18"/>
        <v>50316</v>
      </c>
      <c r="AG61" s="857">
        <f t="shared" si="19"/>
        <v>0</v>
      </c>
      <c r="AH61" s="576">
        <v>149</v>
      </c>
      <c r="AI61" s="856">
        <f t="shared" si="21"/>
        <v>0.16221588927735103</v>
      </c>
      <c r="AJ61" s="859">
        <v>6</v>
      </c>
      <c r="AK61" s="583">
        <v>0</v>
      </c>
      <c r="AL61" s="971">
        <f t="shared" si="20"/>
        <v>2700</v>
      </c>
      <c r="AM61" s="971">
        <f t="shared" si="6"/>
        <v>47616</v>
      </c>
      <c r="AN61" s="858">
        <f t="shared" si="7"/>
        <v>-5.3660863343668042E-2</v>
      </c>
      <c r="AO61" s="857">
        <f t="shared" si="8"/>
        <v>1.9046400000000001</v>
      </c>
      <c r="AP61" s="973">
        <f t="shared" si="9"/>
        <v>0</v>
      </c>
      <c r="AQ61" s="855">
        <f t="shared" si="10"/>
        <v>0</v>
      </c>
      <c r="AR61" s="974">
        <f t="shared" si="23"/>
        <v>0.18904632094918505</v>
      </c>
      <c r="AS61" s="975"/>
      <c r="AT61" s="976"/>
      <c r="AU61" s="971"/>
      <c r="AV61" s="976"/>
      <c r="AW61" s="970"/>
      <c r="AX61" s="971"/>
      <c r="AY61" s="971"/>
      <c r="AZ61" s="977"/>
      <c r="BA61" s="972"/>
      <c r="BB61" s="971"/>
      <c r="BC61" s="973"/>
      <c r="BD61" s="973"/>
      <c r="BE61" s="855"/>
      <c r="BF61" s="975"/>
      <c r="BG61" s="975"/>
      <c r="BH61" s="971"/>
      <c r="BI61" s="970"/>
      <c r="BJ61" s="971"/>
      <c r="BK61" s="971"/>
      <c r="BL61" s="977"/>
      <c r="BM61" s="972"/>
      <c r="BN61" s="971"/>
      <c r="BO61" s="973"/>
      <c r="BP61" s="973"/>
      <c r="BQ61" s="855"/>
      <c r="BR61" s="975"/>
      <c r="BS61" s="975"/>
      <c r="BT61" s="978"/>
      <c r="BU61" s="978"/>
      <c r="BV61" s="978">
        <v>0.18441507450050784</v>
      </c>
      <c r="BW61" s="978">
        <f t="shared" si="12"/>
        <v>0.18904632094918505</v>
      </c>
    </row>
    <row r="62" spans="1:75" hidden="1">
      <c r="A62" s="980">
        <v>2606</v>
      </c>
      <c r="B62" s="979" t="s">
        <v>307</v>
      </c>
      <c r="C62" s="980" t="s">
        <v>829</v>
      </c>
      <c r="D62" s="980" t="s">
        <v>8</v>
      </c>
      <c r="E62" s="955"/>
      <c r="F62" s="955"/>
      <c r="G62" s="955" t="str">
        <f>IFERROR(VLOOKUP(D62,[3]전용!E:J,6,0),"")</f>
        <v/>
      </c>
      <c r="H62" s="854">
        <v>25000</v>
      </c>
      <c r="I62" s="955">
        <v>7</v>
      </c>
      <c r="J62" s="955" t="s">
        <v>288</v>
      </c>
      <c r="K62" s="955">
        <v>6</v>
      </c>
      <c r="L62" s="970">
        <v>499</v>
      </c>
      <c r="M62" s="971">
        <f t="shared" si="0"/>
        <v>41916</v>
      </c>
      <c r="N62" s="855">
        <v>0.21846153846153843</v>
      </c>
      <c r="O62" s="855"/>
      <c r="P62" s="970">
        <v>499</v>
      </c>
      <c r="Q62" s="970">
        <f t="shared" si="1"/>
        <v>0</v>
      </c>
      <c r="R62" s="971">
        <f t="shared" si="25"/>
        <v>41916</v>
      </c>
      <c r="S62" s="856">
        <f t="shared" si="13"/>
        <v>0.21409642114958588</v>
      </c>
      <c r="T62" s="976">
        <v>149</v>
      </c>
      <c r="U62" s="972">
        <v>6</v>
      </c>
      <c r="V62" s="583">
        <v>0</v>
      </c>
      <c r="W62" s="971">
        <f t="shared" si="3"/>
        <v>2100</v>
      </c>
      <c r="X62" s="971">
        <f t="shared" si="14"/>
        <v>39816</v>
      </c>
      <c r="Y62" s="858">
        <f t="shared" si="15"/>
        <v>-5.0100200400801653E-2</v>
      </c>
      <c r="Z62" s="857">
        <f t="shared" si="16"/>
        <v>1.5926400000000001</v>
      </c>
      <c r="AA62" s="856">
        <v>0.18904632094918505</v>
      </c>
      <c r="AB62" s="856">
        <v>3.964770572964596E-2</v>
      </c>
      <c r="AC62" s="970">
        <f t="shared" si="4"/>
        <v>499</v>
      </c>
      <c r="AD62" s="970"/>
      <c r="AE62" s="970">
        <f t="shared" si="22"/>
        <v>0</v>
      </c>
      <c r="AF62" s="971">
        <f t="shared" si="18"/>
        <v>41916</v>
      </c>
      <c r="AG62" s="857">
        <f t="shared" si="19"/>
        <v>0</v>
      </c>
      <c r="AH62" s="576">
        <v>149</v>
      </c>
      <c r="AI62" s="856">
        <f t="shared" si="21"/>
        <v>0.16399622074878423</v>
      </c>
      <c r="AJ62" s="859">
        <v>6</v>
      </c>
      <c r="AK62" s="583">
        <v>0</v>
      </c>
      <c r="AL62" s="971">
        <f t="shared" si="20"/>
        <v>2100</v>
      </c>
      <c r="AM62" s="971">
        <f t="shared" si="6"/>
        <v>39816</v>
      </c>
      <c r="AN62" s="858">
        <f t="shared" si="7"/>
        <v>-5.0100200400801653E-2</v>
      </c>
      <c r="AO62" s="857">
        <f t="shared" si="8"/>
        <v>1.5926400000000001</v>
      </c>
      <c r="AP62" s="973">
        <f t="shared" si="9"/>
        <v>0</v>
      </c>
      <c r="AQ62" s="855">
        <f t="shared" si="10"/>
        <v>0</v>
      </c>
      <c r="AR62" s="974">
        <f t="shared" si="23"/>
        <v>0.18904632094918505</v>
      </c>
      <c r="AS62" s="975"/>
      <c r="AT62" s="976"/>
      <c r="AU62" s="971"/>
      <c r="AV62" s="976"/>
      <c r="AW62" s="970"/>
      <c r="AX62" s="971"/>
      <c r="AY62" s="971"/>
      <c r="AZ62" s="977"/>
      <c r="BA62" s="972"/>
      <c r="BB62" s="971"/>
      <c r="BC62" s="973"/>
      <c r="BD62" s="973"/>
      <c r="BE62" s="855"/>
      <c r="BF62" s="975"/>
      <c r="BG62" s="975"/>
      <c r="BH62" s="971"/>
      <c r="BI62" s="970"/>
      <c r="BJ62" s="971"/>
      <c r="BK62" s="971"/>
      <c r="BL62" s="977"/>
      <c r="BM62" s="972"/>
      <c r="BN62" s="971"/>
      <c r="BO62" s="973"/>
      <c r="BP62" s="973"/>
      <c r="BQ62" s="855"/>
      <c r="BR62" s="975"/>
      <c r="BS62" s="975"/>
      <c r="BT62" s="978"/>
      <c r="BU62" s="978"/>
      <c r="BV62" s="978">
        <v>0.18441507450050784</v>
      </c>
      <c r="BW62" s="978">
        <f t="shared" si="12"/>
        <v>0.18904632094918505</v>
      </c>
    </row>
    <row r="63" spans="1:75" hidden="1">
      <c r="A63" s="969">
        <v>2606</v>
      </c>
      <c r="B63" s="968" t="s">
        <v>307</v>
      </c>
      <c r="C63" s="969" t="s">
        <v>829</v>
      </c>
      <c r="D63" s="969" t="s">
        <v>12</v>
      </c>
      <c r="E63" s="955"/>
      <c r="F63" s="955"/>
      <c r="G63" s="955" t="str">
        <f>IFERROR(VLOOKUP(D63,[3]전용!E:J,6,0),"")</f>
        <v/>
      </c>
      <c r="H63" s="854">
        <v>25000</v>
      </c>
      <c r="I63" s="955">
        <v>5</v>
      </c>
      <c r="J63" s="955" t="s">
        <v>286</v>
      </c>
      <c r="K63" s="955">
        <v>6</v>
      </c>
      <c r="L63" s="970">
        <v>799</v>
      </c>
      <c r="M63" s="971">
        <f t="shared" si="0"/>
        <v>47940</v>
      </c>
      <c r="N63" s="855">
        <v>0.23555555555555557</v>
      </c>
      <c r="O63" s="855"/>
      <c r="P63" s="970">
        <v>799</v>
      </c>
      <c r="Q63" s="970">
        <f t="shared" si="1"/>
        <v>0</v>
      </c>
      <c r="R63" s="971">
        <f t="shared" si="25"/>
        <v>47940</v>
      </c>
      <c r="S63" s="856">
        <f t="shared" si="13"/>
        <v>0.23459265332835624</v>
      </c>
      <c r="T63" s="976">
        <v>149</v>
      </c>
      <c r="U63" s="972">
        <v>6</v>
      </c>
      <c r="V63" s="583">
        <v>0</v>
      </c>
      <c r="W63" s="971">
        <f t="shared" si="3"/>
        <v>3900</v>
      </c>
      <c r="X63" s="971">
        <f t="shared" si="14"/>
        <v>44040</v>
      </c>
      <c r="Y63" s="858">
        <f t="shared" si="15"/>
        <v>-8.1351689612014999E-2</v>
      </c>
      <c r="Z63" s="857">
        <f t="shared" si="16"/>
        <v>1.7616000000000001</v>
      </c>
      <c r="AA63" s="856">
        <v>0.19391680852234874</v>
      </c>
      <c r="AB63" s="856">
        <v>2.816361795370206E-2</v>
      </c>
      <c r="AC63" s="970">
        <f t="shared" si="4"/>
        <v>799</v>
      </c>
      <c r="AD63" s="970"/>
      <c r="AE63" s="970">
        <f t="shared" si="22"/>
        <v>0</v>
      </c>
      <c r="AF63" s="971">
        <f t="shared" si="18"/>
        <v>47940</v>
      </c>
      <c r="AG63" s="857">
        <f t="shared" si="19"/>
        <v>0</v>
      </c>
      <c r="AH63" s="576">
        <v>149</v>
      </c>
      <c r="AI63" s="856">
        <f t="shared" si="21"/>
        <v>0.15324096371634124</v>
      </c>
      <c r="AJ63" s="859">
        <v>6</v>
      </c>
      <c r="AK63" s="583">
        <v>0</v>
      </c>
      <c r="AL63" s="971">
        <f t="shared" si="20"/>
        <v>3900</v>
      </c>
      <c r="AM63" s="971">
        <f t="shared" si="6"/>
        <v>44040</v>
      </c>
      <c r="AN63" s="858">
        <f t="shared" si="7"/>
        <v>-8.1351689612014999E-2</v>
      </c>
      <c r="AO63" s="857">
        <f t="shared" si="8"/>
        <v>1.7616000000000001</v>
      </c>
      <c r="AP63" s="973">
        <f t="shared" si="9"/>
        <v>0</v>
      </c>
      <c r="AQ63" s="855">
        <f t="shared" si="10"/>
        <v>0</v>
      </c>
      <c r="AR63" s="974">
        <f t="shared" si="23"/>
        <v>0.19391680852234874</v>
      </c>
      <c r="AS63" s="975"/>
      <c r="AT63" s="976"/>
      <c r="AU63" s="971"/>
      <c r="AV63" s="976"/>
      <c r="AW63" s="970"/>
      <c r="AX63" s="971"/>
      <c r="AY63" s="971"/>
      <c r="AZ63" s="977"/>
      <c r="BA63" s="972"/>
      <c r="BB63" s="971"/>
      <c r="BC63" s="973"/>
      <c r="BD63" s="973"/>
      <c r="BE63" s="855"/>
      <c r="BF63" s="975"/>
      <c r="BG63" s="975"/>
      <c r="BH63" s="971"/>
      <c r="BI63" s="970"/>
      <c r="BJ63" s="971"/>
      <c r="BK63" s="971"/>
      <c r="BL63" s="977"/>
      <c r="BM63" s="972"/>
      <c r="BN63" s="971"/>
      <c r="BO63" s="973"/>
      <c r="BP63" s="973"/>
      <c r="BQ63" s="855"/>
      <c r="BR63" s="975"/>
      <c r="BS63" s="975"/>
      <c r="BT63" s="978"/>
      <c r="BU63" s="978"/>
      <c r="BV63" s="978">
        <v>0.19275189673910581</v>
      </c>
      <c r="BW63" s="978">
        <f t="shared" si="12"/>
        <v>0.15591680852234874</v>
      </c>
    </row>
    <row r="64" spans="1:75" hidden="1">
      <c r="A64" s="969">
        <v>2606</v>
      </c>
      <c r="B64" s="968" t="s">
        <v>307</v>
      </c>
      <c r="C64" s="969" t="s">
        <v>829</v>
      </c>
      <c r="D64" s="969" t="s">
        <v>12</v>
      </c>
      <c r="E64" s="955"/>
      <c r="F64" s="955"/>
      <c r="G64" s="955" t="str">
        <f>IFERROR(VLOOKUP(D64,[3]전용!E:J,6,0),"")</f>
        <v/>
      </c>
      <c r="H64" s="854">
        <v>25000</v>
      </c>
      <c r="I64" s="955">
        <v>5</v>
      </c>
      <c r="J64" s="955" t="s">
        <v>288</v>
      </c>
      <c r="K64" s="955">
        <v>6</v>
      </c>
      <c r="L64" s="970">
        <v>699</v>
      </c>
      <c r="M64" s="971">
        <f t="shared" si="0"/>
        <v>41940</v>
      </c>
      <c r="N64" s="855">
        <v>0.23555555555555557</v>
      </c>
      <c r="O64" s="855"/>
      <c r="P64" s="970">
        <v>699</v>
      </c>
      <c r="Q64" s="970">
        <f t="shared" si="1"/>
        <v>0</v>
      </c>
      <c r="R64" s="971">
        <f t="shared" si="25"/>
        <v>41940</v>
      </c>
      <c r="S64" s="856">
        <f t="shared" si="13"/>
        <v>0.23325872554666918</v>
      </c>
      <c r="T64" s="976">
        <v>149</v>
      </c>
      <c r="U64" s="972">
        <v>6</v>
      </c>
      <c r="V64" s="583">
        <v>0</v>
      </c>
      <c r="W64" s="971">
        <f t="shared" si="3"/>
        <v>3300</v>
      </c>
      <c r="X64" s="971">
        <f t="shared" si="14"/>
        <v>38640</v>
      </c>
      <c r="Y64" s="858">
        <f t="shared" si="15"/>
        <v>-7.8683834048640877E-2</v>
      </c>
      <c r="Z64" s="857">
        <f t="shared" si="16"/>
        <v>1.5456000000000001</v>
      </c>
      <c r="AA64" s="856">
        <v>0.19391680852234874</v>
      </c>
      <c r="AB64" s="856">
        <v>2.816361795370206E-2</v>
      </c>
      <c r="AC64" s="970">
        <f t="shared" si="4"/>
        <v>699</v>
      </c>
      <c r="AD64" s="970"/>
      <c r="AE64" s="970">
        <f t="shared" si="22"/>
        <v>0</v>
      </c>
      <c r="AF64" s="971">
        <f t="shared" si="18"/>
        <v>41940</v>
      </c>
      <c r="AG64" s="857">
        <f t="shared" si="19"/>
        <v>0</v>
      </c>
      <c r="AH64" s="576">
        <v>149</v>
      </c>
      <c r="AI64" s="856">
        <f t="shared" si="21"/>
        <v>0.15457489149802831</v>
      </c>
      <c r="AJ64" s="859">
        <v>6</v>
      </c>
      <c r="AK64" s="583">
        <v>0</v>
      </c>
      <c r="AL64" s="971">
        <f t="shared" si="20"/>
        <v>3300</v>
      </c>
      <c r="AM64" s="971">
        <f t="shared" si="6"/>
        <v>38640</v>
      </c>
      <c r="AN64" s="858">
        <f t="shared" si="7"/>
        <v>-7.8683834048640877E-2</v>
      </c>
      <c r="AO64" s="857">
        <f t="shared" si="8"/>
        <v>1.5456000000000001</v>
      </c>
      <c r="AP64" s="973">
        <f t="shared" si="9"/>
        <v>0</v>
      </c>
      <c r="AQ64" s="855">
        <f t="shared" si="10"/>
        <v>0</v>
      </c>
      <c r="AR64" s="974">
        <f t="shared" si="23"/>
        <v>0.19391680852234874</v>
      </c>
      <c r="AS64" s="975"/>
      <c r="AT64" s="976"/>
      <c r="AU64" s="971"/>
      <c r="AV64" s="976"/>
      <c r="AW64" s="970"/>
      <c r="AX64" s="971"/>
      <c r="AY64" s="971"/>
      <c r="AZ64" s="977"/>
      <c r="BA64" s="972"/>
      <c r="BB64" s="971"/>
      <c r="BC64" s="973"/>
      <c r="BD64" s="973"/>
      <c r="BE64" s="855"/>
      <c r="BF64" s="975"/>
      <c r="BG64" s="975"/>
      <c r="BH64" s="971"/>
      <c r="BI64" s="970"/>
      <c r="BJ64" s="971"/>
      <c r="BK64" s="971"/>
      <c r="BL64" s="977"/>
      <c r="BM64" s="972"/>
      <c r="BN64" s="971"/>
      <c r="BO64" s="973"/>
      <c r="BP64" s="973"/>
      <c r="BQ64" s="855"/>
      <c r="BR64" s="975"/>
      <c r="BS64" s="975"/>
      <c r="BT64" s="978"/>
      <c r="BU64" s="978"/>
      <c r="BV64" s="978">
        <v>0.19275189673910581</v>
      </c>
      <c r="BW64" s="978">
        <f t="shared" si="12"/>
        <v>0.15591680852234874</v>
      </c>
    </row>
    <row r="65" spans="1:75" hidden="1">
      <c r="A65" s="969">
        <v>2606</v>
      </c>
      <c r="B65" s="968" t="s">
        <v>307</v>
      </c>
      <c r="C65" s="969" t="s">
        <v>829</v>
      </c>
      <c r="D65" s="969" t="s">
        <v>12</v>
      </c>
      <c r="E65" s="955"/>
      <c r="F65" s="955"/>
      <c r="G65" s="955" t="str">
        <f>IFERROR(VLOOKUP(D65,[3]전용!E:J,6,0),"")</f>
        <v/>
      </c>
      <c r="H65" s="854">
        <v>25000</v>
      </c>
      <c r="I65" s="955">
        <v>7</v>
      </c>
      <c r="J65" s="955" t="s">
        <v>286</v>
      </c>
      <c r="K65" s="955">
        <v>6</v>
      </c>
      <c r="L65" s="970">
        <v>599</v>
      </c>
      <c r="M65" s="971">
        <f t="shared" si="0"/>
        <v>50316</v>
      </c>
      <c r="N65" s="855">
        <v>0.21846153846153843</v>
      </c>
      <c r="O65" s="855"/>
      <c r="P65" s="970">
        <v>599</v>
      </c>
      <c r="Q65" s="970">
        <f t="shared" si="1"/>
        <v>0</v>
      </c>
      <c r="R65" s="971">
        <f t="shared" si="25"/>
        <v>50316</v>
      </c>
      <c r="S65" s="856">
        <f t="shared" si="13"/>
        <v>0.22074724019418276</v>
      </c>
      <c r="T65" s="976">
        <v>149</v>
      </c>
      <c r="U65" s="972">
        <v>6</v>
      </c>
      <c r="V65" s="583">
        <v>0</v>
      </c>
      <c r="W65" s="971">
        <f t="shared" si="3"/>
        <v>2700</v>
      </c>
      <c r="X65" s="971">
        <f t="shared" si="14"/>
        <v>47616</v>
      </c>
      <c r="Y65" s="858">
        <f t="shared" si="15"/>
        <v>-5.3660863343668042E-2</v>
      </c>
      <c r="Z65" s="857">
        <f t="shared" si="16"/>
        <v>1.9046400000000001</v>
      </c>
      <c r="AA65" s="856">
        <v>0.19391680852234874</v>
      </c>
      <c r="AB65" s="856">
        <v>2.816361795370206E-2</v>
      </c>
      <c r="AC65" s="970">
        <f t="shared" si="4"/>
        <v>599</v>
      </c>
      <c r="AD65" s="970"/>
      <c r="AE65" s="970">
        <f t="shared" si="22"/>
        <v>0</v>
      </c>
      <c r="AF65" s="971">
        <f t="shared" si="18"/>
        <v>50316</v>
      </c>
      <c r="AG65" s="857">
        <f t="shared" si="19"/>
        <v>0</v>
      </c>
      <c r="AH65" s="576">
        <v>149</v>
      </c>
      <c r="AI65" s="856">
        <f t="shared" si="21"/>
        <v>0.16708637685051472</v>
      </c>
      <c r="AJ65" s="859">
        <v>6</v>
      </c>
      <c r="AK65" s="583">
        <v>0</v>
      </c>
      <c r="AL65" s="971">
        <f t="shared" si="20"/>
        <v>2700</v>
      </c>
      <c r="AM65" s="971">
        <f t="shared" si="6"/>
        <v>47616</v>
      </c>
      <c r="AN65" s="858">
        <f t="shared" si="7"/>
        <v>-5.3660863343668042E-2</v>
      </c>
      <c r="AO65" s="857">
        <f t="shared" si="8"/>
        <v>1.9046400000000001</v>
      </c>
      <c r="AP65" s="973">
        <f t="shared" si="9"/>
        <v>0</v>
      </c>
      <c r="AQ65" s="855">
        <f t="shared" si="10"/>
        <v>0</v>
      </c>
      <c r="AR65" s="974">
        <f t="shared" si="23"/>
        <v>0.19391680852234874</v>
      </c>
      <c r="AS65" s="975"/>
      <c r="AT65" s="976"/>
      <c r="AU65" s="971"/>
      <c r="AV65" s="976"/>
      <c r="AW65" s="970"/>
      <c r="AX65" s="971"/>
      <c r="AY65" s="971"/>
      <c r="AZ65" s="977"/>
      <c r="BA65" s="972"/>
      <c r="BB65" s="971"/>
      <c r="BC65" s="973"/>
      <c r="BD65" s="973"/>
      <c r="BE65" s="855"/>
      <c r="BF65" s="975"/>
      <c r="BG65" s="975"/>
      <c r="BH65" s="971"/>
      <c r="BI65" s="970"/>
      <c r="BJ65" s="971"/>
      <c r="BK65" s="971"/>
      <c r="BL65" s="977"/>
      <c r="BM65" s="972"/>
      <c r="BN65" s="971"/>
      <c r="BO65" s="973"/>
      <c r="BP65" s="973"/>
      <c r="BQ65" s="855"/>
      <c r="BR65" s="975"/>
      <c r="BS65" s="975"/>
      <c r="BT65" s="978"/>
      <c r="BU65" s="978"/>
      <c r="BV65" s="978">
        <v>0.19275189673910581</v>
      </c>
      <c r="BW65" s="978">
        <f t="shared" si="12"/>
        <v>0.15591680852234874</v>
      </c>
    </row>
    <row r="66" spans="1:75" hidden="1">
      <c r="A66" s="980">
        <v>2606</v>
      </c>
      <c r="B66" s="979" t="s">
        <v>307</v>
      </c>
      <c r="C66" s="980" t="s">
        <v>829</v>
      </c>
      <c r="D66" s="980" t="s">
        <v>12</v>
      </c>
      <c r="E66" s="955"/>
      <c r="F66" s="955"/>
      <c r="G66" s="955" t="str">
        <f>IFERROR(VLOOKUP(D66,[3]전용!E:J,6,0),"")</f>
        <v/>
      </c>
      <c r="H66" s="854">
        <v>25000</v>
      </c>
      <c r="I66" s="955">
        <v>7</v>
      </c>
      <c r="J66" s="955" t="s">
        <v>288</v>
      </c>
      <c r="K66" s="955">
        <v>6</v>
      </c>
      <c r="L66" s="970">
        <v>499</v>
      </c>
      <c r="M66" s="971">
        <f t="shared" si="0"/>
        <v>41916</v>
      </c>
      <c r="N66" s="855">
        <v>0.21846153846153843</v>
      </c>
      <c r="O66" s="855"/>
      <c r="P66" s="970">
        <v>499</v>
      </c>
      <c r="Q66" s="970">
        <f t="shared" si="1"/>
        <v>0</v>
      </c>
      <c r="R66" s="971">
        <f t="shared" si="25"/>
        <v>41916</v>
      </c>
      <c r="S66" s="856">
        <f t="shared" si="13"/>
        <v>0.21896690872274957</v>
      </c>
      <c r="T66" s="976">
        <v>149</v>
      </c>
      <c r="U66" s="972">
        <v>6</v>
      </c>
      <c r="V66" s="583">
        <v>0</v>
      </c>
      <c r="W66" s="971">
        <f t="shared" si="3"/>
        <v>2100</v>
      </c>
      <c r="X66" s="971">
        <f t="shared" si="14"/>
        <v>39816</v>
      </c>
      <c r="Y66" s="858">
        <f t="shared" si="15"/>
        <v>-5.0100200400801653E-2</v>
      </c>
      <c r="Z66" s="857">
        <f t="shared" si="16"/>
        <v>1.5926400000000001</v>
      </c>
      <c r="AA66" s="856">
        <v>0.19391680852234874</v>
      </c>
      <c r="AB66" s="856">
        <v>2.816361795370206E-2</v>
      </c>
      <c r="AC66" s="970">
        <f t="shared" si="4"/>
        <v>499</v>
      </c>
      <c r="AD66" s="970"/>
      <c r="AE66" s="970">
        <f t="shared" si="22"/>
        <v>0</v>
      </c>
      <c r="AF66" s="971">
        <f t="shared" si="18"/>
        <v>41916</v>
      </c>
      <c r="AG66" s="857">
        <f t="shared" si="19"/>
        <v>0</v>
      </c>
      <c r="AH66" s="576">
        <v>149</v>
      </c>
      <c r="AI66" s="856">
        <f t="shared" si="21"/>
        <v>0.16886670832194792</v>
      </c>
      <c r="AJ66" s="859">
        <v>6</v>
      </c>
      <c r="AK66" s="583">
        <v>0</v>
      </c>
      <c r="AL66" s="971">
        <f t="shared" si="20"/>
        <v>2100</v>
      </c>
      <c r="AM66" s="971">
        <f t="shared" si="6"/>
        <v>39816</v>
      </c>
      <c r="AN66" s="858">
        <f t="shared" si="7"/>
        <v>-5.0100200400801653E-2</v>
      </c>
      <c r="AO66" s="857">
        <f t="shared" si="8"/>
        <v>1.5926400000000001</v>
      </c>
      <c r="AP66" s="973">
        <f t="shared" si="9"/>
        <v>0</v>
      </c>
      <c r="AQ66" s="855">
        <f t="shared" si="10"/>
        <v>0</v>
      </c>
      <c r="AR66" s="974">
        <f t="shared" si="23"/>
        <v>0.19391680852234874</v>
      </c>
      <c r="AS66" s="975"/>
      <c r="AT66" s="976"/>
      <c r="AU66" s="971"/>
      <c r="AV66" s="976"/>
      <c r="AW66" s="970"/>
      <c r="AX66" s="971"/>
      <c r="AY66" s="971"/>
      <c r="AZ66" s="977"/>
      <c r="BA66" s="972"/>
      <c r="BB66" s="971"/>
      <c r="BC66" s="973"/>
      <c r="BD66" s="973"/>
      <c r="BE66" s="855"/>
      <c r="BF66" s="975"/>
      <c r="BG66" s="975"/>
      <c r="BH66" s="971"/>
      <c r="BI66" s="970"/>
      <c r="BJ66" s="971"/>
      <c r="BK66" s="971"/>
      <c r="BL66" s="977"/>
      <c r="BM66" s="972"/>
      <c r="BN66" s="971"/>
      <c r="BO66" s="973"/>
      <c r="BP66" s="973"/>
      <c r="BQ66" s="855"/>
      <c r="BR66" s="975"/>
      <c r="BS66" s="975"/>
      <c r="BT66" s="978"/>
      <c r="BU66" s="978"/>
      <c r="BV66" s="978">
        <v>0.19275189673910581</v>
      </c>
      <c r="BW66" s="978">
        <f t="shared" si="12"/>
        <v>0.15591680852234874</v>
      </c>
    </row>
    <row r="67" spans="1:75" hidden="1">
      <c r="A67" s="969">
        <v>2606</v>
      </c>
      <c r="B67" s="968" t="s">
        <v>307</v>
      </c>
      <c r="C67" s="969" t="s">
        <v>829</v>
      </c>
      <c r="D67" s="969" t="s">
        <v>10</v>
      </c>
      <c r="E67" s="955"/>
      <c r="F67" s="955"/>
      <c r="G67" s="955" t="str">
        <f>IFERROR(VLOOKUP(D67,[3]전용!E:J,6,0),"")</f>
        <v/>
      </c>
      <c r="H67" s="854">
        <v>25000</v>
      </c>
      <c r="I67" s="955">
        <v>5</v>
      </c>
      <c r="J67" s="955" t="s">
        <v>286</v>
      </c>
      <c r="K67" s="955">
        <v>6</v>
      </c>
      <c r="L67" s="970">
        <v>799</v>
      </c>
      <c r="M67" s="971">
        <f t="shared" si="0"/>
        <v>47940</v>
      </c>
      <c r="N67" s="855">
        <v>0.24025603688348773</v>
      </c>
      <c r="O67" s="855"/>
      <c r="P67" s="970">
        <v>799</v>
      </c>
      <c r="Q67" s="970">
        <f t="shared" si="1"/>
        <v>0</v>
      </c>
      <c r="R67" s="576">
        <f>(P67*((I67*12)-V67))</f>
        <v>47940</v>
      </c>
      <c r="S67" s="856">
        <f t="shared" si="13"/>
        <v>0.2455105125207345</v>
      </c>
      <c r="T67" s="580">
        <v>149</v>
      </c>
      <c r="U67" s="583">
        <v>6</v>
      </c>
      <c r="V67" s="583">
        <v>0</v>
      </c>
      <c r="W67" s="971">
        <f t="shared" si="3"/>
        <v>3900</v>
      </c>
      <c r="X67" s="971">
        <f t="shared" si="14"/>
        <v>44040</v>
      </c>
      <c r="Y67" s="858">
        <f t="shared" si="15"/>
        <v>-8.1351689612014999E-2</v>
      </c>
      <c r="Z67" s="857">
        <f t="shared" si="16"/>
        <v>1.7616000000000001</v>
      </c>
      <c r="AA67" s="856">
        <v>0.204834667714727</v>
      </c>
      <c r="AB67" s="856">
        <v>2.0504603085045637E-2</v>
      </c>
      <c r="AC67" s="970">
        <f t="shared" si="4"/>
        <v>799</v>
      </c>
      <c r="AD67" s="970"/>
      <c r="AE67" s="970">
        <f t="shared" si="22"/>
        <v>0</v>
      </c>
      <c r="AF67" s="971">
        <f t="shared" si="18"/>
        <v>47940</v>
      </c>
      <c r="AG67" s="857">
        <f t="shared" si="19"/>
        <v>0</v>
      </c>
      <c r="AH67" s="576">
        <v>149</v>
      </c>
      <c r="AI67" s="856">
        <f t="shared" si="21"/>
        <v>0.1641588229087195</v>
      </c>
      <c r="AJ67" s="859">
        <v>6</v>
      </c>
      <c r="AK67" s="583">
        <v>0</v>
      </c>
      <c r="AL67" s="971">
        <f t="shared" si="20"/>
        <v>3900</v>
      </c>
      <c r="AM67" s="971">
        <f t="shared" si="6"/>
        <v>44040</v>
      </c>
      <c r="AN67" s="858">
        <f t="shared" si="7"/>
        <v>-8.1351689612014999E-2</v>
      </c>
      <c r="AO67" s="857">
        <f t="shared" si="8"/>
        <v>1.7616000000000001</v>
      </c>
      <c r="AP67" s="973">
        <f t="shared" si="9"/>
        <v>0</v>
      </c>
      <c r="AQ67" s="855">
        <f t="shared" si="10"/>
        <v>0</v>
      </c>
      <c r="AR67" s="974">
        <f t="shared" si="23"/>
        <v>0.204834667714727</v>
      </c>
      <c r="AS67" s="975"/>
      <c r="AT67" s="976"/>
      <c r="AU67" s="971"/>
      <c r="AV67" s="976"/>
      <c r="AW67" s="970"/>
      <c r="AX67" s="971"/>
      <c r="AY67" s="971"/>
      <c r="AZ67" s="977"/>
      <c r="BA67" s="972"/>
      <c r="BB67" s="971"/>
      <c r="BC67" s="973"/>
      <c r="BD67" s="973"/>
      <c r="BE67" s="855"/>
      <c r="BF67" s="975"/>
      <c r="BG67" s="975"/>
      <c r="BH67" s="971"/>
      <c r="BI67" s="970"/>
      <c r="BJ67" s="971"/>
      <c r="BK67" s="971"/>
      <c r="BL67" s="977"/>
      <c r="BM67" s="972"/>
      <c r="BN67" s="971"/>
      <c r="BO67" s="973"/>
      <c r="BP67" s="973"/>
      <c r="BQ67" s="855"/>
      <c r="BR67" s="975"/>
      <c r="BS67" s="975"/>
      <c r="BT67" s="978"/>
      <c r="BU67" s="978"/>
      <c r="BV67" s="978">
        <v>0.20461795548313733</v>
      </c>
      <c r="BW67" s="978">
        <f t="shared" si="12"/>
        <v>0.16683466771472699</v>
      </c>
    </row>
    <row r="68" spans="1:75" hidden="1">
      <c r="A68" s="969">
        <v>2606</v>
      </c>
      <c r="B68" s="968" t="s">
        <v>307</v>
      </c>
      <c r="C68" s="969" t="s">
        <v>829</v>
      </c>
      <c r="D68" s="969" t="s">
        <v>10</v>
      </c>
      <c r="E68" s="955"/>
      <c r="F68" s="955"/>
      <c r="G68" s="955" t="str">
        <f>IFERROR(VLOOKUP(D68,[3]전용!E:J,6,0),"")</f>
        <v/>
      </c>
      <c r="H68" s="854">
        <v>25000</v>
      </c>
      <c r="I68" s="955">
        <v>5</v>
      </c>
      <c r="J68" s="955" t="s">
        <v>288</v>
      </c>
      <c r="K68" s="955">
        <v>6</v>
      </c>
      <c r="L68" s="970">
        <v>699</v>
      </c>
      <c r="M68" s="971">
        <f t="shared" ref="M68:M131" si="26">L68*LEFT(I68,1)*12</f>
        <v>41940</v>
      </c>
      <c r="N68" s="855">
        <v>0.24025603688348773</v>
      </c>
      <c r="O68" s="855"/>
      <c r="P68" s="970">
        <v>699</v>
      </c>
      <c r="Q68" s="970">
        <f t="shared" ref="Q68:Q131" si="27">L68-P68</f>
        <v>0</v>
      </c>
      <c r="R68" s="971">
        <f>P68*LEFT(I68,1)*12</f>
        <v>41940</v>
      </c>
      <c r="S68" s="856">
        <f t="shared" si="13"/>
        <v>0.24417658473904744</v>
      </c>
      <c r="T68" s="976">
        <v>149</v>
      </c>
      <c r="U68" s="972">
        <v>6</v>
      </c>
      <c r="V68" s="583">
        <v>0</v>
      </c>
      <c r="W68" s="971">
        <f t="shared" si="3"/>
        <v>3300</v>
      </c>
      <c r="X68" s="971">
        <f t="shared" si="14"/>
        <v>38640</v>
      </c>
      <c r="Y68" s="858">
        <f t="shared" si="15"/>
        <v>-7.8683834048640877E-2</v>
      </c>
      <c r="Z68" s="857">
        <f t="shared" si="16"/>
        <v>1.5456000000000001</v>
      </c>
      <c r="AA68" s="856">
        <v>0.204834667714727</v>
      </c>
      <c r="AB68" s="856">
        <v>2.0504603085045637E-2</v>
      </c>
      <c r="AC68" s="970">
        <f t="shared" ref="AC68:AC131" si="28">P68+AD68</f>
        <v>699</v>
      </c>
      <c r="AD68" s="970"/>
      <c r="AE68" s="970">
        <f t="shared" si="22"/>
        <v>0</v>
      </c>
      <c r="AF68" s="971">
        <f t="shared" si="18"/>
        <v>41940</v>
      </c>
      <c r="AG68" s="857">
        <f t="shared" si="19"/>
        <v>0</v>
      </c>
      <c r="AH68" s="576">
        <v>149</v>
      </c>
      <c r="AI68" s="856">
        <f t="shared" si="21"/>
        <v>0.16549275069040656</v>
      </c>
      <c r="AJ68" s="859">
        <v>6</v>
      </c>
      <c r="AK68" s="583">
        <v>0</v>
      </c>
      <c r="AL68" s="971">
        <f t="shared" si="20"/>
        <v>3300</v>
      </c>
      <c r="AM68" s="971">
        <f t="shared" ref="AM68:AM131" si="29">AF68-AL68</f>
        <v>38640</v>
      </c>
      <c r="AN68" s="858">
        <f t="shared" ref="AN68:AN131" si="30">AM68/AF68-1</f>
        <v>-7.8683834048640877E-2</v>
      </c>
      <c r="AO68" s="857">
        <f t="shared" ref="AO68:AO131" si="31">IFERROR(AM68/H68,"")</f>
        <v>1.5456000000000001</v>
      </c>
      <c r="AP68" s="973">
        <f t="shared" ref="AP68:AP131" si="32">AM68-X68</f>
        <v>0</v>
      </c>
      <c r="AQ68" s="855">
        <f t="shared" ref="AQ68:AQ131" si="33">AM68/X68-1</f>
        <v>0</v>
      </c>
      <c r="AR68" s="974">
        <f t="shared" si="23"/>
        <v>0.204834667714727</v>
      </c>
      <c r="AS68" s="975"/>
      <c r="AT68" s="976"/>
      <c r="AU68" s="971"/>
      <c r="AV68" s="976"/>
      <c r="AW68" s="970"/>
      <c r="AX68" s="971"/>
      <c r="AY68" s="971"/>
      <c r="AZ68" s="977"/>
      <c r="BA68" s="972"/>
      <c r="BB68" s="971"/>
      <c r="BC68" s="973"/>
      <c r="BD68" s="973"/>
      <c r="BE68" s="855"/>
      <c r="BF68" s="975"/>
      <c r="BG68" s="975"/>
      <c r="BH68" s="971"/>
      <c r="BI68" s="970"/>
      <c r="BJ68" s="971"/>
      <c r="BK68" s="971"/>
      <c r="BL68" s="977"/>
      <c r="BM68" s="972"/>
      <c r="BN68" s="971"/>
      <c r="BO68" s="973"/>
      <c r="BP68" s="973"/>
      <c r="BQ68" s="855"/>
      <c r="BR68" s="975"/>
      <c r="BS68" s="975"/>
      <c r="BT68" s="978"/>
      <c r="BU68" s="978"/>
      <c r="BV68" s="978">
        <v>0.20461795548313733</v>
      </c>
      <c r="BW68" s="978">
        <f t="shared" ref="BW68:BW131" si="34">IF(AA68&gt;19%,AA68-3.8%,AA68)</f>
        <v>0.16683466771472699</v>
      </c>
    </row>
    <row r="69" spans="1:75" hidden="1">
      <c r="A69" s="969">
        <v>2606</v>
      </c>
      <c r="B69" s="968" t="s">
        <v>307</v>
      </c>
      <c r="C69" s="969" t="s">
        <v>829</v>
      </c>
      <c r="D69" s="969" t="s">
        <v>10</v>
      </c>
      <c r="E69" s="955"/>
      <c r="F69" s="955"/>
      <c r="G69" s="955" t="str">
        <f>IFERROR(VLOOKUP(D69,[3]전용!E:J,6,0),"")</f>
        <v/>
      </c>
      <c r="H69" s="854">
        <v>25000</v>
      </c>
      <c r="I69" s="955">
        <v>7</v>
      </c>
      <c r="J69" s="955" t="s">
        <v>286</v>
      </c>
      <c r="K69" s="955">
        <v>6</v>
      </c>
      <c r="L69" s="970">
        <v>599</v>
      </c>
      <c r="M69" s="971">
        <f t="shared" si="26"/>
        <v>50316</v>
      </c>
      <c r="N69" s="855">
        <v>0.22316201978947059</v>
      </c>
      <c r="O69" s="855"/>
      <c r="P69" s="970">
        <v>599</v>
      </c>
      <c r="Q69" s="970">
        <f t="shared" si="27"/>
        <v>0</v>
      </c>
      <c r="R69" s="971">
        <f>P69*LEFT(I69,1)*12</f>
        <v>50316</v>
      </c>
      <c r="S69" s="856">
        <f t="shared" ref="S69:S132" si="35">AA69-(Y69/2)</f>
        <v>0.23166509938656102</v>
      </c>
      <c r="T69" s="976">
        <v>149</v>
      </c>
      <c r="U69" s="972">
        <v>6</v>
      </c>
      <c r="V69" s="583">
        <v>0</v>
      </c>
      <c r="W69" s="971">
        <f t="shared" ref="W69:W132" si="36">(P69-T69)*U69+V69*P69*0.5</f>
        <v>2700</v>
      </c>
      <c r="X69" s="971">
        <f t="shared" ref="X69:X132" si="37">R69-W69</f>
        <v>47616</v>
      </c>
      <c r="Y69" s="858">
        <f t="shared" ref="Y69:Y132" si="38">X69/R69-1</f>
        <v>-5.3660863343668042E-2</v>
      </c>
      <c r="Z69" s="857">
        <f t="shared" ref="Z69:Z132" si="39">IFERROR(X69/H69,"")</f>
        <v>1.9046400000000001</v>
      </c>
      <c r="AA69" s="856">
        <v>0.204834667714727</v>
      </c>
      <c r="AB69" s="856">
        <v>2.0504603085045637E-2</v>
      </c>
      <c r="AC69" s="970">
        <f t="shared" si="28"/>
        <v>599</v>
      </c>
      <c r="AD69" s="970"/>
      <c r="AE69" s="970">
        <f t="shared" si="22"/>
        <v>0</v>
      </c>
      <c r="AF69" s="971">
        <f t="shared" ref="AF69:AF132" si="40">AC69*LEFT(I69,1)*12</f>
        <v>50316</v>
      </c>
      <c r="AG69" s="857">
        <f t="shared" ref="AG69:AG132" si="41">AF69/R69-1</f>
        <v>0</v>
      </c>
      <c r="AH69" s="576">
        <v>149</v>
      </c>
      <c r="AI69" s="856">
        <f t="shared" si="21"/>
        <v>0.17800423604289298</v>
      </c>
      <c r="AJ69" s="859">
        <v>6</v>
      </c>
      <c r="AK69" s="583">
        <v>0</v>
      </c>
      <c r="AL69" s="971">
        <f t="shared" ref="AL69:AL132" si="42">(AC69-AH69)*AJ69+AK69*AC69*0.5</f>
        <v>2700</v>
      </c>
      <c r="AM69" s="971">
        <f t="shared" si="29"/>
        <v>47616</v>
      </c>
      <c r="AN69" s="858">
        <f t="shared" si="30"/>
        <v>-5.3660863343668042E-2</v>
      </c>
      <c r="AO69" s="857">
        <f t="shared" si="31"/>
        <v>1.9046400000000001</v>
      </c>
      <c r="AP69" s="973">
        <f t="shared" si="32"/>
        <v>0</v>
      </c>
      <c r="AQ69" s="855">
        <f t="shared" si="33"/>
        <v>0</v>
      </c>
      <c r="AR69" s="974">
        <f t="shared" si="23"/>
        <v>0.204834667714727</v>
      </c>
      <c r="AS69" s="975"/>
      <c r="AT69" s="976"/>
      <c r="AU69" s="971"/>
      <c r="AV69" s="976"/>
      <c r="AW69" s="970"/>
      <c r="AX69" s="971"/>
      <c r="AY69" s="971"/>
      <c r="AZ69" s="977"/>
      <c r="BA69" s="972"/>
      <c r="BB69" s="971"/>
      <c r="BC69" s="973"/>
      <c r="BD69" s="973"/>
      <c r="BE69" s="855"/>
      <c r="BF69" s="975"/>
      <c r="BG69" s="975"/>
      <c r="BH69" s="971"/>
      <c r="BI69" s="970"/>
      <c r="BJ69" s="971"/>
      <c r="BK69" s="971"/>
      <c r="BL69" s="977"/>
      <c r="BM69" s="972"/>
      <c r="BN69" s="971"/>
      <c r="BO69" s="973"/>
      <c r="BP69" s="973"/>
      <c r="BQ69" s="855"/>
      <c r="BR69" s="975"/>
      <c r="BS69" s="975"/>
      <c r="BT69" s="978"/>
      <c r="BU69" s="978"/>
      <c r="BV69" s="978">
        <v>0.20461795548313733</v>
      </c>
      <c r="BW69" s="978">
        <f t="shared" si="34"/>
        <v>0.16683466771472699</v>
      </c>
    </row>
    <row r="70" spans="1:75" hidden="1">
      <c r="A70" s="980">
        <v>2606</v>
      </c>
      <c r="B70" s="979" t="s">
        <v>307</v>
      </c>
      <c r="C70" s="980" t="s">
        <v>829</v>
      </c>
      <c r="D70" s="980" t="s">
        <v>10</v>
      </c>
      <c r="E70" s="955"/>
      <c r="F70" s="955"/>
      <c r="G70" s="955" t="str">
        <f>IFERROR(VLOOKUP(D70,[3]전용!E:J,6,0),"")</f>
        <v/>
      </c>
      <c r="H70" s="854">
        <v>25000</v>
      </c>
      <c r="I70" s="955">
        <v>7</v>
      </c>
      <c r="J70" s="955" t="s">
        <v>288</v>
      </c>
      <c r="K70" s="955">
        <v>6</v>
      </c>
      <c r="L70" s="970">
        <v>499</v>
      </c>
      <c r="M70" s="971">
        <f t="shared" si="26"/>
        <v>41916</v>
      </c>
      <c r="N70" s="855">
        <v>0.22316201978947059</v>
      </c>
      <c r="O70" s="855"/>
      <c r="P70" s="970">
        <v>499</v>
      </c>
      <c r="Q70" s="970">
        <f t="shared" si="27"/>
        <v>0</v>
      </c>
      <c r="R70" s="971">
        <f>P70*LEFT(I70,1)*12</f>
        <v>41916</v>
      </c>
      <c r="S70" s="856">
        <f t="shared" si="35"/>
        <v>0.22988476791512782</v>
      </c>
      <c r="T70" s="976">
        <v>149</v>
      </c>
      <c r="U70" s="972">
        <v>6</v>
      </c>
      <c r="V70" s="583">
        <v>0</v>
      </c>
      <c r="W70" s="971">
        <f t="shared" si="36"/>
        <v>2100</v>
      </c>
      <c r="X70" s="971">
        <f t="shared" si="37"/>
        <v>39816</v>
      </c>
      <c r="Y70" s="858">
        <f t="shared" si="38"/>
        <v>-5.0100200400801653E-2</v>
      </c>
      <c r="Z70" s="857">
        <f t="shared" si="39"/>
        <v>1.5926400000000001</v>
      </c>
      <c r="AA70" s="856">
        <v>0.204834667714727</v>
      </c>
      <c r="AB70" s="856">
        <v>2.0504603085045637E-2</v>
      </c>
      <c r="AC70" s="970">
        <f t="shared" si="28"/>
        <v>499</v>
      </c>
      <c r="AD70" s="970"/>
      <c r="AE70" s="970">
        <f t="shared" si="22"/>
        <v>0</v>
      </c>
      <c r="AF70" s="971">
        <f t="shared" si="40"/>
        <v>41916</v>
      </c>
      <c r="AG70" s="857">
        <f t="shared" si="41"/>
        <v>0</v>
      </c>
      <c r="AH70" s="576">
        <v>149</v>
      </c>
      <c r="AI70" s="856">
        <f t="shared" si="21"/>
        <v>0.17978456751432617</v>
      </c>
      <c r="AJ70" s="859">
        <v>6</v>
      </c>
      <c r="AK70" s="583">
        <v>0</v>
      </c>
      <c r="AL70" s="971">
        <f t="shared" si="42"/>
        <v>2100</v>
      </c>
      <c r="AM70" s="971">
        <f t="shared" si="29"/>
        <v>39816</v>
      </c>
      <c r="AN70" s="858">
        <f t="shared" si="30"/>
        <v>-5.0100200400801653E-2</v>
      </c>
      <c r="AO70" s="857">
        <f t="shared" si="31"/>
        <v>1.5926400000000001</v>
      </c>
      <c r="AP70" s="973">
        <f t="shared" si="32"/>
        <v>0</v>
      </c>
      <c r="AQ70" s="855">
        <f t="shared" si="33"/>
        <v>0</v>
      </c>
      <c r="AR70" s="974">
        <f t="shared" si="23"/>
        <v>0.204834667714727</v>
      </c>
      <c r="AS70" s="975"/>
      <c r="AT70" s="976"/>
      <c r="AU70" s="971"/>
      <c r="AV70" s="976"/>
      <c r="AW70" s="970"/>
      <c r="AX70" s="971"/>
      <c r="AY70" s="971"/>
      <c r="AZ70" s="977"/>
      <c r="BA70" s="972"/>
      <c r="BB70" s="971"/>
      <c r="BC70" s="973"/>
      <c r="BD70" s="973"/>
      <c r="BE70" s="855"/>
      <c r="BF70" s="975"/>
      <c r="BG70" s="975"/>
      <c r="BH70" s="971"/>
      <c r="BI70" s="970"/>
      <c r="BJ70" s="971"/>
      <c r="BK70" s="971"/>
      <c r="BL70" s="977"/>
      <c r="BM70" s="972"/>
      <c r="BN70" s="971"/>
      <c r="BO70" s="973"/>
      <c r="BP70" s="973"/>
      <c r="BQ70" s="855"/>
      <c r="BR70" s="975"/>
      <c r="BS70" s="975"/>
      <c r="BT70" s="978"/>
      <c r="BU70" s="978"/>
      <c r="BV70" s="978">
        <v>0.20461795548313733</v>
      </c>
      <c r="BW70" s="978">
        <f t="shared" si="34"/>
        <v>0.16683466771472699</v>
      </c>
    </row>
    <row r="71" spans="1:75" hidden="1">
      <c r="A71" s="969">
        <v>2606</v>
      </c>
      <c r="B71" s="968" t="s">
        <v>307</v>
      </c>
      <c r="C71" s="969" t="s">
        <v>829</v>
      </c>
      <c r="D71" s="969" t="s">
        <v>388</v>
      </c>
      <c r="E71" s="955"/>
      <c r="F71" s="955"/>
      <c r="G71" s="955" t="str">
        <f>IFERROR(VLOOKUP(D71,[3]전용!E:J,6,0),"")</f>
        <v/>
      </c>
      <c r="H71" s="854">
        <v>25000</v>
      </c>
      <c r="I71" s="955">
        <v>5</v>
      </c>
      <c r="J71" s="955" t="s">
        <v>286</v>
      </c>
      <c r="K71" s="955">
        <v>3</v>
      </c>
      <c r="L71" s="970">
        <v>1049</v>
      </c>
      <c r="M71" s="971">
        <f t="shared" si="26"/>
        <v>62940</v>
      </c>
      <c r="N71" s="855">
        <v>0.15555555555555559</v>
      </c>
      <c r="O71" s="855"/>
      <c r="P71" s="970">
        <v>1049</v>
      </c>
      <c r="Q71" s="970">
        <f t="shared" si="27"/>
        <v>0</v>
      </c>
      <c r="R71" s="576">
        <f>(P71*((I71*12)-V71))</f>
        <v>62940</v>
      </c>
      <c r="S71" s="856">
        <f t="shared" si="35"/>
        <v>2.1888313804518514E-2</v>
      </c>
      <c r="T71" s="580">
        <v>149</v>
      </c>
      <c r="U71" s="583">
        <v>6</v>
      </c>
      <c r="V71" s="583">
        <v>0</v>
      </c>
      <c r="W71" s="971">
        <f t="shared" si="36"/>
        <v>5400</v>
      </c>
      <c r="X71" s="971">
        <f t="shared" si="37"/>
        <v>57540</v>
      </c>
      <c r="Y71" s="858">
        <f t="shared" si="38"/>
        <v>-8.5795996186844636E-2</v>
      </c>
      <c r="Z71" s="857">
        <f t="shared" si="39"/>
        <v>2.3016000000000001</v>
      </c>
      <c r="AA71" s="856">
        <v>-2.1009684288903804E-2</v>
      </c>
      <c r="AB71" s="856">
        <v>0.12452945012960558</v>
      </c>
      <c r="AC71" s="970">
        <f t="shared" si="28"/>
        <v>1099</v>
      </c>
      <c r="AD71" s="970">
        <v>50</v>
      </c>
      <c r="AE71" s="970">
        <f t="shared" si="22"/>
        <v>104.9</v>
      </c>
      <c r="AF71" s="971">
        <f t="shared" si="40"/>
        <v>65940</v>
      </c>
      <c r="AG71" s="857">
        <f t="shared" si="41"/>
        <v>4.7664442326024847E-2</v>
      </c>
      <c r="AH71" s="576">
        <v>149</v>
      </c>
      <c r="AI71" s="856">
        <f t="shared" ref="AI71:AI134" si="43">AR71+(AN71/2)</f>
        <v>-3.1384079060527613E-2</v>
      </c>
      <c r="AJ71" s="859">
        <v>6</v>
      </c>
      <c r="AK71" s="583">
        <v>0</v>
      </c>
      <c r="AL71" s="971">
        <f t="shared" si="42"/>
        <v>5700</v>
      </c>
      <c r="AM71" s="971">
        <f t="shared" si="29"/>
        <v>60240</v>
      </c>
      <c r="AN71" s="858">
        <f t="shared" si="30"/>
        <v>-8.6442220200181996E-2</v>
      </c>
      <c r="AO71" s="857">
        <f t="shared" si="31"/>
        <v>2.4096000000000002</v>
      </c>
      <c r="AP71" s="973">
        <f t="shared" si="32"/>
        <v>2700</v>
      </c>
      <c r="AQ71" s="855">
        <f t="shared" si="33"/>
        <v>4.6923879040667416E-2</v>
      </c>
      <c r="AR71" s="974">
        <f>IFERROR(AA71+AQ71*0.7,"")</f>
        <v>1.1837031039563385E-2</v>
      </c>
      <c r="AS71" s="975" t="s">
        <v>835</v>
      </c>
      <c r="AT71" s="976"/>
      <c r="AU71" s="971"/>
      <c r="AV71" s="976"/>
      <c r="AW71" s="970"/>
      <c r="AX71" s="971"/>
      <c r="AY71" s="971"/>
      <c r="AZ71" s="977"/>
      <c r="BA71" s="972"/>
      <c r="BB71" s="971"/>
      <c r="BC71" s="973"/>
      <c r="BD71" s="973"/>
      <c r="BE71" s="855"/>
      <c r="BF71" s="975"/>
      <c r="BG71" s="975"/>
      <c r="BH71" s="971"/>
      <c r="BI71" s="970"/>
      <c r="BJ71" s="971"/>
      <c r="BK71" s="971"/>
      <c r="BL71" s="977"/>
      <c r="BM71" s="972"/>
      <c r="BN71" s="971"/>
      <c r="BO71" s="973"/>
      <c r="BP71" s="973"/>
      <c r="BQ71" s="855"/>
      <c r="BR71" s="975"/>
      <c r="BS71" s="975"/>
      <c r="BT71" s="978"/>
      <c r="BU71" s="978"/>
      <c r="BV71" s="978">
        <v>0.10100000000000001</v>
      </c>
      <c r="BW71" s="978">
        <f t="shared" si="34"/>
        <v>-2.1009684288903804E-2</v>
      </c>
    </row>
    <row r="72" spans="1:75" hidden="1">
      <c r="A72" s="980">
        <v>2606</v>
      </c>
      <c r="B72" s="979" t="s">
        <v>307</v>
      </c>
      <c r="C72" s="980" t="s">
        <v>829</v>
      </c>
      <c r="D72" s="980" t="s">
        <v>388</v>
      </c>
      <c r="E72" s="955"/>
      <c r="F72" s="955"/>
      <c r="G72" s="955" t="str">
        <f>IFERROR(VLOOKUP(D72,[3]전용!E:J,6,0),"")</f>
        <v/>
      </c>
      <c r="H72" s="854">
        <v>25000</v>
      </c>
      <c r="I72" s="955">
        <v>7</v>
      </c>
      <c r="J72" s="955" t="s">
        <v>286</v>
      </c>
      <c r="K72" s="955">
        <v>3</v>
      </c>
      <c r="L72" s="970">
        <v>849</v>
      </c>
      <c r="M72" s="971">
        <f t="shared" si="26"/>
        <v>71316</v>
      </c>
      <c r="N72" s="855">
        <v>0.13846153846153844</v>
      </c>
      <c r="O72" s="855"/>
      <c r="P72" s="970">
        <v>849</v>
      </c>
      <c r="Q72" s="970">
        <f t="shared" si="27"/>
        <v>0</v>
      </c>
      <c r="R72" s="971">
        <f t="shared" ref="R72:R135" si="44">P72*LEFT(I72,1)*12</f>
        <v>71316</v>
      </c>
      <c r="S72" s="856">
        <f t="shared" si="35"/>
        <v>8.4367232493765126E-3</v>
      </c>
      <c r="T72" s="976">
        <v>149</v>
      </c>
      <c r="U72" s="972">
        <v>6</v>
      </c>
      <c r="V72" s="583">
        <v>0</v>
      </c>
      <c r="W72" s="971">
        <f t="shared" si="36"/>
        <v>4200</v>
      </c>
      <c r="X72" s="971">
        <f t="shared" si="37"/>
        <v>67116</v>
      </c>
      <c r="Y72" s="858">
        <f t="shared" si="38"/>
        <v>-5.8892815076560634E-2</v>
      </c>
      <c r="Z72" s="857">
        <f t="shared" si="39"/>
        <v>2.6846399999999999</v>
      </c>
      <c r="AA72" s="856">
        <v>-2.1009684288903804E-2</v>
      </c>
      <c r="AB72" s="856">
        <v>0.12452945012960558</v>
      </c>
      <c r="AC72" s="970">
        <f t="shared" si="28"/>
        <v>899</v>
      </c>
      <c r="AD72" s="970">
        <v>50</v>
      </c>
      <c r="AE72" s="970">
        <f t="shared" ref="AE72:AE114" si="45">IF(AA72&gt;10%,0,IF(AA72&gt;5%,P72*0.04,IF(AA72&gt;0%,P72*0.075, P72*0.1)))</f>
        <v>84.9</v>
      </c>
      <c r="AF72" s="971">
        <f t="shared" si="40"/>
        <v>75516</v>
      </c>
      <c r="AG72" s="857">
        <f t="shared" si="41"/>
        <v>5.8892815076560634E-2</v>
      </c>
      <c r="AH72" s="576">
        <v>149</v>
      </c>
      <c r="AI72" s="856">
        <f t="shared" si="43"/>
        <v>-2.175051975640678E-2</v>
      </c>
      <c r="AJ72" s="859">
        <v>6</v>
      </c>
      <c r="AK72" s="583">
        <v>0</v>
      </c>
      <c r="AL72" s="971">
        <f t="shared" si="42"/>
        <v>4500</v>
      </c>
      <c r="AM72" s="971">
        <f t="shared" si="29"/>
        <v>71016</v>
      </c>
      <c r="AN72" s="858">
        <f t="shared" si="30"/>
        <v>-5.9590020657873777E-2</v>
      </c>
      <c r="AO72" s="857">
        <f t="shared" si="31"/>
        <v>2.8406400000000001</v>
      </c>
      <c r="AP72" s="973">
        <f t="shared" si="32"/>
        <v>3900</v>
      </c>
      <c r="AQ72" s="855">
        <f t="shared" si="33"/>
        <v>5.8108349722867825E-2</v>
      </c>
      <c r="AR72" s="974">
        <f t="shared" si="23"/>
        <v>8.044490572530108E-3</v>
      </c>
      <c r="AS72" s="975" t="s">
        <v>835</v>
      </c>
      <c r="AT72" s="976"/>
      <c r="AU72" s="971"/>
      <c r="AV72" s="976"/>
      <c r="AW72" s="970"/>
      <c r="AX72" s="971"/>
      <c r="AY72" s="971"/>
      <c r="AZ72" s="977"/>
      <c r="BA72" s="972"/>
      <c r="BB72" s="971"/>
      <c r="BC72" s="973"/>
      <c r="BD72" s="973"/>
      <c r="BE72" s="855"/>
      <c r="BF72" s="975"/>
      <c r="BG72" s="975"/>
      <c r="BH72" s="971"/>
      <c r="BI72" s="970"/>
      <c r="BJ72" s="971"/>
      <c r="BK72" s="971"/>
      <c r="BL72" s="977"/>
      <c r="BM72" s="972"/>
      <c r="BN72" s="971"/>
      <c r="BO72" s="973"/>
      <c r="BP72" s="973"/>
      <c r="BQ72" s="855"/>
      <c r="BR72" s="975"/>
      <c r="BS72" s="975"/>
      <c r="BT72" s="978"/>
      <c r="BU72" s="978"/>
      <c r="BV72" s="978">
        <v>0.10100000000000001</v>
      </c>
      <c r="BW72" s="978">
        <f t="shared" si="34"/>
        <v>-2.1009684288903804E-2</v>
      </c>
    </row>
    <row r="73" spans="1:75" hidden="1">
      <c r="A73" s="969">
        <v>2606</v>
      </c>
      <c r="B73" s="968" t="s">
        <v>211</v>
      </c>
      <c r="C73" s="969" t="s">
        <v>829</v>
      </c>
      <c r="D73" s="969" t="s">
        <v>910</v>
      </c>
      <c r="E73" s="955" t="s">
        <v>389</v>
      </c>
      <c r="F73" s="955"/>
      <c r="G73" s="955" t="str">
        <f>IFERROR(VLOOKUP(D73,[3]전용!E:J,6,0),"")</f>
        <v/>
      </c>
      <c r="H73" s="854">
        <v>99900</v>
      </c>
      <c r="I73" s="955">
        <v>5</v>
      </c>
      <c r="J73" s="955" t="s">
        <v>286</v>
      </c>
      <c r="K73" s="955">
        <v>12</v>
      </c>
      <c r="L73" s="970">
        <v>2399</v>
      </c>
      <c r="M73" s="971">
        <f t="shared" si="26"/>
        <v>143940</v>
      </c>
      <c r="N73" s="855">
        <v>0.28999999999999998</v>
      </c>
      <c r="O73" s="855"/>
      <c r="P73" s="970">
        <v>2399</v>
      </c>
      <c r="Q73" s="970">
        <f t="shared" si="27"/>
        <v>0</v>
      </c>
      <c r="R73" s="971">
        <f t="shared" si="44"/>
        <v>143940</v>
      </c>
      <c r="S73" s="856">
        <f t="shared" si="35"/>
        <v>0.24837652899215476</v>
      </c>
      <c r="T73" s="971"/>
      <c r="U73" s="971"/>
      <c r="V73" s="976">
        <v>6</v>
      </c>
      <c r="W73" s="971">
        <f t="shared" si="36"/>
        <v>7197</v>
      </c>
      <c r="X73" s="971">
        <f t="shared" si="37"/>
        <v>136743</v>
      </c>
      <c r="Y73" s="858">
        <f t="shared" si="38"/>
        <v>-5.0000000000000044E-2</v>
      </c>
      <c r="Z73" s="857">
        <f t="shared" si="39"/>
        <v>1.3687987987987988</v>
      </c>
      <c r="AA73" s="856">
        <v>0.22337652899215474</v>
      </c>
      <c r="AB73" s="856">
        <v>1.8560851101306162E-3</v>
      </c>
      <c r="AC73" s="970">
        <f t="shared" si="28"/>
        <v>2399</v>
      </c>
      <c r="AD73" s="970"/>
      <c r="AE73" s="970">
        <f t="shared" si="45"/>
        <v>0</v>
      </c>
      <c r="AF73" s="971">
        <f t="shared" si="40"/>
        <v>143940</v>
      </c>
      <c r="AG73" s="857">
        <f t="shared" si="41"/>
        <v>0</v>
      </c>
      <c r="AH73" s="576">
        <v>0</v>
      </c>
      <c r="AI73" s="856">
        <f t="shared" si="43"/>
        <v>0.19837652899215472</v>
      </c>
      <c r="AJ73" s="859">
        <v>0</v>
      </c>
      <c r="AK73" s="583">
        <v>6</v>
      </c>
      <c r="AL73" s="971">
        <f t="shared" si="42"/>
        <v>7197</v>
      </c>
      <c r="AM73" s="971">
        <f t="shared" si="29"/>
        <v>136743</v>
      </c>
      <c r="AN73" s="858">
        <f t="shared" si="30"/>
        <v>-5.0000000000000044E-2</v>
      </c>
      <c r="AO73" s="857">
        <f t="shared" si="31"/>
        <v>1.3687987987987988</v>
      </c>
      <c r="AP73" s="973">
        <f t="shared" si="32"/>
        <v>0</v>
      </c>
      <c r="AQ73" s="855">
        <f t="shared" si="33"/>
        <v>0</v>
      </c>
      <c r="AR73" s="974">
        <f t="shared" si="23"/>
        <v>0.22337652899215474</v>
      </c>
      <c r="AS73" s="975"/>
      <c r="AT73" s="976"/>
      <c r="AU73" s="971"/>
      <c r="AV73" s="976"/>
      <c r="AW73" s="970"/>
      <c r="AX73" s="971"/>
      <c r="AY73" s="971"/>
      <c r="AZ73" s="977"/>
      <c r="BA73" s="972"/>
      <c r="BB73" s="971"/>
      <c r="BC73" s="973"/>
      <c r="BD73" s="973"/>
      <c r="BE73" s="855"/>
      <c r="BF73" s="975"/>
      <c r="BG73" s="975"/>
      <c r="BH73" s="971"/>
      <c r="BI73" s="970"/>
      <c r="BJ73" s="971"/>
      <c r="BK73" s="971"/>
      <c r="BL73" s="977"/>
      <c r="BM73" s="972"/>
      <c r="BN73" s="971"/>
      <c r="BO73" s="973"/>
      <c r="BP73" s="973"/>
      <c r="BQ73" s="855"/>
      <c r="BR73" s="975"/>
      <c r="BS73" s="975"/>
      <c r="BT73" s="978"/>
      <c r="BU73" s="978"/>
      <c r="BV73" s="978">
        <v>0.22337652899215474</v>
      </c>
      <c r="BW73" s="978">
        <f t="shared" si="34"/>
        <v>0.18537652899215473</v>
      </c>
    </row>
    <row r="74" spans="1:75" hidden="1">
      <c r="A74" s="969">
        <v>2606</v>
      </c>
      <c r="B74" s="968" t="s">
        <v>211</v>
      </c>
      <c r="C74" s="969" t="s">
        <v>829</v>
      </c>
      <c r="D74" s="969" t="s">
        <v>443</v>
      </c>
      <c r="E74" s="955" t="s">
        <v>389</v>
      </c>
      <c r="F74" s="955"/>
      <c r="G74" s="955" t="str">
        <f>IFERROR(VLOOKUP(D74,[3]전용!E:J,6,0),"")</f>
        <v/>
      </c>
      <c r="H74" s="854">
        <v>99900</v>
      </c>
      <c r="I74" s="955">
        <v>5</v>
      </c>
      <c r="J74" s="955" t="s">
        <v>288</v>
      </c>
      <c r="K74" s="955">
        <v>12</v>
      </c>
      <c r="L74" s="970">
        <v>2199</v>
      </c>
      <c r="M74" s="971">
        <f t="shared" si="26"/>
        <v>131940</v>
      </c>
      <c r="N74" s="855">
        <v>0.28000000000000003</v>
      </c>
      <c r="O74" s="855"/>
      <c r="P74" s="970">
        <v>2199</v>
      </c>
      <c r="Q74" s="970">
        <f t="shared" si="27"/>
        <v>0</v>
      </c>
      <c r="R74" s="971">
        <f t="shared" si="44"/>
        <v>131940</v>
      </c>
      <c r="S74" s="856">
        <f t="shared" si="35"/>
        <v>0.24837652899215476</v>
      </c>
      <c r="T74" s="971"/>
      <c r="U74" s="971"/>
      <c r="V74" s="976">
        <v>6</v>
      </c>
      <c r="W74" s="971">
        <f t="shared" si="36"/>
        <v>6597</v>
      </c>
      <c r="X74" s="971">
        <f t="shared" si="37"/>
        <v>125343</v>
      </c>
      <c r="Y74" s="858">
        <f t="shared" si="38"/>
        <v>-5.0000000000000044E-2</v>
      </c>
      <c r="Z74" s="857">
        <f t="shared" si="39"/>
        <v>1.2546846846846846</v>
      </c>
      <c r="AA74" s="856">
        <v>0.22337652899215474</v>
      </c>
      <c r="AB74" s="856">
        <v>1.8560851101306162E-3</v>
      </c>
      <c r="AC74" s="970">
        <f t="shared" si="28"/>
        <v>2199</v>
      </c>
      <c r="AD74" s="970"/>
      <c r="AE74" s="970">
        <f t="shared" si="45"/>
        <v>0</v>
      </c>
      <c r="AF74" s="971">
        <f t="shared" si="40"/>
        <v>131940</v>
      </c>
      <c r="AG74" s="857">
        <f t="shared" si="41"/>
        <v>0</v>
      </c>
      <c r="AH74" s="576">
        <v>0</v>
      </c>
      <c r="AI74" s="856">
        <f t="shared" si="43"/>
        <v>0.19837652899215472</v>
      </c>
      <c r="AJ74" s="859">
        <v>0</v>
      </c>
      <c r="AK74" s="583">
        <v>6</v>
      </c>
      <c r="AL74" s="971">
        <f t="shared" si="42"/>
        <v>6597</v>
      </c>
      <c r="AM74" s="971">
        <f t="shared" si="29"/>
        <v>125343</v>
      </c>
      <c r="AN74" s="858">
        <f t="shared" si="30"/>
        <v>-5.0000000000000044E-2</v>
      </c>
      <c r="AO74" s="857">
        <f t="shared" si="31"/>
        <v>1.2546846846846846</v>
      </c>
      <c r="AP74" s="973">
        <f t="shared" si="32"/>
        <v>0</v>
      </c>
      <c r="AQ74" s="855">
        <f t="shared" si="33"/>
        <v>0</v>
      </c>
      <c r="AR74" s="974">
        <f t="shared" ref="AR74:AR137" si="46">IFERROR(AA74+AQ74*0.5,"")</f>
        <v>0.22337652899215474</v>
      </c>
      <c r="AS74" s="975"/>
      <c r="AT74" s="976"/>
      <c r="AU74" s="971"/>
      <c r="AV74" s="976"/>
      <c r="AW74" s="970"/>
      <c r="AX74" s="971"/>
      <c r="AY74" s="971"/>
      <c r="AZ74" s="977"/>
      <c r="BA74" s="972"/>
      <c r="BB74" s="971"/>
      <c r="BC74" s="973"/>
      <c r="BD74" s="973"/>
      <c r="BE74" s="855"/>
      <c r="BF74" s="975"/>
      <c r="BG74" s="975"/>
      <c r="BH74" s="971"/>
      <c r="BI74" s="970"/>
      <c r="BJ74" s="971"/>
      <c r="BK74" s="971"/>
      <c r="BL74" s="977"/>
      <c r="BM74" s="972"/>
      <c r="BN74" s="971"/>
      <c r="BO74" s="973"/>
      <c r="BP74" s="973"/>
      <c r="BQ74" s="855"/>
      <c r="BR74" s="975"/>
      <c r="BS74" s="975"/>
      <c r="BT74" s="978"/>
      <c r="BU74" s="978"/>
      <c r="BV74" s="978">
        <v>0.22337652899215474</v>
      </c>
      <c r="BW74" s="978">
        <f t="shared" si="34"/>
        <v>0.18537652899215473</v>
      </c>
    </row>
    <row r="75" spans="1:75" hidden="1">
      <c r="A75" s="969">
        <v>2606</v>
      </c>
      <c r="B75" s="968" t="s">
        <v>211</v>
      </c>
      <c r="C75" s="969" t="s">
        <v>829</v>
      </c>
      <c r="D75" s="969" t="s">
        <v>443</v>
      </c>
      <c r="E75" s="955" t="s">
        <v>389</v>
      </c>
      <c r="F75" s="955"/>
      <c r="G75" s="955" t="str">
        <f>IFERROR(VLOOKUP(D75,[3]전용!E:J,6,0),"")</f>
        <v/>
      </c>
      <c r="H75" s="854">
        <v>99900</v>
      </c>
      <c r="I75" s="955">
        <v>6</v>
      </c>
      <c r="J75" s="955" t="s">
        <v>286</v>
      </c>
      <c r="K75" s="955">
        <v>12</v>
      </c>
      <c r="L75" s="970">
        <v>2199</v>
      </c>
      <c r="M75" s="971">
        <f t="shared" si="26"/>
        <v>158328</v>
      </c>
      <c r="N75" s="855">
        <v>0.33</v>
      </c>
      <c r="O75" s="855"/>
      <c r="P75" s="970">
        <v>2199</v>
      </c>
      <c r="Q75" s="970">
        <f t="shared" si="27"/>
        <v>0</v>
      </c>
      <c r="R75" s="971">
        <f t="shared" si="44"/>
        <v>158328</v>
      </c>
      <c r="S75" s="856">
        <f t="shared" si="35"/>
        <v>0.24420986232548805</v>
      </c>
      <c r="T75" s="971"/>
      <c r="U75" s="971"/>
      <c r="V75" s="976">
        <v>6</v>
      </c>
      <c r="W75" s="971">
        <f t="shared" si="36"/>
        <v>6597</v>
      </c>
      <c r="X75" s="971">
        <f t="shared" si="37"/>
        <v>151731</v>
      </c>
      <c r="Y75" s="858">
        <f t="shared" si="38"/>
        <v>-4.166666666666663E-2</v>
      </c>
      <c r="Z75" s="857">
        <f t="shared" si="39"/>
        <v>1.5188288288288287</v>
      </c>
      <c r="AA75" s="856">
        <v>0.22337652899215474</v>
      </c>
      <c r="AB75" s="856">
        <v>1.8560851101306162E-3</v>
      </c>
      <c r="AC75" s="970">
        <f t="shared" si="28"/>
        <v>2199</v>
      </c>
      <c r="AD75" s="970"/>
      <c r="AE75" s="970">
        <f t="shared" si="45"/>
        <v>0</v>
      </c>
      <c r="AF75" s="971">
        <f t="shared" si="40"/>
        <v>158328</v>
      </c>
      <c r="AG75" s="857">
        <f t="shared" si="41"/>
        <v>0</v>
      </c>
      <c r="AH75" s="576">
        <v>0</v>
      </c>
      <c r="AI75" s="856">
        <f t="shared" si="43"/>
        <v>0.20254319565882142</v>
      </c>
      <c r="AJ75" s="859">
        <v>0</v>
      </c>
      <c r="AK75" s="583">
        <v>6</v>
      </c>
      <c r="AL75" s="971">
        <f t="shared" si="42"/>
        <v>6597</v>
      </c>
      <c r="AM75" s="971">
        <f t="shared" si="29"/>
        <v>151731</v>
      </c>
      <c r="AN75" s="858">
        <f t="shared" si="30"/>
        <v>-4.166666666666663E-2</v>
      </c>
      <c r="AO75" s="857">
        <f t="shared" si="31"/>
        <v>1.5188288288288287</v>
      </c>
      <c r="AP75" s="973">
        <f t="shared" si="32"/>
        <v>0</v>
      </c>
      <c r="AQ75" s="855">
        <f t="shared" si="33"/>
        <v>0</v>
      </c>
      <c r="AR75" s="974">
        <f t="shared" si="46"/>
        <v>0.22337652899215474</v>
      </c>
      <c r="AS75" s="975"/>
      <c r="AT75" s="976"/>
      <c r="AU75" s="971"/>
      <c r="AV75" s="976"/>
      <c r="AW75" s="970"/>
      <c r="AX75" s="971"/>
      <c r="AY75" s="971"/>
      <c r="AZ75" s="977"/>
      <c r="BA75" s="972"/>
      <c r="BB75" s="971"/>
      <c r="BC75" s="973"/>
      <c r="BD75" s="973"/>
      <c r="BE75" s="855"/>
      <c r="BF75" s="975"/>
      <c r="BG75" s="975"/>
      <c r="BH75" s="971"/>
      <c r="BI75" s="970"/>
      <c r="BJ75" s="971"/>
      <c r="BK75" s="971"/>
      <c r="BL75" s="977"/>
      <c r="BM75" s="972"/>
      <c r="BN75" s="971"/>
      <c r="BO75" s="973"/>
      <c r="BP75" s="973"/>
      <c r="BQ75" s="855"/>
      <c r="BR75" s="975"/>
      <c r="BS75" s="975"/>
      <c r="BT75" s="978"/>
      <c r="BU75" s="978"/>
      <c r="BV75" s="978">
        <v>0.22337652899215474</v>
      </c>
      <c r="BW75" s="978">
        <f t="shared" si="34"/>
        <v>0.18537652899215473</v>
      </c>
    </row>
    <row r="76" spans="1:75" hidden="1">
      <c r="A76" s="980">
        <v>2606</v>
      </c>
      <c r="B76" s="979" t="s">
        <v>211</v>
      </c>
      <c r="C76" s="980" t="s">
        <v>829</v>
      </c>
      <c r="D76" s="980" t="s">
        <v>443</v>
      </c>
      <c r="E76" s="955" t="s">
        <v>389</v>
      </c>
      <c r="F76" s="955"/>
      <c r="G76" s="955" t="str">
        <f>IFERROR(VLOOKUP(D76,[3]전용!E:J,6,0),"")</f>
        <v/>
      </c>
      <c r="H76" s="854">
        <v>99900</v>
      </c>
      <c r="I76" s="955">
        <v>6</v>
      </c>
      <c r="J76" s="955" t="s">
        <v>288</v>
      </c>
      <c r="K76" s="955">
        <v>12</v>
      </c>
      <c r="L76" s="970">
        <v>1999</v>
      </c>
      <c r="M76" s="971">
        <f t="shared" si="26"/>
        <v>143928</v>
      </c>
      <c r="N76" s="855">
        <v>0.33</v>
      </c>
      <c r="O76" s="855"/>
      <c r="P76" s="970">
        <v>1999</v>
      </c>
      <c r="Q76" s="970">
        <f t="shared" si="27"/>
        <v>0</v>
      </c>
      <c r="R76" s="971">
        <f t="shared" si="44"/>
        <v>143928</v>
      </c>
      <c r="S76" s="856">
        <f t="shared" si="35"/>
        <v>0.24420986232548805</v>
      </c>
      <c r="T76" s="971"/>
      <c r="U76" s="971"/>
      <c r="V76" s="976">
        <v>6</v>
      </c>
      <c r="W76" s="971">
        <f t="shared" si="36"/>
        <v>5997</v>
      </c>
      <c r="X76" s="971">
        <f t="shared" si="37"/>
        <v>137931</v>
      </c>
      <c r="Y76" s="858">
        <f t="shared" si="38"/>
        <v>-4.166666666666663E-2</v>
      </c>
      <c r="Z76" s="857">
        <f t="shared" si="39"/>
        <v>1.3806906906906906</v>
      </c>
      <c r="AA76" s="856">
        <v>0.22337652899215474</v>
      </c>
      <c r="AB76" s="856">
        <v>1.8560851101306162E-3</v>
      </c>
      <c r="AC76" s="970">
        <f t="shared" si="28"/>
        <v>1999</v>
      </c>
      <c r="AD76" s="970"/>
      <c r="AE76" s="970">
        <f t="shared" si="45"/>
        <v>0</v>
      </c>
      <c r="AF76" s="971">
        <f t="shared" si="40"/>
        <v>143928</v>
      </c>
      <c r="AG76" s="857">
        <f t="shared" si="41"/>
        <v>0</v>
      </c>
      <c r="AH76" s="576">
        <v>0</v>
      </c>
      <c r="AI76" s="856">
        <f t="shared" si="43"/>
        <v>0.20254319565882142</v>
      </c>
      <c r="AJ76" s="859">
        <v>0</v>
      </c>
      <c r="AK76" s="583">
        <v>6</v>
      </c>
      <c r="AL76" s="971">
        <f t="shared" si="42"/>
        <v>5997</v>
      </c>
      <c r="AM76" s="971">
        <f t="shared" si="29"/>
        <v>137931</v>
      </c>
      <c r="AN76" s="858">
        <f t="shared" si="30"/>
        <v>-4.166666666666663E-2</v>
      </c>
      <c r="AO76" s="857">
        <f t="shared" si="31"/>
        <v>1.3806906906906906</v>
      </c>
      <c r="AP76" s="973">
        <f t="shared" si="32"/>
        <v>0</v>
      </c>
      <c r="AQ76" s="855">
        <f t="shared" si="33"/>
        <v>0</v>
      </c>
      <c r="AR76" s="974">
        <f t="shared" si="46"/>
        <v>0.22337652899215474</v>
      </c>
      <c r="AS76" s="975"/>
      <c r="AT76" s="976"/>
      <c r="AU76" s="971"/>
      <c r="AV76" s="976"/>
      <c r="AW76" s="970"/>
      <c r="AX76" s="971"/>
      <c r="AY76" s="971"/>
      <c r="AZ76" s="977"/>
      <c r="BA76" s="972"/>
      <c r="BB76" s="971"/>
      <c r="BC76" s="973"/>
      <c r="BD76" s="973"/>
      <c r="BE76" s="855"/>
      <c r="BF76" s="975"/>
      <c r="BG76" s="975"/>
      <c r="BH76" s="971"/>
      <c r="BI76" s="970"/>
      <c r="BJ76" s="971"/>
      <c r="BK76" s="971"/>
      <c r="BL76" s="977"/>
      <c r="BM76" s="972"/>
      <c r="BN76" s="971"/>
      <c r="BO76" s="973"/>
      <c r="BP76" s="973"/>
      <c r="BQ76" s="855"/>
      <c r="BR76" s="975"/>
      <c r="BS76" s="975"/>
      <c r="BT76" s="978"/>
      <c r="BU76" s="978"/>
      <c r="BV76" s="978">
        <v>0.22337652899215474</v>
      </c>
      <c r="BW76" s="978">
        <f t="shared" si="34"/>
        <v>0.18537652899215473</v>
      </c>
    </row>
    <row r="77" spans="1:75" hidden="1">
      <c r="A77" s="969">
        <v>2606</v>
      </c>
      <c r="B77" s="968" t="s">
        <v>211</v>
      </c>
      <c r="C77" s="969" t="s">
        <v>829</v>
      </c>
      <c r="D77" s="969" t="s">
        <v>391</v>
      </c>
      <c r="E77" s="955"/>
      <c r="F77" s="955"/>
      <c r="G77" s="955" t="str">
        <f>IFERROR(VLOOKUP(D77,[3]전용!E:J,6,0),"")</f>
        <v/>
      </c>
      <c r="H77" s="854">
        <v>99900</v>
      </c>
      <c r="I77" s="955">
        <v>5</v>
      </c>
      <c r="J77" s="955" t="s">
        <v>286</v>
      </c>
      <c r="K77" s="955">
        <v>12</v>
      </c>
      <c r="L77" s="970">
        <v>2399</v>
      </c>
      <c r="M77" s="971">
        <f t="shared" si="26"/>
        <v>143940</v>
      </c>
      <c r="N77" s="855">
        <v>0.28999999999999998</v>
      </c>
      <c r="O77" s="855"/>
      <c r="P77" s="970">
        <v>2399</v>
      </c>
      <c r="Q77" s="970">
        <f t="shared" si="27"/>
        <v>0</v>
      </c>
      <c r="R77" s="971">
        <f t="shared" si="44"/>
        <v>143940</v>
      </c>
      <c r="S77" s="856">
        <f t="shared" si="35"/>
        <v>0.26625740672687359</v>
      </c>
      <c r="T77" s="971"/>
      <c r="U77" s="971"/>
      <c r="V77" s="976">
        <v>6</v>
      </c>
      <c r="W77" s="971">
        <f t="shared" si="36"/>
        <v>7197</v>
      </c>
      <c r="X77" s="971">
        <f t="shared" si="37"/>
        <v>136743</v>
      </c>
      <c r="Y77" s="858">
        <f t="shared" si="38"/>
        <v>-5.0000000000000044E-2</v>
      </c>
      <c r="Z77" s="857">
        <f t="shared" si="39"/>
        <v>1.3687987987987988</v>
      </c>
      <c r="AA77" s="856">
        <v>0.24125740672687354</v>
      </c>
      <c r="AB77" s="856">
        <v>1.475377111677491E-3</v>
      </c>
      <c r="AC77" s="970">
        <f t="shared" si="28"/>
        <v>2399</v>
      </c>
      <c r="AD77" s="970"/>
      <c r="AE77" s="970">
        <f t="shared" si="45"/>
        <v>0</v>
      </c>
      <c r="AF77" s="971">
        <f t="shared" si="40"/>
        <v>143940</v>
      </c>
      <c r="AG77" s="857">
        <f t="shared" si="41"/>
        <v>0</v>
      </c>
      <c r="AH77" s="576">
        <v>0</v>
      </c>
      <c r="AI77" s="856">
        <f t="shared" si="43"/>
        <v>0.21625740672687352</v>
      </c>
      <c r="AJ77" s="859">
        <v>0</v>
      </c>
      <c r="AK77" s="583">
        <v>6</v>
      </c>
      <c r="AL77" s="971">
        <f t="shared" si="42"/>
        <v>7197</v>
      </c>
      <c r="AM77" s="971">
        <f t="shared" si="29"/>
        <v>136743</v>
      </c>
      <c r="AN77" s="858">
        <f t="shared" si="30"/>
        <v>-5.0000000000000044E-2</v>
      </c>
      <c r="AO77" s="857">
        <f t="shared" si="31"/>
        <v>1.3687987987987988</v>
      </c>
      <c r="AP77" s="973">
        <f t="shared" si="32"/>
        <v>0</v>
      </c>
      <c r="AQ77" s="855">
        <f t="shared" si="33"/>
        <v>0</v>
      </c>
      <c r="AR77" s="974">
        <f t="shared" si="46"/>
        <v>0.24125740672687354</v>
      </c>
      <c r="AS77" s="975"/>
      <c r="AT77" s="976"/>
      <c r="AU77" s="971"/>
      <c r="AV77" s="976"/>
      <c r="AW77" s="970"/>
      <c r="AX77" s="971"/>
      <c r="AY77" s="971"/>
      <c r="AZ77" s="977"/>
      <c r="BA77" s="972"/>
      <c r="BB77" s="971"/>
      <c r="BC77" s="973"/>
      <c r="BD77" s="973"/>
      <c r="BE77" s="855"/>
      <c r="BF77" s="975"/>
      <c r="BG77" s="975"/>
      <c r="BH77" s="971"/>
      <c r="BI77" s="970"/>
      <c r="BJ77" s="971"/>
      <c r="BK77" s="971"/>
      <c r="BL77" s="977"/>
      <c r="BM77" s="972"/>
      <c r="BN77" s="971"/>
      <c r="BO77" s="973"/>
      <c r="BP77" s="973"/>
      <c r="BQ77" s="855"/>
      <c r="BR77" s="975"/>
      <c r="BS77" s="975"/>
      <c r="BT77" s="978"/>
      <c r="BU77" s="978"/>
      <c r="BV77" s="978">
        <v>0.24125740672687357</v>
      </c>
      <c r="BW77" s="978">
        <f t="shared" si="34"/>
        <v>0.20325740672687354</v>
      </c>
    </row>
    <row r="78" spans="1:75" hidden="1">
      <c r="A78" s="969">
        <v>2606</v>
      </c>
      <c r="B78" s="968" t="s">
        <v>211</v>
      </c>
      <c r="C78" s="969" t="s">
        <v>829</v>
      </c>
      <c r="D78" s="969" t="s">
        <v>391</v>
      </c>
      <c r="E78" s="955"/>
      <c r="F78" s="955"/>
      <c r="G78" s="955" t="str">
        <f>IFERROR(VLOOKUP(D78,[3]전용!E:J,6,0),"")</f>
        <v/>
      </c>
      <c r="H78" s="854">
        <v>99900</v>
      </c>
      <c r="I78" s="955">
        <v>5</v>
      </c>
      <c r="J78" s="955" t="s">
        <v>288</v>
      </c>
      <c r="K78" s="955">
        <v>12</v>
      </c>
      <c r="L78" s="970">
        <v>2199</v>
      </c>
      <c r="M78" s="971">
        <f t="shared" si="26"/>
        <v>131940</v>
      </c>
      <c r="N78" s="855">
        <v>0.28000000000000003</v>
      </c>
      <c r="O78" s="855"/>
      <c r="P78" s="970">
        <v>2199</v>
      </c>
      <c r="Q78" s="970">
        <f t="shared" si="27"/>
        <v>0</v>
      </c>
      <c r="R78" s="971">
        <f t="shared" si="44"/>
        <v>131940</v>
      </c>
      <c r="S78" s="856">
        <f t="shared" si="35"/>
        <v>0.26625740672687359</v>
      </c>
      <c r="T78" s="971"/>
      <c r="U78" s="971"/>
      <c r="V78" s="976">
        <v>6</v>
      </c>
      <c r="W78" s="971">
        <f t="shared" si="36"/>
        <v>6597</v>
      </c>
      <c r="X78" s="971">
        <f t="shared" si="37"/>
        <v>125343</v>
      </c>
      <c r="Y78" s="858">
        <f t="shared" si="38"/>
        <v>-5.0000000000000044E-2</v>
      </c>
      <c r="Z78" s="857">
        <f t="shared" si="39"/>
        <v>1.2546846846846846</v>
      </c>
      <c r="AA78" s="856">
        <v>0.24125740672687354</v>
      </c>
      <c r="AB78" s="856">
        <v>1.475377111677491E-3</v>
      </c>
      <c r="AC78" s="970">
        <f t="shared" si="28"/>
        <v>2199</v>
      </c>
      <c r="AD78" s="970"/>
      <c r="AE78" s="970">
        <f t="shared" si="45"/>
        <v>0</v>
      </c>
      <c r="AF78" s="971">
        <f t="shared" si="40"/>
        <v>131940</v>
      </c>
      <c r="AG78" s="857">
        <f t="shared" si="41"/>
        <v>0</v>
      </c>
      <c r="AH78" s="576">
        <v>0</v>
      </c>
      <c r="AI78" s="856">
        <f t="shared" si="43"/>
        <v>0.21625740672687352</v>
      </c>
      <c r="AJ78" s="859">
        <v>0</v>
      </c>
      <c r="AK78" s="583">
        <v>6</v>
      </c>
      <c r="AL78" s="971">
        <f t="shared" si="42"/>
        <v>6597</v>
      </c>
      <c r="AM78" s="971">
        <f t="shared" si="29"/>
        <v>125343</v>
      </c>
      <c r="AN78" s="858">
        <f t="shared" si="30"/>
        <v>-5.0000000000000044E-2</v>
      </c>
      <c r="AO78" s="857">
        <f t="shared" si="31"/>
        <v>1.2546846846846846</v>
      </c>
      <c r="AP78" s="973">
        <f t="shared" si="32"/>
        <v>0</v>
      </c>
      <c r="AQ78" s="855">
        <f t="shared" si="33"/>
        <v>0</v>
      </c>
      <c r="AR78" s="974">
        <f t="shared" si="46"/>
        <v>0.24125740672687354</v>
      </c>
      <c r="AS78" s="975"/>
      <c r="AT78" s="976"/>
      <c r="AU78" s="971"/>
      <c r="AV78" s="976"/>
      <c r="AW78" s="970"/>
      <c r="AX78" s="971"/>
      <c r="AY78" s="971"/>
      <c r="AZ78" s="977"/>
      <c r="BA78" s="972"/>
      <c r="BB78" s="971"/>
      <c r="BC78" s="973"/>
      <c r="BD78" s="973"/>
      <c r="BE78" s="855"/>
      <c r="BF78" s="975"/>
      <c r="BG78" s="975"/>
      <c r="BH78" s="971"/>
      <c r="BI78" s="970"/>
      <c r="BJ78" s="971"/>
      <c r="BK78" s="971"/>
      <c r="BL78" s="977"/>
      <c r="BM78" s="972"/>
      <c r="BN78" s="971"/>
      <c r="BO78" s="973"/>
      <c r="BP78" s="973"/>
      <c r="BQ78" s="855"/>
      <c r="BR78" s="975"/>
      <c r="BS78" s="975"/>
      <c r="BT78" s="978"/>
      <c r="BU78" s="978"/>
      <c r="BV78" s="978">
        <v>0.24125740672687357</v>
      </c>
      <c r="BW78" s="978">
        <f t="shared" si="34"/>
        <v>0.20325740672687354</v>
      </c>
    </row>
    <row r="79" spans="1:75" hidden="1">
      <c r="A79" s="969">
        <v>2606</v>
      </c>
      <c r="B79" s="968" t="s">
        <v>211</v>
      </c>
      <c r="C79" s="969" t="s">
        <v>829</v>
      </c>
      <c r="D79" s="969" t="s">
        <v>391</v>
      </c>
      <c r="E79" s="955"/>
      <c r="F79" s="955"/>
      <c r="G79" s="955" t="str">
        <f>IFERROR(VLOOKUP(D79,[3]전용!E:J,6,0),"")</f>
        <v/>
      </c>
      <c r="H79" s="854">
        <v>99900</v>
      </c>
      <c r="I79" s="955">
        <v>6</v>
      </c>
      <c r="J79" s="955" t="s">
        <v>286</v>
      </c>
      <c r="K79" s="955">
        <v>12</v>
      </c>
      <c r="L79" s="970">
        <v>2199</v>
      </c>
      <c r="M79" s="971">
        <f t="shared" si="26"/>
        <v>158328</v>
      </c>
      <c r="N79" s="855">
        <v>0.33</v>
      </c>
      <c r="O79" s="855"/>
      <c r="P79" s="970">
        <v>2199</v>
      </c>
      <c r="Q79" s="970">
        <f t="shared" si="27"/>
        <v>0</v>
      </c>
      <c r="R79" s="971">
        <f t="shared" si="44"/>
        <v>158328</v>
      </c>
      <c r="S79" s="856">
        <f t="shared" si="35"/>
        <v>0.26209074006020683</v>
      </c>
      <c r="T79" s="971"/>
      <c r="U79" s="971"/>
      <c r="V79" s="976">
        <v>6</v>
      </c>
      <c r="W79" s="971">
        <f t="shared" si="36"/>
        <v>6597</v>
      </c>
      <c r="X79" s="971">
        <f t="shared" si="37"/>
        <v>151731</v>
      </c>
      <c r="Y79" s="858">
        <f t="shared" si="38"/>
        <v>-4.166666666666663E-2</v>
      </c>
      <c r="Z79" s="857">
        <f t="shared" si="39"/>
        <v>1.5188288288288287</v>
      </c>
      <c r="AA79" s="856">
        <v>0.24125740672687354</v>
      </c>
      <c r="AB79" s="856">
        <v>1.475377111677491E-3</v>
      </c>
      <c r="AC79" s="970">
        <f t="shared" si="28"/>
        <v>2199</v>
      </c>
      <c r="AD79" s="970"/>
      <c r="AE79" s="970">
        <f t="shared" si="45"/>
        <v>0</v>
      </c>
      <c r="AF79" s="971">
        <f t="shared" si="40"/>
        <v>158328</v>
      </c>
      <c r="AG79" s="857">
        <f t="shared" si="41"/>
        <v>0</v>
      </c>
      <c r="AH79" s="576">
        <v>0</v>
      </c>
      <c r="AI79" s="856">
        <f t="shared" si="43"/>
        <v>0.22042407339354023</v>
      </c>
      <c r="AJ79" s="859">
        <v>0</v>
      </c>
      <c r="AK79" s="583">
        <v>6</v>
      </c>
      <c r="AL79" s="971">
        <f t="shared" si="42"/>
        <v>6597</v>
      </c>
      <c r="AM79" s="971">
        <f t="shared" si="29"/>
        <v>151731</v>
      </c>
      <c r="AN79" s="858">
        <f t="shared" si="30"/>
        <v>-4.166666666666663E-2</v>
      </c>
      <c r="AO79" s="857">
        <f t="shared" si="31"/>
        <v>1.5188288288288287</v>
      </c>
      <c r="AP79" s="973">
        <f t="shared" si="32"/>
        <v>0</v>
      </c>
      <c r="AQ79" s="855">
        <f t="shared" si="33"/>
        <v>0</v>
      </c>
      <c r="AR79" s="974">
        <f t="shared" si="46"/>
        <v>0.24125740672687354</v>
      </c>
      <c r="AS79" s="975"/>
      <c r="AT79" s="976"/>
      <c r="AU79" s="971"/>
      <c r="AV79" s="976"/>
      <c r="AW79" s="970"/>
      <c r="AX79" s="971"/>
      <c r="AY79" s="971"/>
      <c r="AZ79" s="977"/>
      <c r="BA79" s="972"/>
      <c r="BB79" s="971"/>
      <c r="BC79" s="973"/>
      <c r="BD79" s="973"/>
      <c r="BE79" s="855"/>
      <c r="BF79" s="975"/>
      <c r="BG79" s="975"/>
      <c r="BH79" s="971"/>
      <c r="BI79" s="970"/>
      <c r="BJ79" s="971"/>
      <c r="BK79" s="971"/>
      <c r="BL79" s="977"/>
      <c r="BM79" s="972"/>
      <c r="BN79" s="971"/>
      <c r="BO79" s="973"/>
      <c r="BP79" s="973"/>
      <c r="BQ79" s="855"/>
      <c r="BR79" s="975"/>
      <c r="BS79" s="975"/>
      <c r="BT79" s="978"/>
      <c r="BU79" s="978"/>
      <c r="BV79" s="978">
        <v>0.24125740672687357</v>
      </c>
      <c r="BW79" s="978">
        <f t="shared" si="34"/>
        <v>0.20325740672687354</v>
      </c>
    </row>
    <row r="80" spans="1:75" hidden="1">
      <c r="A80" s="980">
        <v>2606</v>
      </c>
      <c r="B80" s="979" t="s">
        <v>211</v>
      </c>
      <c r="C80" s="980" t="s">
        <v>829</v>
      </c>
      <c r="D80" s="980" t="s">
        <v>391</v>
      </c>
      <c r="E80" s="955"/>
      <c r="F80" s="955"/>
      <c r="G80" s="955" t="str">
        <f>IFERROR(VLOOKUP(D80,[3]전용!E:J,6,0),"")</f>
        <v/>
      </c>
      <c r="H80" s="854">
        <v>99900</v>
      </c>
      <c r="I80" s="955">
        <v>6</v>
      </c>
      <c r="J80" s="955" t="s">
        <v>288</v>
      </c>
      <c r="K80" s="955">
        <v>12</v>
      </c>
      <c r="L80" s="970">
        <v>1999</v>
      </c>
      <c r="M80" s="971">
        <f t="shared" si="26"/>
        <v>143928</v>
      </c>
      <c r="N80" s="855">
        <v>0.33</v>
      </c>
      <c r="O80" s="855"/>
      <c r="P80" s="970">
        <v>1999</v>
      </c>
      <c r="Q80" s="970">
        <f t="shared" si="27"/>
        <v>0</v>
      </c>
      <c r="R80" s="971">
        <f t="shared" si="44"/>
        <v>143928</v>
      </c>
      <c r="S80" s="856">
        <f t="shared" si="35"/>
        <v>0.26209074006020683</v>
      </c>
      <c r="T80" s="971"/>
      <c r="U80" s="971"/>
      <c r="V80" s="976">
        <v>6</v>
      </c>
      <c r="W80" s="971">
        <f t="shared" si="36"/>
        <v>5997</v>
      </c>
      <c r="X80" s="971">
        <f t="shared" si="37"/>
        <v>137931</v>
      </c>
      <c r="Y80" s="858">
        <f t="shared" si="38"/>
        <v>-4.166666666666663E-2</v>
      </c>
      <c r="Z80" s="857">
        <f t="shared" si="39"/>
        <v>1.3806906906906906</v>
      </c>
      <c r="AA80" s="856">
        <v>0.24125740672687354</v>
      </c>
      <c r="AB80" s="856">
        <v>1.475377111677491E-3</v>
      </c>
      <c r="AC80" s="970">
        <f t="shared" si="28"/>
        <v>1999</v>
      </c>
      <c r="AD80" s="970"/>
      <c r="AE80" s="970">
        <f t="shared" si="45"/>
        <v>0</v>
      </c>
      <c r="AF80" s="971">
        <f t="shared" si="40"/>
        <v>143928</v>
      </c>
      <c r="AG80" s="857">
        <f t="shared" si="41"/>
        <v>0</v>
      </c>
      <c r="AH80" s="576">
        <v>0</v>
      </c>
      <c r="AI80" s="856">
        <f t="shared" si="43"/>
        <v>0.22042407339354023</v>
      </c>
      <c r="AJ80" s="859">
        <v>0</v>
      </c>
      <c r="AK80" s="583">
        <v>6</v>
      </c>
      <c r="AL80" s="971">
        <f t="shared" si="42"/>
        <v>5997</v>
      </c>
      <c r="AM80" s="971">
        <f t="shared" si="29"/>
        <v>137931</v>
      </c>
      <c r="AN80" s="858">
        <f t="shared" si="30"/>
        <v>-4.166666666666663E-2</v>
      </c>
      <c r="AO80" s="857">
        <f t="shared" si="31"/>
        <v>1.3806906906906906</v>
      </c>
      <c r="AP80" s="973">
        <f t="shared" si="32"/>
        <v>0</v>
      </c>
      <c r="AQ80" s="855">
        <f t="shared" si="33"/>
        <v>0</v>
      </c>
      <c r="AR80" s="974">
        <f t="shared" si="46"/>
        <v>0.24125740672687354</v>
      </c>
      <c r="AS80" s="975"/>
      <c r="AT80" s="976"/>
      <c r="AU80" s="971"/>
      <c r="AV80" s="976"/>
      <c r="AW80" s="970"/>
      <c r="AX80" s="971"/>
      <c r="AY80" s="971"/>
      <c r="AZ80" s="977"/>
      <c r="BA80" s="972"/>
      <c r="BB80" s="971"/>
      <c r="BC80" s="973"/>
      <c r="BD80" s="973"/>
      <c r="BE80" s="855"/>
      <c r="BF80" s="975"/>
      <c r="BG80" s="975"/>
      <c r="BH80" s="971"/>
      <c r="BI80" s="970"/>
      <c r="BJ80" s="971"/>
      <c r="BK80" s="971"/>
      <c r="BL80" s="977"/>
      <c r="BM80" s="972"/>
      <c r="BN80" s="971"/>
      <c r="BO80" s="973"/>
      <c r="BP80" s="973"/>
      <c r="BQ80" s="855"/>
      <c r="BR80" s="975"/>
      <c r="BS80" s="975"/>
      <c r="BT80" s="978"/>
      <c r="BU80" s="978"/>
      <c r="BV80" s="978">
        <v>0.24125740672687357</v>
      </c>
      <c r="BW80" s="978">
        <f t="shared" si="34"/>
        <v>0.20325740672687354</v>
      </c>
    </row>
    <row r="81" spans="1:75" hidden="1">
      <c r="A81" s="969">
        <v>2606</v>
      </c>
      <c r="B81" s="968" t="s">
        <v>211</v>
      </c>
      <c r="C81" s="969" t="s">
        <v>829</v>
      </c>
      <c r="D81" s="969" t="s">
        <v>35</v>
      </c>
      <c r="E81" s="955" t="s">
        <v>389</v>
      </c>
      <c r="F81" s="955"/>
      <c r="G81" s="955" t="str">
        <f>IFERROR(VLOOKUP(D81,[3]전용!E:J,6,0),"")</f>
        <v/>
      </c>
      <c r="H81" s="854">
        <v>84900</v>
      </c>
      <c r="I81" s="955">
        <v>5</v>
      </c>
      <c r="J81" s="955" t="s">
        <v>288</v>
      </c>
      <c r="K81" s="955">
        <v>12</v>
      </c>
      <c r="L81" s="970">
        <v>1899</v>
      </c>
      <c r="M81" s="971">
        <f t="shared" si="26"/>
        <v>113940</v>
      </c>
      <c r="N81" s="855">
        <v>0.29641649849511204</v>
      </c>
      <c r="O81" s="855"/>
      <c r="P81" s="970">
        <v>1899</v>
      </c>
      <c r="Q81" s="970">
        <f t="shared" si="27"/>
        <v>0</v>
      </c>
      <c r="R81" s="971">
        <f t="shared" si="44"/>
        <v>113940</v>
      </c>
      <c r="S81" s="856">
        <f t="shared" si="35"/>
        <v>0.16629924576127694</v>
      </c>
      <c r="T81" s="971"/>
      <c r="U81" s="971"/>
      <c r="V81" s="972">
        <v>6</v>
      </c>
      <c r="W81" s="971">
        <f t="shared" si="36"/>
        <v>5697</v>
      </c>
      <c r="X81" s="971">
        <f t="shared" si="37"/>
        <v>108243</v>
      </c>
      <c r="Y81" s="858">
        <f t="shared" si="38"/>
        <v>-5.0000000000000044E-2</v>
      </c>
      <c r="Z81" s="857">
        <f t="shared" si="39"/>
        <v>1.2749469964664311</v>
      </c>
      <c r="AA81" s="856">
        <v>0.14129924576127692</v>
      </c>
      <c r="AB81" s="856">
        <v>8.1716207545803485E-2</v>
      </c>
      <c r="AC81" s="970">
        <f t="shared" si="28"/>
        <v>1899</v>
      </c>
      <c r="AD81" s="970"/>
      <c r="AE81" s="970">
        <f t="shared" si="45"/>
        <v>0</v>
      </c>
      <c r="AF81" s="971">
        <f t="shared" si="40"/>
        <v>113940</v>
      </c>
      <c r="AG81" s="857">
        <f t="shared" si="41"/>
        <v>0</v>
      </c>
      <c r="AH81" s="576">
        <v>0</v>
      </c>
      <c r="AI81" s="856">
        <f t="shared" si="43"/>
        <v>0.1162992457612769</v>
      </c>
      <c r="AJ81" s="859">
        <v>0</v>
      </c>
      <c r="AK81" s="583">
        <v>6</v>
      </c>
      <c r="AL81" s="971">
        <f t="shared" si="42"/>
        <v>5697</v>
      </c>
      <c r="AM81" s="971">
        <f t="shared" si="29"/>
        <v>108243</v>
      </c>
      <c r="AN81" s="858">
        <f t="shared" si="30"/>
        <v>-5.0000000000000044E-2</v>
      </c>
      <c r="AO81" s="857">
        <f t="shared" si="31"/>
        <v>1.2749469964664311</v>
      </c>
      <c r="AP81" s="973">
        <f t="shared" si="32"/>
        <v>0</v>
      </c>
      <c r="AQ81" s="855">
        <f t="shared" si="33"/>
        <v>0</v>
      </c>
      <c r="AR81" s="974">
        <f t="shared" si="46"/>
        <v>0.14129924576127692</v>
      </c>
      <c r="AS81" s="975"/>
      <c r="AT81" s="976"/>
      <c r="AU81" s="971"/>
      <c r="AV81" s="976"/>
      <c r="AW81" s="970"/>
      <c r="AX81" s="971"/>
      <c r="AY81" s="971"/>
      <c r="AZ81" s="977"/>
      <c r="BA81" s="972"/>
      <c r="BB81" s="971"/>
      <c r="BC81" s="973"/>
      <c r="BD81" s="973"/>
      <c r="BE81" s="855"/>
      <c r="BF81" s="975"/>
      <c r="BG81" s="975"/>
      <c r="BH81" s="971"/>
      <c r="BI81" s="970"/>
      <c r="BJ81" s="971"/>
      <c r="BK81" s="971"/>
      <c r="BL81" s="977"/>
      <c r="BM81" s="972"/>
      <c r="BN81" s="971"/>
      <c r="BO81" s="973"/>
      <c r="BP81" s="973"/>
      <c r="BQ81" s="855"/>
      <c r="BR81" s="975"/>
      <c r="BS81" s="975"/>
      <c r="BT81" s="978"/>
      <c r="BU81" s="978"/>
      <c r="BV81" s="978">
        <v>0.14112090079969131</v>
      </c>
      <c r="BW81" s="978">
        <f t="shared" si="34"/>
        <v>0.14129924576127692</v>
      </c>
    </row>
    <row r="82" spans="1:75" hidden="1">
      <c r="A82" s="969">
        <v>2606</v>
      </c>
      <c r="B82" s="968" t="s">
        <v>211</v>
      </c>
      <c r="C82" s="969" t="s">
        <v>829</v>
      </c>
      <c r="D82" s="969" t="s">
        <v>35</v>
      </c>
      <c r="E82" s="955" t="s">
        <v>389</v>
      </c>
      <c r="F82" s="955"/>
      <c r="G82" s="955" t="str">
        <f>IFERROR(VLOOKUP(D82,[3]전용!E:J,6,0),"")</f>
        <v/>
      </c>
      <c r="H82" s="854">
        <v>84900</v>
      </c>
      <c r="I82" s="955">
        <v>5</v>
      </c>
      <c r="J82" s="955" t="s">
        <v>286</v>
      </c>
      <c r="K82" s="955">
        <v>12</v>
      </c>
      <c r="L82" s="970">
        <v>1749</v>
      </c>
      <c r="M82" s="971">
        <f t="shared" si="26"/>
        <v>104940</v>
      </c>
      <c r="N82" s="855">
        <v>0.29734494783272075</v>
      </c>
      <c r="O82" s="855"/>
      <c r="P82" s="970">
        <v>1749</v>
      </c>
      <c r="Q82" s="970">
        <f t="shared" si="27"/>
        <v>0</v>
      </c>
      <c r="R82" s="971">
        <f t="shared" si="44"/>
        <v>104940</v>
      </c>
      <c r="S82" s="856">
        <f t="shared" si="35"/>
        <v>0.16629924576127694</v>
      </c>
      <c r="T82" s="971"/>
      <c r="U82" s="971"/>
      <c r="V82" s="972">
        <v>6</v>
      </c>
      <c r="W82" s="971">
        <f t="shared" si="36"/>
        <v>5247</v>
      </c>
      <c r="X82" s="971">
        <f t="shared" si="37"/>
        <v>99693</v>
      </c>
      <c r="Y82" s="858">
        <f t="shared" si="38"/>
        <v>-5.0000000000000044E-2</v>
      </c>
      <c r="Z82" s="857">
        <f t="shared" si="39"/>
        <v>1.1742402826855123</v>
      </c>
      <c r="AA82" s="856">
        <v>0.14129924576127692</v>
      </c>
      <c r="AB82" s="856">
        <v>8.1716207545803485E-2</v>
      </c>
      <c r="AC82" s="970">
        <f t="shared" si="28"/>
        <v>1749</v>
      </c>
      <c r="AD82" s="970"/>
      <c r="AE82" s="970">
        <f t="shared" si="45"/>
        <v>0</v>
      </c>
      <c r="AF82" s="971">
        <f t="shared" si="40"/>
        <v>104940</v>
      </c>
      <c r="AG82" s="857">
        <f t="shared" si="41"/>
        <v>0</v>
      </c>
      <c r="AH82" s="576">
        <v>0</v>
      </c>
      <c r="AI82" s="856">
        <f t="shared" si="43"/>
        <v>0.1162992457612769</v>
      </c>
      <c r="AJ82" s="859">
        <v>0</v>
      </c>
      <c r="AK82" s="583">
        <v>6</v>
      </c>
      <c r="AL82" s="971">
        <f t="shared" si="42"/>
        <v>5247</v>
      </c>
      <c r="AM82" s="971">
        <f t="shared" si="29"/>
        <v>99693</v>
      </c>
      <c r="AN82" s="858">
        <f t="shared" si="30"/>
        <v>-5.0000000000000044E-2</v>
      </c>
      <c r="AO82" s="857">
        <f t="shared" si="31"/>
        <v>1.1742402826855123</v>
      </c>
      <c r="AP82" s="973">
        <f t="shared" si="32"/>
        <v>0</v>
      </c>
      <c r="AQ82" s="855">
        <f t="shared" si="33"/>
        <v>0</v>
      </c>
      <c r="AR82" s="974">
        <f t="shared" si="46"/>
        <v>0.14129924576127692</v>
      </c>
      <c r="AS82" s="975"/>
      <c r="AT82" s="976"/>
      <c r="AU82" s="971"/>
      <c r="AV82" s="976"/>
      <c r="AW82" s="970"/>
      <c r="AX82" s="971"/>
      <c r="AY82" s="971"/>
      <c r="AZ82" s="977"/>
      <c r="BA82" s="972"/>
      <c r="BB82" s="971"/>
      <c r="BC82" s="973"/>
      <c r="BD82" s="973"/>
      <c r="BE82" s="855"/>
      <c r="BF82" s="975"/>
      <c r="BG82" s="975"/>
      <c r="BH82" s="971"/>
      <c r="BI82" s="970"/>
      <c r="BJ82" s="971"/>
      <c r="BK82" s="971"/>
      <c r="BL82" s="977"/>
      <c r="BM82" s="972"/>
      <c r="BN82" s="971"/>
      <c r="BO82" s="973"/>
      <c r="BP82" s="973"/>
      <c r="BQ82" s="855"/>
      <c r="BR82" s="975"/>
      <c r="BS82" s="975"/>
      <c r="BT82" s="978"/>
      <c r="BU82" s="978"/>
      <c r="BV82" s="978">
        <v>0.14112090079969131</v>
      </c>
      <c r="BW82" s="978">
        <f t="shared" si="34"/>
        <v>0.14129924576127692</v>
      </c>
    </row>
    <row r="83" spans="1:75" hidden="1">
      <c r="A83" s="969">
        <v>2606</v>
      </c>
      <c r="B83" s="968" t="s">
        <v>211</v>
      </c>
      <c r="C83" s="969" t="s">
        <v>829</v>
      </c>
      <c r="D83" s="969" t="s">
        <v>35</v>
      </c>
      <c r="E83" s="955" t="s">
        <v>389</v>
      </c>
      <c r="F83" s="955"/>
      <c r="G83" s="955" t="str">
        <f>IFERROR(VLOOKUP(D83,[3]전용!E:J,6,0),"")</f>
        <v/>
      </c>
      <c r="H83" s="854">
        <v>84900</v>
      </c>
      <c r="I83" s="955">
        <v>6</v>
      </c>
      <c r="J83" s="955" t="s">
        <v>288</v>
      </c>
      <c r="K83" s="955">
        <v>12</v>
      </c>
      <c r="L83" s="970">
        <v>1899</v>
      </c>
      <c r="M83" s="971">
        <f t="shared" si="26"/>
        <v>136728</v>
      </c>
      <c r="N83" s="855">
        <v>0.29641649849511204</v>
      </c>
      <c r="O83" s="855"/>
      <c r="P83" s="970">
        <v>1899</v>
      </c>
      <c r="Q83" s="970">
        <f t="shared" si="27"/>
        <v>0</v>
      </c>
      <c r="R83" s="971">
        <f t="shared" si="44"/>
        <v>136728</v>
      </c>
      <c r="S83" s="856">
        <f t="shared" si="35"/>
        <v>0.16213257909461024</v>
      </c>
      <c r="T83" s="971"/>
      <c r="U83" s="971"/>
      <c r="V83" s="972">
        <v>6</v>
      </c>
      <c r="W83" s="971">
        <f t="shared" si="36"/>
        <v>5697</v>
      </c>
      <c r="X83" s="971">
        <f t="shared" si="37"/>
        <v>131031</v>
      </c>
      <c r="Y83" s="858">
        <f t="shared" si="38"/>
        <v>-4.166666666666663E-2</v>
      </c>
      <c r="Z83" s="857">
        <f t="shared" si="39"/>
        <v>1.543356890459364</v>
      </c>
      <c r="AA83" s="856">
        <v>0.14129924576127692</v>
      </c>
      <c r="AB83" s="856">
        <v>8.1716207545803485E-2</v>
      </c>
      <c r="AC83" s="970">
        <f t="shared" si="28"/>
        <v>1899</v>
      </c>
      <c r="AD83" s="970"/>
      <c r="AE83" s="970">
        <f t="shared" si="45"/>
        <v>0</v>
      </c>
      <c r="AF83" s="971">
        <f t="shared" si="40"/>
        <v>136728</v>
      </c>
      <c r="AG83" s="857">
        <f t="shared" si="41"/>
        <v>0</v>
      </c>
      <c r="AH83" s="576">
        <v>0</v>
      </c>
      <c r="AI83" s="856">
        <f t="shared" si="43"/>
        <v>0.12046591242794361</v>
      </c>
      <c r="AJ83" s="859">
        <v>0</v>
      </c>
      <c r="AK83" s="583">
        <v>6</v>
      </c>
      <c r="AL83" s="971">
        <f t="shared" si="42"/>
        <v>5697</v>
      </c>
      <c r="AM83" s="971">
        <f t="shared" si="29"/>
        <v>131031</v>
      </c>
      <c r="AN83" s="858">
        <f t="shared" si="30"/>
        <v>-4.166666666666663E-2</v>
      </c>
      <c r="AO83" s="857">
        <f t="shared" si="31"/>
        <v>1.543356890459364</v>
      </c>
      <c r="AP83" s="973">
        <f t="shared" si="32"/>
        <v>0</v>
      </c>
      <c r="AQ83" s="855">
        <f t="shared" si="33"/>
        <v>0</v>
      </c>
      <c r="AR83" s="974">
        <f t="shared" si="46"/>
        <v>0.14129924576127692</v>
      </c>
      <c r="AS83" s="975"/>
      <c r="AT83" s="976"/>
      <c r="AU83" s="971"/>
      <c r="AV83" s="976"/>
      <c r="AW83" s="970"/>
      <c r="AX83" s="971"/>
      <c r="AY83" s="971"/>
      <c r="AZ83" s="977"/>
      <c r="BA83" s="972"/>
      <c r="BB83" s="971"/>
      <c r="BC83" s="973"/>
      <c r="BD83" s="973"/>
      <c r="BE83" s="855"/>
      <c r="BF83" s="975"/>
      <c r="BG83" s="975"/>
      <c r="BH83" s="971"/>
      <c r="BI83" s="970"/>
      <c r="BJ83" s="971"/>
      <c r="BK83" s="971"/>
      <c r="BL83" s="977"/>
      <c r="BM83" s="972"/>
      <c r="BN83" s="971"/>
      <c r="BO83" s="973"/>
      <c r="BP83" s="973"/>
      <c r="BQ83" s="855"/>
      <c r="BR83" s="975"/>
      <c r="BS83" s="975"/>
      <c r="BT83" s="978"/>
      <c r="BU83" s="978"/>
      <c r="BV83" s="978">
        <v>0.14112090079969131</v>
      </c>
      <c r="BW83" s="978">
        <f t="shared" si="34"/>
        <v>0.14129924576127692</v>
      </c>
    </row>
    <row r="84" spans="1:75" hidden="1">
      <c r="A84" s="980">
        <v>2606</v>
      </c>
      <c r="B84" s="979" t="s">
        <v>211</v>
      </c>
      <c r="C84" s="980" t="s">
        <v>829</v>
      </c>
      <c r="D84" s="980" t="s">
        <v>35</v>
      </c>
      <c r="E84" s="955" t="s">
        <v>389</v>
      </c>
      <c r="F84" s="955"/>
      <c r="G84" s="955" t="str">
        <f>IFERROR(VLOOKUP(D84,[3]전용!E:J,6,0),"")</f>
        <v/>
      </c>
      <c r="H84" s="854">
        <v>84900</v>
      </c>
      <c r="I84" s="955">
        <v>6</v>
      </c>
      <c r="J84" s="955" t="s">
        <v>288</v>
      </c>
      <c r="K84" s="955">
        <v>12</v>
      </c>
      <c r="L84" s="970">
        <v>1649</v>
      </c>
      <c r="M84" s="971">
        <f t="shared" si="26"/>
        <v>118728</v>
      </c>
      <c r="N84" s="855">
        <v>0.30056338935962817</v>
      </c>
      <c r="O84" s="855"/>
      <c r="P84" s="970">
        <v>1649</v>
      </c>
      <c r="Q84" s="970">
        <f t="shared" si="27"/>
        <v>0</v>
      </c>
      <c r="R84" s="971">
        <f t="shared" si="44"/>
        <v>118728</v>
      </c>
      <c r="S84" s="856">
        <f t="shared" si="35"/>
        <v>0.16213257909461024</v>
      </c>
      <c r="T84" s="971"/>
      <c r="U84" s="971"/>
      <c r="V84" s="972">
        <v>6</v>
      </c>
      <c r="W84" s="971">
        <f t="shared" si="36"/>
        <v>4947</v>
      </c>
      <c r="X84" s="971">
        <f t="shared" si="37"/>
        <v>113781</v>
      </c>
      <c r="Y84" s="858">
        <f t="shared" si="38"/>
        <v>-4.166666666666663E-2</v>
      </c>
      <c r="Z84" s="857">
        <f t="shared" si="39"/>
        <v>1.3401766784452296</v>
      </c>
      <c r="AA84" s="856">
        <v>0.14129924576127692</v>
      </c>
      <c r="AB84" s="856">
        <v>8.1716207545803485E-2</v>
      </c>
      <c r="AC84" s="970">
        <f t="shared" si="28"/>
        <v>1649</v>
      </c>
      <c r="AD84" s="970"/>
      <c r="AE84" s="970">
        <f t="shared" si="45"/>
        <v>0</v>
      </c>
      <c r="AF84" s="971">
        <f t="shared" si="40"/>
        <v>118728</v>
      </c>
      <c r="AG84" s="857">
        <f t="shared" si="41"/>
        <v>0</v>
      </c>
      <c r="AH84" s="576">
        <v>0</v>
      </c>
      <c r="AI84" s="856">
        <f t="shared" si="43"/>
        <v>0.12046591242794361</v>
      </c>
      <c r="AJ84" s="859">
        <v>0</v>
      </c>
      <c r="AK84" s="583">
        <v>6</v>
      </c>
      <c r="AL84" s="971">
        <f t="shared" si="42"/>
        <v>4947</v>
      </c>
      <c r="AM84" s="971">
        <f t="shared" si="29"/>
        <v>113781</v>
      </c>
      <c r="AN84" s="858">
        <f t="shared" si="30"/>
        <v>-4.166666666666663E-2</v>
      </c>
      <c r="AO84" s="857">
        <f t="shared" si="31"/>
        <v>1.3401766784452296</v>
      </c>
      <c r="AP84" s="973">
        <f t="shared" si="32"/>
        <v>0</v>
      </c>
      <c r="AQ84" s="855">
        <f t="shared" si="33"/>
        <v>0</v>
      </c>
      <c r="AR84" s="974">
        <f t="shared" si="46"/>
        <v>0.14129924576127692</v>
      </c>
      <c r="AS84" s="975"/>
      <c r="AT84" s="976"/>
      <c r="AU84" s="971"/>
      <c r="AV84" s="976"/>
      <c r="AW84" s="970"/>
      <c r="AX84" s="971"/>
      <c r="AY84" s="971"/>
      <c r="AZ84" s="977"/>
      <c r="BA84" s="972"/>
      <c r="BB84" s="971"/>
      <c r="BC84" s="973"/>
      <c r="BD84" s="973"/>
      <c r="BE84" s="855"/>
      <c r="BF84" s="975"/>
      <c r="BG84" s="975"/>
      <c r="BH84" s="971"/>
      <c r="BI84" s="970"/>
      <c r="BJ84" s="971"/>
      <c r="BK84" s="971"/>
      <c r="BL84" s="977"/>
      <c r="BM84" s="972"/>
      <c r="BN84" s="971"/>
      <c r="BO84" s="973"/>
      <c r="BP84" s="973"/>
      <c r="BQ84" s="855"/>
      <c r="BR84" s="975"/>
      <c r="BS84" s="975"/>
      <c r="BT84" s="978"/>
      <c r="BU84" s="978"/>
      <c r="BV84" s="978">
        <v>0.14112090079969131</v>
      </c>
      <c r="BW84" s="978">
        <f t="shared" si="34"/>
        <v>0.14129924576127692</v>
      </c>
    </row>
    <row r="85" spans="1:75" hidden="1">
      <c r="A85" s="969">
        <v>2606</v>
      </c>
      <c r="B85" s="968" t="s">
        <v>211</v>
      </c>
      <c r="C85" s="969" t="s">
        <v>829</v>
      </c>
      <c r="D85" s="969" t="s">
        <v>911</v>
      </c>
      <c r="E85" s="987" t="s">
        <v>55</v>
      </c>
      <c r="F85" s="987"/>
      <c r="G85" s="955" t="str">
        <f>IFERROR(VLOOKUP(D85,[3]전용!E:J,6,0),"")</f>
        <v/>
      </c>
      <c r="H85" s="854">
        <v>82410</v>
      </c>
      <c r="I85" s="987">
        <v>5</v>
      </c>
      <c r="J85" s="987" t="s">
        <v>286</v>
      </c>
      <c r="K85" s="987">
        <v>12</v>
      </c>
      <c r="L85" s="988">
        <v>1599</v>
      </c>
      <c r="M85" s="971">
        <f t="shared" si="26"/>
        <v>95940</v>
      </c>
      <c r="N85" s="855">
        <v>0.3202733989866281</v>
      </c>
      <c r="O85" s="855"/>
      <c r="P85" s="988">
        <v>1599</v>
      </c>
      <c r="Q85" s="970">
        <f t="shared" si="27"/>
        <v>0</v>
      </c>
      <c r="R85" s="971">
        <f t="shared" si="44"/>
        <v>95940</v>
      </c>
      <c r="S85" s="856">
        <f t="shared" si="35"/>
        <v>0.27241922751633602</v>
      </c>
      <c r="T85" s="971"/>
      <c r="U85" s="971"/>
      <c r="V85" s="989">
        <v>6</v>
      </c>
      <c r="W85" s="971">
        <f t="shared" si="36"/>
        <v>4797</v>
      </c>
      <c r="X85" s="971">
        <f t="shared" si="37"/>
        <v>91143</v>
      </c>
      <c r="Y85" s="858">
        <f t="shared" si="38"/>
        <v>-5.0000000000000044E-2</v>
      </c>
      <c r="Z85" s="857">
        <f t="shared" si="39"/>
        <v>1.1059701492537313</v>
      </c>
      <c r="AA85" s="856">
        <v>0.24741922751633599</v>
      </c>
      <c r="AB85" s="856">
        <v>-1.109875291610255E-4</v>
      </c>
      <c r="AC85" s="970">
        <f t="shared" si="28"/>
        <v>1599</v>
      </c>
      <c r="AD85" s="970"/>
      <c r="AE85" s="970">
        <f t="shared" si="45"/>
        <v>0</v>
      </c>
      <c r="AF85" s="971">
        <f t="shared" si="40"/>
        <v>95940</v>
      </c>
      <c r="AG85" s="857">
        <f t="shared" si="41"/>
        <v>0</v>
      </c>
      <c r="AH85" s="576">
        <v>0</v>
      </c>
      <c r="AI85" s="856">
        <f t="shared" si="43"/>
        <v>0.22241922751633597</v>
      </c>
      <c r="AJ85" s="859">
        <v>0</v>
      </c>
      <c r="AK85" s="583">
        <v>6</v>
      </c>
      <c r="AL85" s="971">
        <f t="shared" si="42"/>
        <v>4797</v>
      </c>
      <c r="AM85" s="971">
        <f t="shared" si="29"/>
        <v>91143</v>
      </c>
      <c r="AN85" s="858">
        <f t="shared" si="30"/>
        <v>-5.0000000000000044E-2</v>
      </c>
      <c r="AO85" s="857">
        <f t="shared" si="31"/>
        <v>1.1059701492537313</v>
      </c>
      <c r="AP85" s="973">
        <f t="shared" si="32"/>
        <v>0</v>
      </c>
      <c r="AQ85" s="855">
        <f t="shared" si="33"/>
        <v>0</v>
      </c>
      <c r="AR85" s="974">
        <f t="shared" si="46"/>
        <v>0.24741922751633599</v>
      </c>
      <c r="AS85" s="975"/>
      <c r="AT85" s="976"/>
      <c r="AU85" s="971"/>
      <c r="AV85" s="976"/>
      <c r="AW85" s="970"/>
      <c r="AX85" s="971"/>
      <c r="AY85" s="971"/>
      <c r="AZ85" s="977"/>
      <c r="BA85" s="972"/>
      <c r="BB85" s="971"/>
      <c r="BC85" s="973"/>
      <c r="BD85" s="973"/>
      <c r="BE85" s="855"/>
      <c r="BF85" s="975"/>
      <c r="BG85" s="975"/>
      <c r="BH85" s="971"/>
      <c r="BI85" s="970"/>
      <c r="BJ85" s="971"/>
      <c r="BK85" s="971"/>
      <c r="BL85" s="977"/>
      <c r="BM85" s="972"/>
      <c r="BN85" s="971"/>
      <c r="BO85" s="973"/>
      <c r="BP85" s="973"/>
      <c r="BQ85" s="855"/>
      <c r="BR85" s="975"/>
      <c r="BS85" s="975"/>
      <c r="BT85" s="978"/>
      <c r="BU85" s="978"/>
      <c r="BV85" s="978">
        <v>0.24741922751633599</v>
      </c>
      <c r="BW85" s="978">
        <f t="shared" si="34"/>
        <v>0.20941922751633599</v>
      </c>
    </row>
    <row r="86" spans="1:75" hidden="1">
      <c r="A86" s="969">
        <v>2606</v>
      </c>
      <c r="B86" s="968" t="s">
        <v>211</v>
      </c>
      <c r="C86" s="969" t="s">
        <v>829</v>
      </c>
      <c r="D86" s="969" t="s">
        <v>457</v>
      </c>
      <c r="E86" s="987" t="s">
        <v>55</v>
      </c>
      <c r="F86" s="987"/>
      <c r="G86" s="955" t="str">
        <f>IFERROR(VLOOKUP(D86,[3]전용!E:J,6,0),"")</f>
        <v/>
      </c>
      <c r="H86" s="854">
        <v>82410</v>
      </c>
      <c r="I86" s="987">
        <v>5</v>
      </c>
      <c r="J86" s="987" t="s">
        <v>288</v>
      </c>
      <c r="K86" s="987">
        <v>12</v>
      </c>
      <c r="L86" s="988">
        <v>1499</v>
      </c>
      <c r="M86" s="971">
        <f t="shared" si="26"/>
        <v>89940</v>
      </c>
      <c r="N86" s="855">
        <v>0.32424260997575394</v>
      </c>
      <c r="O86" s="855"/>
      <c r="P86" s="988">
        <v>1499</v>
      </c>
      <c r="Q86" s="970">
        <f t="shared" si="27"/>
        <v>0</v>
      </c>
      <c r="R86" s="971">
        <f t="shared" si="44"/>
        <v>89940</v>
      </c>
      <c r="S86" s="856">
        <f t="shared" si="35"/>
        <v>0.27241922751633602</v>
      </c>
      <c r="T86" s="971"/>
      <c r="U86" s="971"/>
      <c r="V86" s="989">
        <v>6</v>
      </c>
      <c r="W86" s="971">
        <f t="shared" si="36"/>
        <v>4497</v>
      </c>
      <c r="X86" s="971">
        <f t="shared" si="37"/>
        <v>85443</v>
      </c>
      <c r="Y86" s="858">
        <f t="shared" si="38"/>
        <v>-5.0000000000000044E-2</v>
      </c>
      <c r="Z86" s="857">
        <f t="shared" si="39"/>
        <v>1.0368037859483072</v>
      </c>
      <c r="AA86" s="856">
        <v>0.24741922751633599</v>
      </c>
      <c r="AB86" s="856">
        <v>-1.109875291610255E-4</v>
      </c>
      <c r="AC86" s="970">
        <f t="shared" si="28"/>
        <v>1499</v>
      </c>
      <c r="AD86" s="970"/>
      <c r="AE86" s="970">
        <f t="shared" si="45"/>
        <v>0</v>
      </c>
      <c r="AF86" s="971">
        <f t="shared" si="40"/>
        <v>89940</v>
      </c>
      <c r="AG86" s="857">
        <f t="shared" si="41"/>
        <v>0</v>
      </c>
      <c r="AH86" s="576">
        <v>0</v>
      </c>
      <c r="AI86" s="856">
        <f t="shared" si="43"/>
        <v>0.22241922751633597</v>
      </c>
      <c r="AJ86" s="859">
        <v>0</v>
      </c>
      <c r="AK86" s="583">
        <v>6</v>
      </c>
      <c r="AL86" s="971">
        <f t="shared" si="42"/>
        <v>4497</v>
      </c>
      <c r="AM86" s="971">
        <f t="shared" si="29"/>
        <v>85443</v>
      </c>
      <c r="AN86" s="858">
        <f t="shared" si="30"/>
        <v>-5.0000000000000044E-2</v>
      </c>
      <c r="AO86" s="857">
        <f t="shared" si="31"/>
        <v>1.0368037859483072</v>
      </c>
      <c r="AP86" s="973">
        <f t="shared" si="32"/>
        <v>0</v>
      </c>
      <c r="AQ86" s="855">
        <f t="shared" si="33"/>
        <v>0</v>
      </c>
      <c r="AR86" s="974">
        <f t="shared" si="46"/>
        <v>0.24741922751633599</v>
      </c>
      <c r="AS86" s="975"/>
      <c r="AT86" s="976"/>
      <c r="AU86" s="971"/>
      <c r="AV86" s="976"/>
      <c r="AW86" s="970"/>
      <c r="AX86" s="971"/>
      <c r="AY86" s="971"/>
      <c r="AZ86" s="977"/>
      <c r="BA86" s="972"/>
      <c r="BB86" s="971"/>
      <c r="BC86" s="973"/>
      <c r="BD86" s="973"/>
      <c r="BE86" s="855"/>
      <c r="BF86" s="975"/>
      <c r="BG86" s="975"/>
      <c r="BH86" s="971"/>
      <c r="BI86" s="970"/>
      <c r="BJ86" s="971"/>
      <c r="BK86" s="971"/>
      <c r="BL86" s="977"/>
      <c r="BM86" s="972"/>
      <c r="BN86" s="971"/>
      <c r="BO86" s="973"/>
      <c r="BP86" s="973"/>
      <c r="BQ86" s="855"/>
      <c r="BR86" s="975"/>
      <c r="BS86" s="975"/>
      <c r="BT86" s="978"/>
      <c r="BU86" s="978"/>
      <c r="BV86" s="978">
        <v>0.24741922751633599</v>
      </c>
      <c r="BW86" s="978">
        <f t="shared" si="34"/>
        <v>0.20941922751633599</v>
      </c>
    </row>
    <row r="87" spans="1:75" hidden="1">
      <c r="A87" s="969">
        <v>2606</v>
      </c>
      <c r="B87" s="968" t="s">
        <v>211</v>
      </c>
      <c r="C87" s="969" t="s">
        <v>829</v>
      </c>
      <c r="D87" s="969" t="s">
        <v>457</v>
      </c>
      <c r="E87" s="987" t="s">
        <v>55</v>
      </c>
      <c r="F87" s="987"/>
      <c r="G87" s="955" t="str">
        <f>IFERROR(VLOOKUP(D87,[3]전용!E:J,6,0),"")</f>
        <v/>
      </c>
      <c r="H87" s="854">
        <v>82410</v>
      </c>
      <c r="I87" s="987">
        <v>6</v>
      </c>
      <c r="J87" s="987" t="s">
        <v>286</v>
      </c>
      <c r="K87" s="987">
        <v>12</v>
      </c>
      <c r="L87" s="988">
        <v>1399</v>
      </c>
      <c r="M87" s="971">
        <f t="shared" si="26"/>
        <v>100728</v>
      </c>
      <c r="N87" s="855">
        <v>0.3255367743903137</v>
      </c>
      <c r="O87" s="855"/>
      <c r="P87" s="988">
        <v>1399</v>
      </c>
      <c r="Q87" s="970">
        <f t="shared" si="27"/>
        <v>0</v>
      </c>
      <c r="R87" s="971">
        <f t="shared" si="44"/>
        <v>100728</v>
      </c>
      <c r="S87" s="856">
        <f t="shared" si="35"/>
        <v>0.26825256084966931</v>
      </c>
      <c r="T87" s="971"/>
      <c r="U87" s="971"/>
      <c r="V87" s="989">
        <v>6</v>
      </c>
      <c r="W87" s="971">
        <f t="shared" si="36"/>
        <v>4197</v>
      </c>
      <c r="X87" s="971">
        <f t="shared" si="37"/>
        <v>96531</v>
      </c>
      <c r="Y87" s="858">
        <f t="shared" si="38"/>
        <v>-4.166666666666663E-2</v>
      </c>
      <c r="Z87" s="857">
        <f t="shared" si="39"/>
        <v>1.1713505642519111</v>
      </c>
      <c r="AA87" s="856">
        <v>0.24741922751633599</v>
      </c>
      <c r="AB87" s="856">
        <v>-1.109875291610255E-4</v>
      </c>
      <c r="AC87" s="970">
        <f t="shared" si="28"/>
        <v>1399</v>
      </c>
      <c r="AD87" s="970"/>
      <c r="AE87" s="970">
        <f t="shared" si="45"/>
        <v>0</v>
      </c>
      <c r="AF87" s="971">
        <f t="shared" si="40"/>
        <v>100728</v>
      </c>
      <c r="AG87" s="857">
        <f t="shared" si="41"/>
        <v>0</v>
      </c>
      <c r="AH87" s="576">
        <v>0</v>
      </c>
      <c r="AI87" s="856">
        <f t="shared" si="43"/>
        <v>0.22658589418300268</v>
      </c>
      <c r="AJ87" s="859">
        <v>0</v>
      </c>
      <c r="AK87" s="583">
        <v>6</v>
      </c>
      <c r="AL87" s="971">
        <f t="shared" si="42"/>
        <v>4197</v>
      </c>
      <c r="AM87" s="971">
        <f t="shared" si="29"/>
        <v>96531</v>
      </c>
      <c r="AN87" s="858">
        <f t="shared" si="30"/>
        <v>-4.166666666666663E-2</v>
      </c>
      <c r="AO87" s="857">
        <f t="shared" si="31"/>
        <v>1.1713505642519111</v>
      </c>
      <c r="AP87" s="973">
        <f t="shared" si="32"/>
        <v>0</v>
      </c>
      <c r="AQ87" s="855">
        <f t="shared" si="33"/>
        <v>0</v>
      </c>
      <c r="AR87" s="974">
        <f t="shared" si="46"/>
        <v>0.24741922751633599</v>
      </c>
      <c r="AS87" s="975"/>
      <c r="AT87" s="976"/>
      <c r="AU87" s="971"/>
      <c r="AV87" s="976"/>
      <c r="AW87" s="970"/>
      <c r="AX87" s="971"/>
      <c r="AY87" s="971"/>
      <c r="AZ87" s="977"/>
      <c r="BA87" s="972"/>
      <c r="BB87" s="971"/>
      <c r="BC87" s="973"/>
      <c r="BD87" s="973"/>
      <c r="BE87" s="855"/>
      <c r="BF87" s="975"/>
      <c r="BG87" s="975"/>
      <c r="BH87" s="971"/>
      <c r="BI87" s="970"/>
      <c r="BJ87" s="971"/>
      <c r="BK87" s="971"/>
      <c r="BL87" s="977"/>
      <c r="BM87" s="972"/>
      <c r="BN87" s="971"/>
      <c r="BO87" s="973"/>
      <c r="BP87" s="973"/>
      <c r="BQ87" s="855"/>
      <c r="BR87" s="975"/>
      <c r="BS87" s="975"/>
      <c r="BT87" s="978"/>
      <c r="BU87" s="978"/>
      <c r="BV87" s="978">
        <v>0.24741922751633599</v>
      </c>
      <c r="BW87" s="978">
        <f t="shared" si="34"/>
        <v>0.20941922751633599</v>
      </c>
    </row>
    <row r="88" spans="1:75" hidden="1">
      <c r="A88" s="980">
        <v>2606</v>
      </c>
      <c r="B88" s="979" t="s">
        <v>211</v>
      </c>
      <c r="C88" s="980" t="s">
        <v>829</v>
      </c>
      <c r="D88" s="980" t="s">
        <v>457</v>
      </c>
      <c r="E88" s="987" t="s">
        <v>55</v>
      </c>
      <c r="F88" s="987"/>
      <c r="G88" s="955" t="str">
        <f>IFERROR(VLOOKUP(D88,[3]전용!E:J,6,0),"")</f>
        <v/>
      </c>
      <c r="H88" s="854">
        <v>82410</v>
      </c>
      <c r="I88" s="987">
        <v>6</v>
      </c>
      <c r="J88" s="987" t="s">
        <v>288</v>
      </c>
      <c r="K88" s="987">
        <v>12</v>
      </c>
      <c r="L88" s="988">
        <v>1299</v>
      </c>
      <c r="M88" s="971">
        <f t="shared" si="26"/>
        <v>93528</v>
      </c>
      <c r="N88" s="855">
        <v>0.33091220491003714</v>
      </c>
      <c r="O88" s="855"/>
      <c r="P88" s="988">
        <v>1299</v>
      </c>
      <c r="Q88" s="970">
        <f t="shared" si="27"/>
        <v>0</v>
      </c>
      <c r="R88" s="971">
        <f t="shared" si="44"/>
        <v>93528</v>
      </c>
      <c r="S88" s="856">
        <f t="shared" si="35"/>
        <v>0.26825256084966931</v>
      </c>
      <c r="T88" s="971"/>
      <c r="U88" s="971"/>
      <c r="V88" s="989">
        <v>6</v>
      </c>
      <c r="W88" s="971">
        <f t="shared" si="36"/>
        <v>3897</v>
      </c>
      <c r="X88" s="971">
        <f t="shared" si="37"/>
        <v>89631</v>
      </c>
      <c r="Y88" s="858">
        <f t="shared" si="38"/>
        <v>-4.166666666666663E-2</v>
      </c>
      <c r="Z88" s="857">
        <f t="shared" si="39"/>
        <v>1.0876228613032399</v>
      </c>
      <c r="AA88" s="856">
        <v>0.24741922751633599</v>
      </c>
      <c r="AB88" s="856">
        <v>-1.109875291610255E-4</v>
      </c>
      <c r="AC88" s="970">
        <f t="shared" si="28"/>
        <v>1299</v>
      </c>
      <c r="AD88" s="970"/>
      <c r="AE88" s="970">
        <f t="shared" si="45"/>
        <v>0</v>
      </c>
      <c r="AF88" s="971">
        <f t="shared" si="40"/>
        <v>93528</v>
      </c>
      <c r="AG88" s="857">
        <f t="shared" si="41"/>
        <v>0</v>
      </c>
      <c r="AH88" s="576">
        <v>0</v>
      </c>
      <c r="AI88" s="856">
        <f t="shared" si="43"/>
        <v>0.22658589418300268</v>
      </c>
      <c r="AJ88" s="859">
        <v>0</v>
      </c>
      <c r="AK88" s="583">
        <v>6</v>
      </c>
      <c r="AL88" s="971">
        <f t="shared" si="42"/>
        <v>3897</v>
      </c>
      <c r="AM88" s="971">
        <f t="shared" si="29"/>
        <v>89631</v>
      </c>
      <c r="AN88" s="858">
        <f t="shared" si="30"/>
        <v>-4.166666666666663E-2</v>
      </c>
      <c r="AO88" s="857">
        <f t="shared" si="31"/>
        <v>1.0876228613032399</v>
      </c>
      <c r="AP88" s="973">
        <f t="shared" si="32"/>
        <v>0</v>
      </c>
      <c r="AQ88" s="855">
        <f t="shared" si="33"/>
        <v>0</v>
      </c>
      <c r="AR88" s="974">
        <f t="shared" si="46"/>
        <v>0.24741922751633599</v>
      </c>
      <c r="AS88" s="975"/>
      <c r="AT88" s="976"/>
      <c r="AU88" s="971"/>
      <c r="AV88" s="976"/>
      <c r="AW88" s="970"/>
      <c r="AX88" s="971"/>
      <c r="AY88" s="971"/>
      <c r="AZ88" s="977"/>
      <c r="BA88" s="972"/>
      <c r="BB88" s="971"/>
      <c r="BC88" s="973"/>
      <c r="BD88" s="973"/>
      <c r="BE88" s="855"/>
      <c r="BF88" s="975"/>
      <c r="BG88" s="975"/>
      <c r="BH88" s="971"/>
      <c r="BI88" s="970"/>
      <c r="BJ88" s="971"/>
      <c r="BK88" s="971"/>
      <c r="BL88" s="977"/>
      <c r="BM88" s="972"/>
      <c r="BN88" s="971"/>
      <c r="BO88" s="973"/>
      <c r="BP88" s="973"/>
      <c r="BQ88" s="855"/>
      <c r="BR88" s="975"/>
      <c r="BS88" s="975"/>
      <c r="BT88" s="978"/>
      <c r="BU88" s="978"/>
      <c r="BV88" s="978">
        <v>0.24741922751633599</v>
      </c>
      <c r="BW88" s="978">
        <f t="shared" si="34"/>
        <v>0.20941922751633599</v>
      </c>
    </row>
    <row r="89" spans="1:75" hidden="1">
      <c r="A89" s="969">
        <v>2606</v>
      </c>
      <c r="B89" s="968" t="s">
        <v>211</v>
      </c>
      <c r="C89" s="969" t="s">
        <v>829</v>
      </c>
      <c r="D89" s="969" t="s">
        <v>473</v>
      </c>
      <c r="E89" s="987" t="s">
        <v>385</v>
      </c>
      <c r="F89" s="987"/>
      <c r="G89" s="955" t="str">
        <f>IFERROR(VLOOKUP(D89,[3]전용!E:J,6,0),"")</f>
        <v/>
      </c>
      <c r="H89" s="854">
        <v>82410</v>
      </c>
      <c r="I89" s="987">
        <v>5</v>
      </c>
      <c r="J89" s="987" t="s">
        <v>286</v>
      </c>
      <c r="K89" s="987">
        <v>12</v>
      </c>
      <c r="L89" s="988">
        <v>1599</v>
      </c>
      <c r="M89" s="971">
        <f t="shared" si="26"/>
        <v>95940</v>
      </c>
      <c r="N89" s="855">
        <v>0.31936842186900466</v>
      </c>
      <c r="O89" s="855"/>
      <c r="P89" s="988">
        <v>1599</v>
      </c>
      <c r="Q89" s="970">
        <f t="shared" si="27"/>
        <v>0</v>
      </c>
      <c r="R89" s="971">
        <f t="shared" si="44"/>
        <v>95940</v>
      </c>
      <c r="S89" s="856">
        <f t="shared" si="35"/>
        <v>0.26070459300277854</v>
      </c>
      <c r="T89" s="971"/>
      <c r="U89" s="971"/>
      <c r="V89" s="989">
        <v>6</v>
      </c>
      <c r="W89" s="971">
        <f t="shared" si="36"/>
        <v>4797</v>
      </c>
      <c r="X89" s="971">
        <f t="shared" si="37"/>
        <v>91143</v>
      </c>
      <c r="Y89" s="858">
        <f t="shared" si="38"/>
        <v>-5.0000000000000044E-2</v>
      </c>
      <c r="Z89" s="857">
        <f t="shared" si="39"/>
        <v>1.1059701492537313</v>
      </c>
      <c r="AA89" s="856">
        <v>0.23570459300277852</v>
      </c>
      <c r="AB89" s="856">
        <v>-1.1057862476498008E-4</v>
      </c>
      <c r="AC89" s="970">
        <f t="shared" si="28"/>
        <v>1599</v>
      </c>
      <c r="AD89" s="970"/>
      <c r="AE89" s="970">
        <f t="shared" si="45"/>
        <v>0</v>
      </c>
      <c r="AF89" s="971">
        <f t="shared" si="40"/>
        <v>95940</v>
      </c>
      <c r="AG89" s="857">
        <f t="shared" si="41"/>
        <v>0</v>
      </c>
      <c r="AH89" s="576">
        <v>0</v>
      </c>
      <c r="AI89" s="856">
        <f t="shared" si="43"/>
        <v>0.2107045930027785</v>
      </c>
      <c r="AJ89" s="859">
        <v>0</v>
      </c>
      <c r="AK89" s="583">
        <v>6</v>
      </c>
      <c r="AL89" s="971">
        <f t="shared" si="42"/>
        <v>4797</v>
      </c>
      <c r="AM89" s="971">
        <f t="shared" si="29"/>
        <v>91143</v>
      </c>
      <c r="AN89" s="858">
        <f t="shared" si="30"/>
        <v>-5.0000000000000044E-2</v>
      </c>
      <c r="AO89" s="857">
        <f t="shared" si="31"/>
        <v>1.1059701492537313</v>
      </c>
      <c r="AP89" s="973">
        <f t="shared" si="32"/>
        <v>0</v>
      </c>
      <c r="AQ89" s="855">
        <f t="shared" si="33"/>
        <v>0</v>
      </c>
      <c r="AR89" s="974">
        <f t="shared" si="46"/>
        <v>0.23570459300277852</v>
      </c>
      <c r="AS89" s="975"/>
      <c r="AT89" s="976"/>
      <c r="AU89" s="971"/>
      <c r="AV89" s="976"/>
      <c r="AW89" s="970"/>
      <c r="AX89" s="971"/>
      <c r="AY89" s="971"/>
      <c r="AZ89" s="977"/>
      <c r="BA89" s="972"/>
      <c r="BB89" s="971"/>
      <c r="BC89" s="973"/>
      <c r="BD89" s="973"/>
      <c r="BE89" s="855"/>
      <c r="BF89" s="975"/>
      <c r="BG89" s="975"/>
      <c r="BH89" s="971"/>
      <c r="BI89" s="970"/>
      <c r="BJ89" s="971"/>
      <c r="BK89" s="971"/>
      <c r="BL89" s="977"/>
      <c r="BM89" s="972"/>
      <c r="BN89" s="971"/>
      <c r="BO89" s="973"/>
      <c r="BP89" s="973"/>
      <c r="BQ89" s="855"/>
      <c r="BR89" s="975"/>
      <c r="BS89" s="975"/>
      <c r="BT89" s="978"/>
      <c r="BU89" s="978"/>
      <c r="BV89" s="978">
        <v>0.23570459300277852</v>
      </c>
      <c r="BW89" s="978">
        <f t="shared" si="34"/>
        <v>0.19770459300277851</v>
      </c>
    </row>
    <row r="90" spans="1:75" hidden="1">
      <c r="A90" s="969">
        <v>2606</v>
      </c>
      <c r="B90" s="968" t="s">
        <v>211</v>
      </c>
      <c r="C90" s="969" t="s">
        <v>829</v>
      </c>
      <c r="D90" s="969" t="s">
        <v>473</v>
      </c>
      <c r="E90" s="987" t="s">
        <v>385</v>
      </c>
      <c r="F90" s="987"/>
      <c r="G90" s="955" t="str">
        <f>IFERROR(VLOOKUP(D90,[3]전용!E:J,6,0),"")</f>
        <v/>
      </c>
      <c r="H90" s="854">
        <v>82410</v>
      </c>
      <c r="I90" s="987">
        <v>5</v>
      </c>
      <c r="J90" s="987" t="s">
        <v>288</v>
      </c>
      <c r="K90" s="987">
        <v>12</v>
      </c>
      <c r="L90" s="988">
        <v>1499</v>
      </c>
      <c r="M90" s="971">
        <f t="shared" si="26"/>
        <v>89940</v>
      </c>
      <c r="N90" s="855">
        <v>0.3233376328581305</v>
      </c>
      <c r="O90" s="855"/>
      <c r="P90" s="988">
        <v>1499</v>
      </c>
      <c r="Q90" s="970">
        <f t="shared" si="27"/>
        <v>0</v>
      </c>
      <c r="R90" s="971">
        <f t="shared" si="44"/>
        <v>89940</v>
      </c>
      <c r="S90" s="856">
        <f t="shared" si="35"/>
        <v>0.26070459300277854</v>
      </c>
      <c r="T90" s="971"/>
      <c r="U90" s="971"/>
      <c r="V90" s="989">
        <v>6</v>
      </c>
      <c r="W90" s="971">
        <f t="shared" si="36"/>
        <v>4497</v>
      </c>
      <c r="X90" s="971">
        <f t="shared" si="37"/>
        <v>85443</v>
      </c>
      <c r="Y90" s="858">
        <f t="shared" si="38"/>
        <v>-5.0000000000000044E-2</v>
      </c>
      <c r="Z90" s="857">
        <f t="shared" si="39"/>
        <v>1.0368037859483072</v>
      </c>
      <c r="AA90" s="856">
        <v>0.23570459300277852</v>
      </c>
      <c r="AB90" s="856">
        <v>-1.1057862476498008E-4</v>
      </c>
      <c r="AC90" s="970">
        <f t="shared" si="28"/>
        <v>1499</v>
      </c>
      <c r="AD90" s="970"/>
      <c r="AE90" s="970">
        <f t="shared" si="45"/>
        <v>0</v>
      </c>
      <c r="AF90" s="971">
        <f t="shared" si="40"/>
        <v>89940</v>
      </c>
      <c r="AG90" s="857">
        <f t="shared" si="41"/>
        <v>0</v>
      </c>
      <c r="AH90" s="576">
        <v>0</v>
      </c>
      <c r="AI90" s="856">
        <f t="shared" si="43"/>
        <v>0.2107045930027785</v>
      </c>
      <c r="AJ90" s="859">
        <v>0</v>
      </c>
      <c r="AK90" s="583">
        <v>6</v>
      </c>
      <c r="AL90" s="971">
        <f t="shared" si="42"/>
        <v>4497</v>
      </c>
      <c r="AM90" s="971">
        <f t="shared" si="29"/>
        <v>85443</v>
      </c>
      <c r="AN90" s="858">
        <f t="shared" si="30"/>
        <v>-5.0000000000000044E-2</v>
      </c>
      <c r="AO90" s="857">
        <f t="shared" si="31"/>
        <v>1.0368037859483072</v>
      </c>
      <c r="AP90" s="973">
        <f t="shared" si="32"/>
        <v>0</v>
      </c>
      <c r="AQ90" s="855">
        <f t="shared" si="33"/>
        <v>0</v>
      </c>
      <c r="AR90" s="974">
        <f t="shared" si="46"/>
        <v>0.23570459300277852</v>
      </c>
      <c r="AS90" s="975"/>
      <c r="AT90" s="976"/>
      <c r="AU90" s="971"/>
      <c r="AV90" s="976"/>
      <c r="AW90" s="970"/>
      <c r="AX90" s="971"/>
      <c r="AY90" s="971"/>
      <c r="AZ90" s="977"/>
      <c r="BA90" s="972"/>
      <c r="BB90" s="971"/>
      <c r="BC90" s="973"/>
      <c r="BD90" s="973"/>
      <c r="BE90" s="855"/>
      <c r="BF90" s="975"/>
      <c r="BG90" s="975"/>
      <c r="BH90" s="971"/>
      <c r="BI90" s="970"/>
      <c r="BJ90" s="971"/>
      <c r="BK90" s="971"/>
      <c r="BL90" s="977"/>
      <c r="BM90" s="972"/>
      <c r="BN90" s="971"/>
      <c r="BO90" s="973"/>
      <c r="BP90" s="973"/>
      <c r="BQ90" s="855"/>
      <c r="BR90" s="975"/>
      <c r="BS90" s="975"/>
      <c r="BT90" s="978"/>
      <c r="BU90" s="978"/>
      <c r="BV90" s="978">
        <v>0.23570459300277852</v>
      </c>
      <c r="BW90" s="978">
        <f t="shared" si="34"/>
        <v>0.19770459300277851</v>
      </c>
    </row>
    <row r="91" spans="1:75" hidden="1">
      <c r="A91" s="969">
        <v>2606</v>
      </c>
      <c r="B91" s="968" t="s">
        <v>211</v>
      </c>
      <c r="C91" s="969" t="s">
        <v>829</v>
      </c>
      <c r="D91" s="969" t="s">
        <v>473</v>
      </c>
      <c r="E91" s="987" t="s">
        <v>385</v>
      </c>
      <c r="F91" s="987"/>
      <c r="G91" s="955" t="str">
        <f>IFERROR(VLOOKUP(D91,[3]전용!E:J,6,0),"")</f>
        <v/>
      </c>
      <c r="H91" s="854">
        <v>82410</v>
      </c>
      <c r="I91" s="987">
        <v>6</v>
      </c>
      <c r="J91" s="987" t="s">
        <v>286</v>
      </c>
      <c r="K91" s="987">
        <v>12</v>
      </c>
      <c r="L91" s="988">
        <v>1399</v>
      </c>
      <c r="M91" s="971">
        <f t="shared" si="26"/>
        <v>100728</v>
      </c>
      <c r="N91" s="855">
        <v>0.32463179727269026</v>
      </c>
      <c r="O91" s="855"/>
      <c r="P91" s="988">
        <v>1399</v>
      </c>
      <c r="Q91" s="970">
        <f t="shared" si="27"/>
        <v>0</v>
      </c>
      <c r="R91" s="971">
        <f t="shared" si="44"/>
        <v>100728</v>
      </c>
      <c r="S91" s="856">
        <f t="shared" si="35"/>
        <v>0.25653792633611183</v>
      </c>
      <c r="T91" s="971"/>
      <c r="U91" s="971"/>
      <c r="V91" s="989">
        <v>6</v>
      </c>
      <c r="W91" s="971">
        <f t="shared" si="36"/>
        <v>4197</v>
      </c>
      <c r="X91" s="971">
        <f t="shared" si="37"/>
        <v>96531</v>
      </c>
      <c r="Y91" s="858">
        <f t="shared" si="38"/>
        <v>-4.166666666666663E-2</v>
      </c>
      <c r="Z91" s="857">
        <f t="shared" si="39"/>
        <v>1.1713505642519111</v>
      </c>
      <c r="AA91" s="856">
        <v>0.23570459300277852</v>
      </c>
      <c r="AB91" s="856">
        <v>-1.1057862476498008E-4</v>
      </c>
      <c r="AC91" s="970">
        <f t="shared" si="28"/>
        <v>1399</v>
      </c>
      <c r="AD91" s="970"/>
      <c r="AE91" s="970">
        <f t="shared" si="45"/>
        <v>0</v>
      </c>
      <c r="AF91" s="971">
        <f t="shared" si="40"/>
        <v>100728</v>
      </c>
      <c r="AG91" s="857">
        <f t="shared" si="41"/>
        <v>0</v>
      </c>
      <c r="AH91" s="576">
        <v>0</v>
      </c>
      <c r="AI91" s="856">
        <f t="shared" si="43"/>
        <v>0.2148712596694452</v>
      </c>
      <c r="AJ91" s="859">
        <v>0</v>
      </c>
      <c r="AK91" s="583">
        <v>6</v>
      </c>
      <c r="AL91" s="971">
        <f t="shared" si="42"/>
        <v>4197</v>
      </c>
      <c r="AM91" s="971">
        <f t="shared" si="29"/>
        <v>96531</v>
      </c>
      <c r="AN91" s="858">
        <f t="shared" si="30"/>
        <v>-4.166666666666663E-2</v>
      </c>
      <c r="AO91" s="857">
        <f t="shared" si="31"/>
        <v>1.1713505642519111</v>
      </c>
      <c r="AP91" s="973">
        <f t="shared" si="32"/>
        <v>0</v>
      </c>
      <c r="AQ91" s="855">
        <f t="shared" si="33"/>
        <v>0</v>
      </c>
      <c r="AR91" s="974">
        <f t="shared" si="46"/>
        <v>0.23570459300277852</v>
      </c>
      <c r="AS91" s="975"/>
      <c r="AT91" s="976"/>
      <c r="AU91" s="971"/>
      <c r="AV91" s="976"/>
      <c r="AW91" s="970"/>
      <c r="AX91" s="971"/>
      <c r="AY91" s="971"/>
      <c r="AZ91" s="977"/>
      <c r="BA91" s="972"/>
      <c r="BB91" s="971"/>
      <c r="BC91" s="973"/>
      <c r="BD91" s="973"/>
      <c r="BE91" s="855"/>
      <c r="BF91" s="975"/>
      <c r="BG91" s="975"/>
      <c r="BH91" s="971"/>
      <c r="BI91" s="970"/>
      <c r="BJ91" s="971"/>
      <c r="BK91" s="971"/>
      <c r="BL91" s="977"/>
      <c r="BM91" s="972"/>
      <c r="BN91" s="971"/>
      <c r="BO91" s="973"/>
      <c r="BP91" s="973"/>
      <c r="BQ91" s="855"/>
      <c r="BR91" s="975"/>
      <c r="BS91" s="975"/>
      <c r="BT91" s="978"/>
      <c r="BU91" s="978"/>
      <c r="BV91" s="978">
        <v>0.23570459300277852</v>
      </c>
      <c r="BW91" s="978">
        <f t="shared" si="34"/>
        <v>0.19770459300277851</v>
      </c>
    </row>
    <row r="92" spans="1:75" hidden="1">
      <c r="A92" s="980">
        <v>2606</v>
      </c>
      <c r="B92" s="979" t="s">
        <v>211</v>
      </c>
      <c r="C92" s="980" t="s">
        <v>829</v>
      </c>
      <c r="D92" s="980" t="s">
        <v>473</v>
      </c>
      <c r="E92" s="987" t="s">
        <v>385</v>
      </c>
      <c r="F92" s="987"/>
      <c r="G92" s="955" t="str">
        <f>IFERROR(VLOOKUP(D92,[3]전용!E:J,6,0),"")</f>
        <v/>
      </c>
      <c r="H92" s="854">
        <v>82410</v>
      </c>
      <c r="I92" s="987">
        <v>6</v>
      </c>
      <c r="J92" s="987" t="s">
        <v>288</v>
      </c>
      <c r="K92" s="987">
        <v>12</v>
      </c>
      <c r="L92" s="988">
        <v>1299</v>
      </c>
      <c r="M92" s="971">
        <f t="shared" si="26"/>
        <v>93528</v>
      </c>
      <c r="N92" s="855">
        <v>0.3300072277924137</v>
      </c>
      <c r="O92" s="855"/>
      <c r="P92" s="988">
        <v>1299</v>
      </c>
      <c r="Q92" s="970">
        <f t="shared" si="27"/>
        <v>0</v>
      </c>
      <c r="R92" s="971">
        <f t="shared" si="44"/>
        <v>93528</v>
      </c>
      <c r="S92" s="856">
        <f t="shared" si="35"/>
        <v>0.25653792633611183</v>
      </c>
      <c r="T92" s="971"/>
      <c r="U92" s="971"/>
      <c r="V92" s="989">
        <v>6</v>
      </c>
      <c r="W92" s="971">
        <f t="shared" si="36"/>
        <v>3897</v>
      </c>
      <c r="X92" s="971">
        <f t="shared" si="37"/>
        <v>89631</v>
      </c>
      <c r="Y92" s="858">
        <f t="shared" si="38"/>
        <v>-4.166666666666663E-2</v>
      </c>
      <c r="Z92" s="857">
        <f t="shared" si="39"/>
        <v>1.0876228613032399</v>
      </c>
      <c r="AA92" s="856">
        <v>0.23570459300277852</v>
      </c>
      <c r="AB92" s="856">
        <v>-1.1057862476498008E-4</v>
      </c>
      <c r="AC92" s="970">
        <f t="shared" si="28"/>
        <v>1299</v>
      </c>
      <c r="AD92" s="970"/>
      <c r="AE92" s="970">
        <f t="shared" si="45"/>
        <v>0</v>
      </c>
      <c r="AF92" s="971">
        <f t="shared" si="40"/>
        <v>93528</v>
      </c>
      <c r="AG92" s="857">
        <f t="shared" si="41"/>
        <v>0</v>
      </c>
      <c r="AH92" s="576">
        <v>0</v>
      </c>
      <c r="AI92" s="856">
        <f t="shared" si="43"/>
        <v>0.2148712596694452</v>
      </c>
      <c r="AJ92" s="859">
        <v>0</v>
      </c>
      <c r="AK92" s="583">
        <v>6</v>
      </c>
      <c r="AL92" s="971">
        <f t="shared" si="42"/>
        <v>3897</v>
      </c>
      <c r="AM92" s="971">
        <f t="shared" si="29"/>
        <v>89631</v>
      </c>
      <c r="AN92" s="858">
        <f t="shared" si="30"/>
        <v>-4.166666666666663E-2</v>
      </c>
      <c r="AO92" s="857">
        <f t="shared" si="31"/>
        <v>1.0876228613032399</v>
      </c>
      <c r="AP92" s="973">
        <f t="shared" si="32"/>
        <v>0</v>
      </c>
      <c r="AQ92" s="855">
        <f t="shared" si="33"/>
        <v>0</v>
      </c>
      <c r="AR92" s="974">
        <f t="shared" si="46"/>
        <v>0.23570459300277852</v>
      </c>
      <c r="AS92" s="975"/>
      <c r="AT92" s="976"/>
      <c r="AU92" s="971"/>
      <c r="AV92" s="976"/>
      <c r="AW92" s="970"/>
      <c r="AX92" s="971"/>
      <c r="AY92" s="971"/>
      <c r="AZ92" s="977"/>
      <c r="BA92" s="972"/>
      <c r="BB92" s="971"/>
      <c r="BC92" s="973"/>
      <c r="BD92" s="973"/>
      <c r="BE92" s="855"/>
      <c r="BF92" s="975"/>
      <c r="BG92" s="975"/>
      <c r="BH92" s="971"/>
      <c r="BI92" s="970"/>
      <c r="BJ92" s="971"/>
      <c r="BK92" s="971"/>
      <c r="BL92" s="977"/>
      <c r="BM92" s="972"/>
      <c r="BN92" s="971"/>
      <c r="BO92" s="973"/>
      <c r="BP92" s="973"/>
      <c r="BQ92" s="855"/>
      <c r="BR92" s="975"/>
      <c r="BS92" s="975"/>
      <c r="BT92" s="978"/>
      <c r="BU92" s="978"/>
      <c r="BV92" s="978">
        <v>0.23570459300277852</v>
      </c>
      <c r="BW92" s="978">
        <f t="shared" si="34"/>
        <v>0.19770459300277851</v>
      </c>
    </row>
    <row r="93" spans="1:75" hidden="1">
      <c r="A93" s="969">
        <v>2606</v>
      </c>
      <c r="B93" s="968" t="s">
        <v>211</v>
      </c>
      <c r="C93" s="969" t="s">
        <v>829</v>
      </c>
      <c r="D93" s="969" t="s">
        <v>212</v>
      </c>
      <c r="E93" s="955" t="s">
        <v>389</v>
      </c>
      <c r="F93" s="955"/>
      <c r="G93" s="955" t="str">
        <f>IFERROR(VLOOKUP(D93,[3]전용!E:J,6,0),"")</f>
        <v/>
      </c>
      <c r="H93" s="854">
        <v>62833.333333333328</v>
      </c>
      <c r="I93" s="955">
        <v>5</v>
      </c>
      <c r="J93" s="955" t="s">
        <v>286</v>
      </c>
      <c r="K93" s="955">
        <v>12</v>
      </c>
      <c r="L93" s="970">
        <v>899</v>
      </c>
      <c r="M93" s="971">
        <f t="shared" si="26"/>
        <v>53940</v>
      </c>
      <c r="N93" s="855">
        <v>0.15</v>
      </c>
      <c r="O93" s="855"/>
      <c r="P93" s="970">
        <v>899</v>
      </c>
      <c r="Q93" s="970">
        <f t="shared" si="27"/>
        <v>0</v>
      </c>
      <c r="R93" s="971">
        <f t="shared" si="44"/>
        <v>53940</v>
      </c>
      <c r="S93" s="856">
        <f t="shared" si="35"/>
        <v>0.24758933037571232</v>
      </c>
      <c r="T93" s="971"/>
      <c r="U93" s="971"/>
      <c r="V93" s="972">
        <v>6</v>
      </c>
      <c r="W93" s="971">
        <f t="shared" si="36"/>
        <v>2697</v>
      </c>
      <c r="X93" s="971">
        <f t="shared" si="37"/>
        <v>51243</v>
      </c>
      <c r="Y93" s="858">
        <f t="shared" si="38"/>
        <v>-5.0000000000000044E-2</v>
      </c>
      <c r="Z93" s="857">
        <f t="shared" si="39"/>
        <v>0.81553846153846166</v>
      </c>
      <c r="AA93" s="856">
        <v>0.2225893303757123</v>
      </c>
      <c r="AB93" s="856">
        <v>2.730610566086376E-2</v>
      </c>
      <c r="AC93" s="970">
        <f t="shared" si="28"/>
        <v>899</v>
      </c>
      <c r="AD93" s="970"/>
      <c r="AE93" s="970">
        <f t="shared" si="45"/>
        <v>0</v>
      </c>
      <c r="AF93" s="971">
        <f t="shared" si="40"/>
        <v>53940</v>
      </c>
      <c r="AG93" s="857">
        <f t="shared" si="41"/>
        <v>0</v>
      </c>
      <c r="AH93" s="576">
        <v>0</v>
      </c>
      <c r="AI93" s="856">
        <f t="shared" si="43"/>
        <v>0.19758933037571227</v>
      </c>
      <c r="AJ93" s="859">
        <v>0</v>
      </c>
      <c r="AK93" s="583">
        <v>6</v>
      </c>
      <c r="AL93" s="971">
        <f t="shared" si="42"/>
        <v>2697</v>
      </c>
      <c r="AM93" s="971">
        <f t="shared" si="29"/>
        <v>51243</v>
      </c>
      <c r="AN93" s="858">
        <f t="shared" si="30"/>
        <v>-5.0000000000000044E-2</v>
      </c>
      <c r="AO93" s="857">
        <f t="shared" si="31"/>
        <v>0.81553846153846166</v>
      </c>
      <c r="AP93" s="973">
        <f t="shared" si="32"/>
        <v>0</v>
      </c>
      <c r="AQ93" s="855">
        <f t="shared" si="33"/>
        <v>0</v>
      </c>
      <c r="AR93" s="974">
        <f t="shared" si="46"/>
        <v>0.2225893303757123</v>
      </c>
      <c r="AS93" s="975"/>
      <c r="AT93" s="976"/>
      <c r="AU93" s="971"/>
      <c r="AV93" s="976"/>
      <c r="AW93" s="970"/>
      <c r="AX93" s="971"/>
      <c r="AY93" s="971"/>
      <c r="AZ93" s="977"/>
      <c r="BA93" s="972"/>
      <c r="BB93" s="971"/>
      <c r="BC93" s="973"/>
      <c r="BD93" s="973"/>
      <c r="BE93" s="855"/>
      <c r="BF93" s="975"/>
      <c r="BG93" s="975"/>
      <c r="BH93" s="971"/>
      <c r="BI93" s="970"/>
      <c r="BJ93" s="971"/>
      <c r="BK93" s="971"/>
      <c r="BL93" s="977"/>
      <c r="BM93" s="972"/>
      <c r="BN93" s="971"/>
      <c r="BO93" s="973"/>
      <c r="BP93" s="973"/>
      <c r="BQ93" s="855"/>
      <c r="BR93" s="975"/>
      <c r="BS93" s="975"/>
      <c r="BT93" s="978"/>
      <c r="BU93" s="978"/>
      <c r="BV93" s="978">
        <v>0.22325636950101302</v>
      </c>
      <c r="BW93" s="978">
        <f t="shared" si="34"/>
        <v>0.18458933037571229</v>
      </c>
    </row>
    <row r="94" spans="1:75" hidden="1">
      <c r="A94" s="969">
        <v>2606</v>
      </c>
      <c r="B94" s="968" t="s">
        <v>211</v>
      </c>
      <c r="C94" s="969" t="s">
        <v>829</v>
      </c>
      <c r="D94" s="969" t="s">
        <v>212</v>
      </c>
      <c r="E94" s="955" t="s">
        <v>389</v>
      </c>
      <c r="F94" s="955"/>
      <c r="G94" s="955" t="str">
        <f>IFERROR(VLOOKUP(D94,[3]전용!E:J,6,0),"")</f>
        <v/>
      </c>
      <c r="H94" s="854">
        <v>62833.333333333328</v>
      </c>
      <c r="I94" s="955">
        <v>5</v>
      </c>
      <c r="J94" s="955" t="s">
        <v>288</v>
      </c>
      <c r="K94" s="955">
        <v>12</v>
      </c>
      <c r="L94" s="970">
        <v>849</v>
      </c>
      <c r="M94" s="971">
        <f t="shared" si="26"/>
        <v>50940</v>
      </c>
      <c r="N94" s="855">
        <v>0.15</v>
      </c>
      <c r="O94" s="855"/>
      <c r="P94" s="970">
        <v>849</v>
      </c>
      <c r="Q94" s="970">
        <f t="shared" si="27"/>
        <v>0</v>
      </c>
      <c r="R94" s="971">
        <f t="shared" si="44"/>
        <v>50940</v>
      </c>
      <c r="S94" s="856">
        <f t="shared" si="35"/>
        <v>0.24758933037571232</v>
      </c>
      <c r="T94" s="971"/>
      <c r="U94" s="971"/>
      <c r="V94" s="972">
        <v>6</v>
      </c>
      <c r="W94" s="971">
        <f t="shared" si="36"/>
        <v>2547</v>
      </c>
      <c r="X94" s="971">
        <f t="shared" si="37"/>
        <v>48393</v>
      </c>
      <c r="Y94" s="858">
        <f t="shared" si="38"/>
        <v>-5.0000000000000044E-2</v>
      </c>
      <c r="Z94" s="857">
        <f t="shared" si="39"/>
        <v>0.77018037135278516</v>
      </c>
      <c r="AA94" s="856">
        <v>0.2225893303757123</v>
      </c>
      <c r="AB94" s="856">
        <v>2.730610566086376E-2</v>
      </c>
      <c r="AC94" s="970">
        <f t="shared" si="28"/>
        <v>849</v>
      </c>
      <c r="AD94" s="970"/>
      <c r="AE94" s="970">
        <f t="shared" si="45"/>
        <v>0</v>
      </c>
      <c r="AF94" s="971">
        <f t="shared" si="40"/>
        <v>50940</v>
      </c>
      <c r="AG94" s="857">
        <f t="shared" si="41"/>
        <v>0</v>
      </c>
      <c r="AH94" s="576">
        <v>0</v>
      </c>
      <c r="AI94" s="856">
        <f t="shared" si="43"/>
        <v>0.19758933037571227</v>
      </c>
      <c r="AJ94" s="859">
        <v>0</v>
      </c>
      <c r="AK94" s="583">
        <v>6</v>
      </c>
      <c r="AL94" s="971">
        <f t="shared" si="42"/>
        <v>2547</v>
      </c>
      <c r="AM94" s="971">
        <f t="shared" si="29"/>
        <v>48393</v>
      </c>
      <c r="AN94" s="858">
        <f t="shared" si="30"/>
        <v>-5.0000000000000044E-2</v>
      </c>
      <c r="AO94" s="857">
        <f t="shared" si="31"/>
        <v>0.77018037135278516</v>
      </c>
      <c r="AP94" s="973">
        <f t="shared" si="32"/>
        <v>0</v>
      </c>
      <c r="AQ94" s="855">
        <f t="shared" si="33"/>
        <v>0</v>
      </c>
      <c r="AR94" s="974">
        <f t="shared" si="46"/>
        <v>0.2225893303757123</v>
      </c>
      <c r="AS94" s="975"/>
      <c r="AT94" s="976"/>
      <c r="AU94" s="971"/>
      <c r="AV94" s="976"/>
      <c r="AW94" s="970"/>
      <c r="AX94" s="971"/>
      <c r="AY94" s="971"/>
      <c r="AZ94" s="977"/>
      <c r="BA94" s="972"/>
      <c r="BB94" s="971"/>
      <c r="BC94" s="973"/>
      <c r="BD94" s="973"/>
      <c r="BE94" s="855"/>
      <c r="BF94" s="975"/>
      <c r="BG94" s="975"/>
      <c r="BH94" s="971"/>
      <c r="BI94" s="970"/>
      <c r="BJ94" s="971"/>
      <c r="BK94" s="971"/>
      <c r="BL94" s="977"/>
      <c r="BM94" s="972"/>
      <c r="BN94" s="971"/>
      <c r="BO94" s="973"/>
      <c r="BP94" s="973"/>
      <c r="BQ94" s="855"/>
      <c r="BR94" s="975"/>
      <c r="BS94" s="975"/>
      <c r="BT94" s="978"/>
      <c r="BU94" s="978"/>
      <c r="BV94" s="978">
        <v>0.22325636950101302</v>
      </c>
      <c r="BW94" s="978">
        <f t="shared" si="34"/>
        <v>0.18458933037571229</v>
      </c>
    </row>
    <row r="95" spans="1:75" hidden="1">
      <c r="A95" s="969">
        <v>2606</v>
      </c>
      <c r="B95" s="968" t="s">
        <v>211</v>
      </c>
      <c r="C95" s="969" t="s">
        <v>829</v>
      </c>
      <c r="D95" s="969" t="s">
        <v>212</v>
      </c>
      <c r="E95" s="955" t="s">
        <v>389</v>
      </c>
      <c r="F95" s="955"/>
      <c r="G95" s="955" t="str">
        <f>IFERROR(VLOOKUP(D95,[3]전용!E:J,6,0),"")</f>
        <v/>
      </c>
      <c r="H95" s="854">
        <v>62833.333333333328</v>
      </c>
      <c r="I95" s="955">
        <v>6</v>
      </c>
      <c r="J95" s="955" t="s">
        <v>286</v>
      </c>
      <c r="K95" s="955">
        <v>12</v>
      </c>
      <c r="L95" s="970">
        <v>849</v>
      </c>
      <c r="M95" s="971">
        <f t="shared" si="26"/>
        <v>61128</v>
      </c>
      <c r="N95" s="855">
        <v>0.15</v>
      </c>
      <c r="O95" s="855"/>
      <c r="P95" s="970">
        <v>849</v>
      </c>
      <c r="Q95" s="970">
        <f t="shared" si="27"/>
        <v>0</v>
      </c>
      <c r="R95" s="971">
        <f t="shared" si="44"/>
        <v>61128</v>
      </c>
      <c r="S95" s="856">
        <f t="shared" si="35"/>
        <v>0.24342266370904561</v>
      </c>
      <c r="T95" s="971"/>
      <c r="U95" s="971"/>
      <c r="V95" s="972">
        <v>6</v>
      </c>
      <c r="W95" s="971">
        <f t="shared" si="36"/>
        <v>2547</v>
      </c>
      <c r="X95" s="971">
        <f t="shared" si="37"/>
        <v>58581</v>
      </c>
      <c r="Y95" s="858">
        <f t="shared" si="38"/>
        <v>-4.166666666666663E-2</v>
      </c>
      <c r="Z95" s="857">
        <f t="shared" si="39"/>
        <v>0.93232360742705578</v>
      </c>
      <c r="AA95" s="856">
        <v>0.2225893303757123</v>
      </c>
      <c r="AB95" s="856">
        <v>2.730610566086376E-2</v>
      </c>
      <c r="AC95" s="970">
        <f t="shared" si="28"/>
        <v>849</v>
      </c>
      <c r="AD95" s="970"/>
      <c r="AE95" s="970">
        <f t="shared" si="45"/>
        <v>0</v>
      </c>
      <c r="AF95" s="971">
        <f t="shared" si="40"/>
        <v>61128</v>
      </c>
      <c r="AG95" s="857">
        <f t="shared" si="41"/>
        <v>0</v>
      </c>
      <c r="AH95" s="576">
        <v>0</v>
      </c>
      <c r="AI95" s="856">
        <f t="shared" si="43"/>
        <v>0.20175599704237898</v>
      </c>
      <c r="AJ95" s="859">
        <v>0</v>
      </c>
      <c r="AK95" s="583">
        <v>6</v>
      </c>
      <c r="AL95" s="971">
        <f t="shared" si="42"/>
        <v>2547</v>
      </c>
      <c r="AM95" s="971">
        <f t="shared" si="29"/>
        <v>58581</v>
      </c>
      <c r="AN95" s="858">
        <f t="shared" si="30"/>
        <v>-4.166666666666663E-2</v>
      </c>
      <c r="AO95" s="857">
        <f t="shared" si="31"/>
        <v>0.93232360742705578</v>
      </c>
      <c r="AP95" s="973">
        <f t="shared" si="32"/>
        <v>0</v>
      </c>
      <c r="AQ95" s="855">
        <f t="shared" si="33"/>
        <v>0</v>
      </c>
      <c r="AR95" s="974">
        <f t="shared" si="46"/>
        <v>0.2225893303757123</v>
      </c>
      <c r="AS95" s="975"/>
      <c r="AT95" s="976"/>
      <c r="AU95" s="971"/>
      <c r="AV95" s="976"/>
      <c r="AW95" s="970"/>
      <c r="AX95" s="971"/>
      <c r="AY95" s="971"/>
      <c r="AZ95" s="977"/>
      <c r="BA95" s="972"/>
      <c r="BB95" s="971"/>
      <c r="BC95" s="973"/>
      <c r="BD95" s="973"/>
      <c r="BE95" s="855"/>
      <c r="BF95" s="975"/>
      <c r="BG95" s="975"/>
      <c r="BH95" s="971"/>
      <c r="BI95" s="970"/>
      <c r="BJ95" s="971"/>
      <c r="BK95" s="971"/>
      <c r="BL95" s="977"/>
      <c r="BM95" s="972"/>
      <c r="BN95" s="971"/>
      <c r="BO95" s="973"/>
      <c r="BP95" s="973"/>
      <c r="BQ95" s="855"/>
      <c r="BR95" s="975"/>
      <c r="BS95" s="975"/>
      <c r="BT95" s="978"/>
      <c r="BU95" s="978"/>
      <c r="BV95" s="978">
        <v>0.22325636950101302</v>
      </c>
      <c r="BW95" s="978">
        <f t="shared" si="34"/>
        <v>0.18458933037571229</v>
      </c>
    </row>
    <row r="96" spans="1:75" hidden="1">
      <c r="A96" s="980">
        <v>2606</v>
      </c>
      <c r="B96" s="979" t="s">
        <v>211</v>
      </c>
      <c r="C96" s="980" t="s">
        <v>829</v>
      </c>
      <c r="D96" s="980" t="s">
        <v>212</v>
      </c>
      <c r="E96" s="955" t="s">
        <v>389</v>
      </c>
      <c r="F96" s="955"/>
      <c r="G96" s="955" t="str">
        <f>IFERROR(VLOOKUP(D96,[3]전용!E:J,6,0),"")</f>
        <v/>
      </c>
      <c r="H96" s="854">
        <v>62833.333333333328</v>
      </c>
      <c r="I96" s="955">
        <v>6</v>
      </c>
      <c r="J96" s="955" t="s">
        <v>288</v>
      </c>
      <c r="K96" s="955">
        <v>12</v>
      </c>
      <c r="L96" s="970">
        <v>799</v>
      </c>
      <c r="M96" s="971">
        <f t="shared" si="26"/>
        <v>57528</v>
      </c>
      <c r="N96" s="855">
        <v>0.15</v>
      </c>
      <c r="O96" s="855"/>
      <c r="P96" s="970">
        <v>799</v>
      </c>
      <c r="Q96" s="970">
        <f t="shared" si="27"/>
        <v>0</v>
      </c>
      <c r="R96" s="971">
        <f t="shared" si="44"/>
        <v>57528</v>
      </c>
      <c r="S96" s="856">
        <f t="shared" si="35"/>
        <v>0.24342266370904561</v>
      </c>
      <c r="T96" s="971"/>
      <c r="U96" s="971"/>
      <c r="V96" s="972">
        <v>6</v>
      </c>
      <c r="W96" s="971">
        <f t="shared" si="36"/>
        <v>2397</v>
      </c>
      <c r="X96" s="971">
        <f t="shared" si="37"/>
        <v>55131</v>
      </c>
      <c r="Y96" s="858">
        <f t="shared" si="38"/>
        <v>-4.166666666666663E-2</v>
      </c>
      <c r="Z96" s="857">
        <f t="shared" si="39"/>
        <v>0.8774164456233422</v>
      </c>
      <c r="AA96" s="856">
        <v>0.2225893303757123</v>
      </c>
      <c r="AB96" s="856">
        <v>2.730610566086376E-2</v>
      </c>
      <c r="AC96" s="970">
        <f t="shared" si="28"/>
        <v>799</v>
      </c>
      <c r="AD96" s="970"/>
      <c r="AE96" s="970">
        <f t="shared" si="45"/>
        <v>0</v>
      </c>
      <c r="AF96" s="971">
        <f t="shared" si="40"/>
        <v>57528</v>
      </c>
      <c r="AG96" s="857">
        <f t="shared" si="41"/>
        <v>0</v>
      </c>
      <c r="AH96" s="576">
        <v>0</v>
      </c>
      <c r="AI96" s="856">
        <f t="shared" si="43"/>
        <v>0.20175599704237898</v>
      </c>
      <c r="AJ96" s="859">
        <v>0</v>
      </c>
      <c r="AK96" s="583">
        <v>6</v>
      </c>
      <c r="AL96" s="971">
        <f t="shared" si="42"/>
        <v>2397</v>
      </c>
      <c r="AM96" s="971">
        <f t="shared" si="29"/>
        <v>55131</v>
      </c>
      <c r="AN96" s="858">
        <f t="shared" si="30"/>
        <v>-4.166666666666663E-2</v>
      </c>
      <c r="AO96" s="857">
        <f t="shared" si="31"/>
        <v>0.8774164456233422</v>
      </c>
      <c r="AP96" s="973">
        <f t="shared" si="32"/>
        <v>0</v>
      </c>
      <c r="AQ96" s="855">
        <f t="shared" si="33"/>
        <v>0</v>
      </c>
      <c r="AR96" s="974">
        <f t="shared" si="46"/>
        <v>0.2225893303757123</v>
      </c>
      <c r="AS96" s="975"/>
      <c r="AT96" s="976"/>
      <c r="AU96" s="971"/>
      <c r="AV96" s="976"/>
      <c r="AW96" s="970"/>
      <c r="AX96" s="971"/>
      <c r="AY96" s="971"/>
      <c r="AZ96" s="977"/>
      <c r="BA96" s="972"/>
      <c r="BB96" s="971"/>
      <c r="BC96" s="973"/>
      <c r="BD96" s="973"/>
      <c r="BE96" s="855"/>
      <c r="BF96" s="975"/>
      <c r="BG96" s="975"/>
      <c r="BH96" s="971"/>
      <c r="BI96" s="970"/>
      <c r="BJ96" s="971"/>
      <c r="BK96" s="971"/>
      <c r="BL96" s="977"/>
      <c r="BM96" s="972"/>
      <c r="BN96" s="971"/>
      <c r="BO96" s="973"/>
      <c r="BP96" s="973"/>
      <c r="BQ96" s="855"/>
      <c r="BR96" s="975"/>
      <c r="BS96" s="975"/>
      <c r="BT96" s="978"/>
      <c r="BU96" s="978"/>
      <c r="BV96" s="978">
        <v>0.22325636950101302</v>
      </c>
      <c r="BW96" s="978">
        <f t="shared" si="34"/>
        <v>0.18458933037571229</v>
      </c>
    </row>
    <row r="97" spans="1:75" hidden="1">
      <c r="A97" s="969">
        <v>2606</v>
      </c>
      <c r="B97" s="968" t="s">
        <v>211</v>
      </c>
      <c r="C97" s="969" t="s">
        <v>829</v>
      </c>
      <c r="D97" s="969" t="s">
        <v>53</v>
      </c>
      <c r="E97" s="955" t="s">
        <v>389</v>
      </c>
      <c r="F97" s="955"/>
      <c r="G97" s="955" t="str">
        <f>IFERROR(VLOOKUP(D97,[3]전용!E:J,6,0),"")</f>
        <v/>
      </c>
      <c r="H97" s="854">
        <v>27900</v>
      </c>
      <c r="I97" s="955">
        <v>5</v>
      </c>
      <c r="J97" s="955" t="s">
        <v>286</v>
      </c>
      <c r="K97" s="955">
        <v>12</v>
      </c>
      <c r="L97" s="970">
        <v>749</v>
      </c>
      <c r="M97" s="971">
        <f t="shared" si="26"/>
        <v>44940</v>
      </c>
      <c r="N97" s="855">
        <v>0.32327783713663871</v>
      </c>
      <c r="O97" s="855"/>
      <c r="P97" s="970">
        <v>749</v>
      </c>
      <c r="Q97" s="970">
        <f t="shared" si="27"/>
        <v>0</v>
      </c>
      <c r="R97" s="971">
        <f t="shared" si="44"/>
        <v>44940</v>
      </c>
      <c r="S97" s="856">
        <f t="shared" si="35"/>
        <v>0.22955731715295652</v>
      </c>
      <c r="T97" s="971"/>
      <c r="U97" s="971">
        <v>6</v>
      </c>
      <c r="V97" s="972"/>
      <c r="W97" s="971">
        <f t="shared" si="36"/>
        <v>4494</v>
      </c>
      <c r="X97" s="971">
        <f t="shared" si="37"/>
        <v>40446</v>
      </c>
      <c r="Y97" s="858">
        <f t="shared" si="38"/>
        <v>-9.9999999999999978E-2</v>
      </c>
      <c r="Z97" s="857">
        <f t="shared" si="39"/>
        <v>1.4496774193548387</v>
      </c>
      <c r="AA97" s="856">
        <v>0.17955731715295653</v>
      </c>
      <c r="AB97" s="856">
        <v>9.1360126040330294E-2</v>
      </c>
      <c r="AC97" s="970">
        <f t="shared" si="28"/>
        <v>749</v>
      </c>
      <c r="AD97" s="970"/>
      <c r="AE97" s="970">
        <f t="shared" si="45"/>
        <v>0</v>
      </c>
      <c r="AF97" s="971">
        <f t="shared" si="40"/>
        <v>44940</v>
      </c>
      <c r="AG97" s="857">
        <f t="shared" si="41"/>
        <v>0</v>
      </c>
      <c r="AH97" s="576">
        <v>0</v>
      </c>
      <c r="AI97" s="856">
        <f t="shared" si="43"/>
        <v>0.1823350949307343</v>
      </c>
      <c r="AJ97" s="859">
        <v>3</v>
      </c>
      <c r="AK97" s="583">
        <v>0</v>
      </c>
      <c r="AL97" s="971">
        <f t="shared" si="42"/>
        <v>2247</v>
      </c>
      <c r="AM97" s="971">
        <f t="shared" si="29"/>
        <v>42693</v>
      </c>
      <c r="AN97" s="858">
        <f t="shared" si="30"/>
        <v>-5.0000000000000044E-2</v>
      </c>
      <c r="AO97" s="857">
        <f t="shared" si="31"/>
        <v>1.5302150537634409</v>
      </c>
      <c r="AP97" s="973">
        <f t="shared" si="32"/>
        <v>2247</v>
      </c>
      <c r="AQ97" s="855">
        <f t="shared" si="33"/>
        <v>5.555555555555558E-2</v>
      </c>
      <c r="AR97" s="974">
        <f t="shared" si="46"/>
        <v>0.20733509493073432</v>
      </c>
      <c r="AS97" s="975"/>
      <c r="AT97" s="976"/>
      <c r="AU97" s="971"/>
      <c r="AV97" s="976"/>
      <c r="AW97" s="970"/>
      <c r="AX97" s="971"/>
      <c r="AY97" s="971"/>
      <c r="AZ97" s="977"/>
      <c r="BA97" s="972"/>
      <c r="BB97" s="971"/>
      <c r="BC97" s="973"/>
      <c r="BD97" s="973"/>
      <c r="BE97" s="855"/>
      <c r="BF97" s="975"/>
      <c r="BG97" s="975"/>
      <c r="BH97" s="971"/>
      <c r="BI97" s="970"/>
      <c r="BJ97" s="971"/>
      <c r="BK97" s="971"/>
      <c r="BL97" s="977"/>
      <c r="BM97" s="972"/>
      <c r="BN97" s="971"/>
      <c r="BO97" s="973"/>
      <c r="BP97" s="973"/>
      <c r="BQ97" s="855"/>
      <c r="BR97" s="975"/>
      <c r="BS97" s="975"/>
      <c r="BT97" s="978"/>
      <c r="BU97" s="978"/>
      <c r="BV97" s="978">
        <v>0.17902733414153801</v>
      </c>
      <c r="BW97" s="978">
        <f t="shared" si="34"/>
        <v>0.17955731715295653</v>
      </c>
    </row>
    <row r="98" spans="1:75" hidden="1">
      <c r="A98" s="969">
        <v>2606</v>
      </c>
      <c r="B98" s="968" t="s">
        <v>211</v>
      </c>
      <c r="C98" s="969" t="s">
        <v>829</v>
      </c>
      <c r="D98" s="969" t="s">
        <v>53</v>
      </c>
      <c r="E98" s="955" t="s">
        <v>389</v>
      </c>
      <c r="F98" s="955"/>
      <c r="G98" s="955" t="str">
        <f>IFERROR(VLOOKUP(D98,[3]전용!E:J,6,0),"")</f>
        <v/>
      </c>
      <c r="H98" s="854">
        <v>27900</v>
      </c>
      <c r="I98" s="955">
        <v>5</v>
      </c>
      <c r="J98" s="955" t="s">
        <v>288</v>
      </c>
      <c r="K98" s="955">
        <v>12</v>
      </c>
      <c r="L98" s="970">
        <v>649</v>
      </c>
      <c r="M98" s="971">
        <f t="shared" si="26"/>
        <v>38940</v>
      </c>
      <c r="N98" s="855">
        <v>0.32327783713663871</v>
      </c>
      <c r="O98" s="855"/>
      <c r="P98" s="970">
        <v>649</v>
      </c>
      <c r="Q98" s="970">
        <f t="shared" si="27"/>
        <v>0</v>
      </c>
      <c r="R98" s="971">
        <f t="shared" si="44"/>
        <v>38940</v>
      </c>
      <c r="S98" s="856">
        <f t="shared" si="35"/>
        <v>0.22955731715295652</v>
      </c>
      <c r="T98" s="971"/>
      <c r="U98" s="971">
        <v>6</v>
      </c>
      <c r="V98" s="972"/>
      <c r="W98" s="971">
        <f t="shared" si="36"/>
        <v>3894</v>
      </c>
      <c r="X98" s="971">
        <f t="shared" si="37"/>
        <v>35046</v>
      </c>
      <c r="Y98" s="858">
        <f t="shared" si="38"/>
        <v>-9.9999999999999978E-2</v>
      </c>
      <c r="Z98" s="857">
        <f t="shared" si="39"/>
        <v>1.2561290322580645</v>
      </c>
      <c r="AA98" s="856">
        <v>0.17955731715295653</v>
      </c>
      <c r="AB98" s="856">
        <v>9.1360126040330294E-2</v>
      </c>
      <c r="AC98" s="970">
        <f t="shared" si="28"/>
        <v>649</v>
      </c>
      <c r="AD98" s="970"/>
      <c r="AE98" s="970">
        <f t="shared" si="45"/>
        <v>0</v>
      </c>
      <c r="AF98" s="971">
        <f t="shared" si="40"/>
        <v>38940</v>
      </c>
      <c r="AG98" s="857">
        <f t="shared" si="41"/>
        <v>0</v>
      </c>
      <c r="AH98" s="576">
        <v>0</v>
      </c>
      <c r="AI98" s="856">
        <f t="shared" si="43"/>
        <v>0.1823350949307343</v>
      </c>
      <c r="AJ98" s="859">
        <v>3</v>
      </c>
      <c r="AK98" s="583">
        <v>0</v>
      </c>
      <c r="AL98" s="971">
        <f t="shared" si="42"/>
        <v>1947</v>
      </c>
      <c r="AM98" s="971">
        <f t="shared" si="29"/>
        <v>36993</v>
      </c>
      <c r="AN98" s="858">
        <f t="shared" si="30"/>
        <v>-5.0000000000000044E-2</v>
      </c>
      <c r="AO98" s="857">
        <f t="shared" si="31"/>
        <v>1.3259139784946237</v>
      </c>
      <c r="AP98" s="973">
        <f t="shared" si="32"/>
        <v>1947</v>
      </c>
      <c r="AQ98" s="855">
        <f t="shared" si="33"/>
        <v>5.555555555555558E-2</v>
      </c>
      <c r="AR98" s="974">
        <f t="shared" si="46"/>
        <v>0.20733509493073432</v>
      </c>
      <c r="AS98" s="975"/>
      <c r="AT98" s="976"/>
      <c r="AU98" s="971"/>
      <c r="AV98" s="976"/>
      <c r="AW98" s="970"/>
      <c r="AX98" s="971"/>
      <c r="AY98" s="971"/>
      <c r="AZ98" s="977"/>
      <c r="BA98" s="972"/>
      <c r="BB98" s="971"/>
      <c r="BC98" s="973"/>
      <c r="BD98" s="973"/>
      <c r="BE98" s="855"/>
      <c r="BF98" s="975"/>
      <c r="BG98" s="975"/>
      <c r="BH98" s="971"/>
      <c r="BI98" s="970"/>
      <c r="BJ98" s="971"/>
      <c r="BK98" s="971"/>
      <c r="BL98" s="977"/>
      <c r="BM98" s="972"/>
      <c r="BN98" s="971"/>
      <c r="BO98" s="973"/>
      <c r="BP98" s="973"/>
      <c r="BQ98" s="855"/>
      <c r="BR98" s="975"/>
      <c r="BS98" s="975"/>
      <c r="BT98" s="978"/>
      <c r="BU98" s="978"/>
      <c r="BV98" s="978">
        <v>0.17902733414153801</v>
      </c>
      <c r="BW98" s="978">
        <f t="shared" si="34"/>
        <v>0.17955731715295653</v>
      </c>
    </row>
    <row r="99" spans="1:75" hidden="1">
      <c r="A99" s="969">
        <v>2606</v>
      </c>
      <c r="B99" s="968" t="s">
        <v>211</v>
      </c>
      <c r="C99" s="969" t="s">
        <v>829</v>
      </c>
      <c r="D99" s="969" t="s">
        <v>53</v>
      </c>
      <c r="E99" s="955" t="s">
        <v>389</v>
      </c>
      <c r="F99" s="955"/>
      <c r="G99" s="955" t="str">
        <f>IFERROR(VLOOKUP(D99,[3]전용!E:J,6,0),"")</f>
        <v/>
      </c>
      <c r="H99" s="854">
        <v>27900</v>
      </c>
      <c r="I99" s="955">
        <v>6</v>
      </c>
      <c r="J99" s="955" t="s">
        <v>286</v>
      </c>
      <c r="K99" s="955">
        <v>12</v>
      </c>
      <c r="L99" s="970">
        <v>649</v>
      </c>
      <c r="M99" s="971">
        <f t="shared" si="26"/>
        <v>46728</v>
      </c>
      <c r="N99" s="855">
        <v>0.32032217211200809</v>
      </c>
      <c r="O99" s="855"/>
      <c r="P99" s="970">
        <v>649</v>
      </c>
      <c r="Q99" s="970">
        <f t="shared" si="27"/>
        <v>0</v>
      </c>
      <c r="R99" s="971">
        <f t="shared" si="44"/>
        <v>46728</v>
      </c>
      <c r="S99" s="856">
        <f t="shared" si="35"/>
        <v>0.22122398381962322</v>
      </c>
      <c r="T99" s="971"/>
      <c r="U99" s="971">
        <v>6</v>
      </c>
      <c r="V99" s="972"/>
      <c r="W99" s="971">
        <f t="shared" si="36"/>
        <v>3894</v>
      </c>
      <c r="X99" s="971">
        <f t="shared" si="37"/>
        <v>42834</v>
      </c>
      <c r="Y99" s="858">
        <f t="shared" si="38"/>
        <v>-8.333333333333337E-2</v>
      </c>
      <c r="Z99" s="857">
        <f t="shared" si="39"/>
        <v>1.535268817204301</v>
      </c>
      <c r="AA99" s="856">
        <v>0.17955731715295653</v>
      </c>
      <c r="AB99" s="856">
        <v>9.1360126040330294E-2</v>
      </c>
      <c r="AC99" s="970">
        <f t="shared" si="28"/>
        <v>649</v>
      </c>
      <c r="AD99" s="970"/>
      <c r="AE99" s="970">
        <f t="shared" si="45"/>
        <v>0</v>
      </c>
      <c r="AF99" s="971">
        <f t="shared" si="40"/>
        <v>46728</v>
      </c>
      <c r="AG99" s="857">
        <f t="shared" si="41"/>
        <v>0</v>
      </c>
      <c r="AH99" s="576">
        <v>0</v>
      </c>
      <c r="AI99" s="856">
        <f t="shared" si="43"/>
        <v>0.18145125654689592</v>
      </c>
      <c r="AJ99" s="859">
        <v>3</v>
      </c>
      <c r="AK99" s="583">
        <v>0</v>
      </c>
      <c r="AL99" s="971">
        <f t="shared" si="42"/>
        <v>1947</v>
      </c>
      <c r="AM99" s="971">
        <f t="shared" si="29"/>
        <v>44781</v>
      </c>
      <c r="AN99" s="858">
        <f t="shared" si="30"/>
        <v>-4.166666666666663E-2</v>
      </c>
      <c r="AO99" s="857">
        <f t="shared" si="31"/>
        <v>1.6050537634408601</v>
      </c>
      <c r="AP99" s="973">
        <f t="shared" si="32"/>
        <v>1947</v>
      </c>
      <c r="AQ99" s="855">
        <f t="shared" si="33"/>
        <v>4.5454545454545414E-2</v>
      </c>
      <c r="AR99" s="974">
        <f t="shared" si="46"/>
        <v>0.20228458988022924</v>
      </c>
      <c r="AS99" s="975"/>
      <c r="AT99" s="976"/>
      <c r="AU99" s="971"/>
      <c r="AV99" s="976"/>
      <c r="AW99" s="970"/>
      <c r="AX99" s="971"/>
      <c r="AY99" s="971"/>
      <c r="AZ99" s="977"/>
      <c r="BA99" s="972"/>
      <c r="BB99" s="971"/>
      <c r="BC99" s="973"/>
      <c r="BD99" s="973"/>
      <c r="BE99" s="855"/>
      <c r="BF99" s="975"/>
      <c r="BG99" s="975"/>
      <c r="BH99" s="971"/>
      <c r="BI99" s="970"/>
      <c r="BJ99" s="971"/>
      <c r="BK99" s="971"/>
      <c r="BL99" s="977"/>
      <c r="BM99" s="972"/>
      <c r="BN99" s="971"/>
      <c r="BO99" s="973"/>
      <c r="BP99" s="973"/>
      <c r="BQ99" s="855"/>
      <c r="BR99" s="975"/>
      <c r="BS99" s="975"/>
      <c r="BT99" s="978"/>
      <c r="BU99" s="978"/>
      <c r="BV99" s="978">
        <v>0.17902733414153801</v>
      </c>
      <c r="BW99" s="978">
        <f t="shared" si="34"/>
        <v>0.17955731715295653</v>
      </c>
    </row>
    <row r="100" spans="1:75" hidden="1">
      <c r="A100" s="980">
        <v>2606</v>
      </c>
      <c r="B100" s="979" t="s">
        <v>211</v>
      </c>
      <c r="C100" s="980" t="s">
        <v>829</v>
      </c>
      <c r="D100" s="980" t="s">
        <v>53</v>
      </c>
      <c r="E100" s="955" t="s">
        <v>389</v>
      </c>
      <c r="F100" s="955"/>
      <c r="G100" s="955" t="str">
        <f>IFERROR(VLOOKUP(D100,[3]전용!E:J,6,0),"")</f>
        <v/>
      </c>
      <c r="H100" s="854">
        <v>27900</v>
      </c>
      <c r="I100" s="955">
        <v>6</v>
      </c>
      <c r="J100" s="955" t="s">
        <v>288</v>
      </c>
      <c r="K100" s="955">
        <v>12</v>
      </c>
      <c r="L100" s="970">
        <v>599</v>
      </c>
      <c r="M100" s="971">
        <f t="shared" si="26"/>
        <v>43128</v>
      </c>
      <c r="N100" s="855">
        <v>0.32032217211200809</v>
      </c>
      <c r="O100" s="855"/>
      <c r="P100" s="970">
        <v>599</v>
      </c>
      <c r="Q100" s="970">
        <f t="shared" si="27"/>
        <v>0</v>
      </c>
      <c r="R100" s="971">
        <f t="shared" si="44"/>
        <v>43128</v>
      </c>
      <c r="S100" s="856">
        <f t="shared" si="35"/>
        <v>0.22122398381962322</v>
      </c>
      <c r="T100" s="971"/>
      <c r="U100" s="971">
        <v>6</v>
      </c>
      <c r="V100" s="972"/>
      <c r="W100" s="971">
        <f t="shared" si="36"/>
        <v>3594</v>
      </c>
      <c r="X100" s="971">
        <f t="shared" si="37"/>
        <v>39534</v>
      </c>
      <c r="Y100" s="858">
        <f t="shared" si="38"/>
        <v>-8.333333333333337E-2</v>
      </c>
      <c r="Z100" s="857">
        <f t="shared" si="39"/>
        <v>1.416989247311828</v>
      </c>
      <c r="AA100" s="856">
        <v>0.17955731715295653</v>
      </c>
      <c r="AB100" s="856">
        <v>9.1360126040330294E-2</v>
      </c>
      <c r="AC100" s="970">
        <f t="shared" si="28"/>
        <v>599</v>
      </c>
      <c r="AD100" s="970"/>
      <c r="AE100" s="970">
        <f t="shared" si="45"/>
        <v>0</v>
      </c>
      <c r="AF100" s="971">
        <f t="shared" si="40"/>
        <v>43128</v>
      </c>
      <c r="AG100" s="857">
        <f t="shared" si="41"/>
        <v>0</v>
      </c>
      <c r="AH100" s="576">
        <v>0</v>
      </c>
      <c r="AI100" s="856">
        <f t="shared" si="43"/>
        <v>0.18145125654689592</v>
      </c>
      <c r="AJ100" s="859">
        <v>3</v>
      </c>
      <c r="AK100" s="583">
        <v>0</v>
      </c>
      <c r="AL100" s="971">
        <f t="shared" si="42"/>
        <v>1797</v>
      </c>
      <c r="AM100" s="971">
        <f t="shared" si="29"/>
        <v>41331</v>
      </c>
      <c r="AN100" s="858">
        <f t="shared" si="30"/>
        <v>-4.166666666666663E-2</v>
      </c>
      <c r="AO100" s="857">
        <f t="shared" si="31"/>
        <v>1.4813978494623656</v>
      </c>
      <c r="AP100" s="973">
        <f t="shared" si="32"/>
        <v>1797</v>
      </c>
      <c r="AQ100" s="855">
        <f t="shared" si="33"/>
        <v>4.5454545454545414E-2</v>
      </c>
      <c r="AR100" s="974">
        <f t="shared" si="46"/>
        <v>0.20228458988022924</v>
      </c>
      <c r="AS100" s="975"/>
      <c r="AT100" s="976"/>
      <c r="AU100" s="971"/>
      <c r="AV100" s="976"/>
      <c r="AW100" s="970"/>
      <c r="AX100" s="971"/>
      <c r="AY100" s="971"/>
      <c r="AZ100" s="977"/>
      <c r="BA100" s="972"/>
      <c r="BB100" s="971"/>
      <c r="BC100" s="973"/>
      <c r="BD100" s="973"/>
      <c r="BE100" s="855"/>
      <c r="BF100" s="975"/>
      <c r="BG100" s="975"/>
      <c r="BH100" s="971"/>
      <c r="BI100" s="970"/>
      <c r="BJ100" s="971"/>
      <c r="BK100" s="971"/>
      <c r="BL100" s="977"/>
      <c r="BM100" s="972"/>
      <c r="BN100" s="971"/>
      <c r="BO100" s="973"/>
      <c r="BP100" s="973"/>
      <c r="BQ100" s="855"/>
      <c r="BR100" s="975"/>
      <c r="BS100" s="975"/>
      <c r="BT100" s="978"/>
      <c r="BU100" s="978"/>
      <c r="BV100" s="978">
        <v>0.17902733414153801</v>
      </c>
      <c r="BW100" s="978">
        <f t="shared" si="34"/>
        <v>0.17955731715295653</v>
      </c>
    </row>
    <row r="101" spans="1:75" hidden="1">
      <c r="A101" s="969">
        <v>2606</v>
      </c>
      <c r="B101" s="968" t="s">
        <v>211</v>
      </c>
      <c r="C101" s="969" t="s">
        <v>829</v>
      </c>
      <c r="D101" s="990" t="s">
        <v>213</v>
      </c>
      <c r="E101" s="955" t="s">
        <v>389</v>
      </c>
      <c r="F101" s="955"/>
      <c r="G101" s="955" t="str">
        <f>IFERROR(VLOOKUP(D101,[3]전용!E:J,6,0),"")</f>
        <v/>
      </c>
      <c r="H101" s="854">
        <v>27111.111111111109</v>
      </c>
      <c r="I101" s="955">
        <v>5</v>
      </c>
      <c r="J101" s="955" t="s">
        <v>286</v>
      </c>
      <c r="K101" s="955">
        <v>12</v>
      </c>
      <c r="L101" s="970">
        <v>499</v>
      </c>
      <c r="M101" s="971">
        <f t="shared" si="26"/>
        <v>29940</v>
      </c>
      <c r="N101" s="855">
        <v>0.15</v>
      </c>
      <c r="O101" s="855"/>
      <c r="P101" s="970">
        <v>499</v>
      </c>
      <c r="Q101" s="970">
        <f t="shared" si="27"/>
        <v>0</v>
      </c>
      <c r="R101" s="971">
        <f t="shared" si="44"/>
        <v>29940</v>
      </c>
      <c r="S101" s="856">
        <f t="shared" si="35"/>
        <v>0.2657970561263393</v>
      </c>
      <c r="T101" s="971"/>
      <c r="U101" s="971"/>
      <c r="V101" s="972">
        <v>0</v>
      </c>
      <c r="W101" s="971">
        <f t="shared" si="36"/>
        <v>0</v>
      </c>
      <c r="X101" s="971">
        <f t="shared" si="37"/>
        <v>29940</v>
      </c>
      <c r="Y101" s="858">
        <f t="shared" si="38"/>
        <v>0</v>
      </c>
      <c r="Z101" s="857">
        <f t="shared" si="39"/>
        <v>1.1043442622950821</v>
      </c>
      <c r="AA101" s="856">
        <v>0.2657970561263393</v>
      </c>
      <c r="AB101" s="856">
        <v>5.0934734715240276E-3</v>
      </c>
      <c r="AC101" s="970">
        <f t="shared" si="28"/>
        <v>499</v>
      </c>
      <c r="AD101" s="970"/>
      <c r="AE101" s="970">
        <f t="shared" si="45"/>
        <v>0</v>
      </c>
      <c r="AF101" s="971">
        <f t="shared" si="40"/>
        <v>29940</v>
      </c>
      <c r="AG101" s="857">
        <f t="shared" si="41"/>
        <v>0</v>
      </c>
      <c r="AH101" s="576">
        <v>0</v>
      </c>
      <c r="AI101" s="856">
        <f t="shared" si="43"/>
        <v>0.2657970561263393</v>
      </c>
      <c r="AJ101" s="859">
        <v>0</v>
      </c>
      <c r="AK101" s="583">
        <v>0</v>
      </c>
      <c r="AL101" s="971">
        <f t="shared" si="42"/>
        <v>0</v>
      </c>
      <c r="AM101" s="971">
        <f t="shared" si="29"/>
        <v>29940</v>
      </c>
      <c r="AN101" s="858">
        <f t="shared" si="30"/>
        <v>0</v>
      </c>
      <c r="AO101" s="857">
        <f t="shared" si="31"/>
        <v>1.1043442622950821</v>
      </c>
      <c r="AP101" s="973">
        <f t="shared" si="32"/>
        <v>0</v>
      </c>
      <c r="AQ101" s="855">
        <f t="shared" si="33"/>
        <v>0</v>
      </c>
      <c r="AR101" s="974">
        <f t="shared" si="46"/>
        <v>0.2657970561263393</v>
      </c>
      <c r="AS101" s="975"/>
      <c r="AT101" s="976"/>
      <c r="AU101" s="971"/>
      <c r="AV101" s="976"/>
      <c r="AW101" s="970"/>
      <c r="AX101" s="971"/>
      <c r="AY101" s="971"/>
      <c r="AZ101" s="977"/>
      <c r="BA101" s="972"/>
      <c r="BB101" s="971"/>
      <c r="BC101" s="973"/>
      <c r="BD101" s="973"/>
      <c r="BE101" s="855"/>
      <c r="BF101" s="975"/>
      <c r="BG101" s="975"/>
      <c r="BH101" s="971"/>
      <c r="BI101" s="970"/>
      <c r="BJ101" s="971"/>
      <c r="BK101" s="971"/>
      <c r="BL101" s="977"/>
      <c r="BM101" s="972"/>
      <c r="BN101" s="971"/>
      <c r="BO101" s="973"/>
      <c r="BP101" s="973"/>
      <c r="BQ101" s="855"/>
      <c r="BR101" s="975"/>
      <c r="BS101" s="975"/>
      <c r="BT101" s="978"/>
      <c r="BU101" s="978"/>
      <c r="BV101" s="978">
        <v>0.16</v>
      </c>
      <c r="BW101" s="978">
        <f t="shared" si="34"/>
        <v>0.2277970561263393</v>
      </c>
    </row>
    <row r="102" spans="1:75" hidden="1">
      <c r="A102" s="969">
        <v>2606</v>
      </c>
      <c r="B102" s="968" t="s">
        <v>211</v>
      </c>
      <c r="C102" s="969" t="s">
        <v>829</v>
      </c>
      <c r="D102" s="990" t="s">
        <v>213</v>
      </c>
      <c r="E102" s="955" t="s">
        <v>389</v>
      </c>
      <c r="F102" s="955"/>
      <c r="G102" s="955" t="str">
        <f>IFERROR(VLOOKUP(D102,[3]전용!E:J,6,0),"")</f>
        <v/>
      </c>
      <c r="H102" s="854">
        <v>27111.111111111109</v>
      </c>
      <c r="I102" s="955">
        <v>5</v>
      </c>
      <c r="J102" s="955" t="s">
        <v>288</v>
      </c>
      <c r="K102" s="955">
        <v>12</v>
      </c>
      <c r="L102" s="970">
        <v>449</v>
      </c>
      <c r="M102" s="971">
        <f t="shared" si="26"/>
        <v>26940</v>
      </c>
      <c r="N102" s="855">
        <v>0.15</v>
      </c>
      <c r="O102" s="855"/>
      <c r="P102" s="970">
        <v>449</v>
      </c>
      <c r="Q102" s="970">
        <f t="shared" si="27"/>
        <v>0</v>
      </c>
      <c r="R102" s="971">
        <f t="shared" si="44"/>
        <v>26940</v>
      </c>
      <c r="S102" s="856">
        <f t="shared" si="35"/>
        <v>0.2657970561263393</v>
      </c>
      <c r="T102" s="971"/>
      <c r="U102" s="971"/>
      <c r="V102" s="972">
        <v>0</v>
      </c>
      <c r="W102" s="971">
        <f t="shared" si="36"/>
        <v>0</v>
      </c>
      <c r="X102" s="971">
        <f t="shared" si="37"/>
        <v>26940</v>
      </c>
      <c r="Y102" s="858">
        <f t="shared" si="38"/>
        <v>0</v>
      </c>
      <c r="Z102" s="857">
        <f t="shared" si="39"/>
        <v>0.99368852459016399</v>
      </c>
      <c r="AA102" s="856">
        <v>0.2657970561263393</v>
      </c>
      <c r="AB102" s="856">
        <v>5.0934734715240276E-3</v>
      </c>
      <c r="AC102" s="970">
        <f t="shared" si="28"/>
        <v>449</v>
      </c>
      <c r="AD102" s="970"/>
      <c r="AE102" s="970">
        <f t="shared" si="45"/>
        <v>0</v>
      </c>
      <c r="AF102" s="971">
        <f t="shared" si="40"/>
        <v>26940</v>
      </c>
      <c r="AG102" s="857">
        <f t="shared" si="41"/>
        <v>0</v>
      </c>
      <c r="AH102" s="576">
        <v>0</v>
      </c>
      <c r="AI102" s="856">
        <f t="shared" si="43"/>
        <v>0.2657970561263393</v>
      </c>
      <c r="AJ102" s="859">
        <v>0</v>
      </c>
      <c r="AK102" s="583">
        <v>0</v>
      </c>
      <c r="AL102" s="971">
        <f t="shared" si="42"/>
        <v>0</v>
      </c>
      <c r="AM102" s="971">
        <f t="shared" si="29"/>
        <v>26940</v>
      </c>
      <c r="AN102" s="858">
        <f t="shared" si="30"/>
        <v>0</v>
      </c>
      <c r="AO102" s="857">
        <f t="shared" si="31"/>
        <v>0.99368852459016399</v>
      </c>
      <c r="AP102" s="973">
        <f t="shared" si="32"/>
        <v>0</v>
      </c>
      <c r="AQ102" s="855">
        <f t="shared" si="33"/>
        <v>0</v>
      </c>
      <c r="AR102" s="974">
        <f t="shared" si="46"/>
        <v>0.2657970561263393</v>
      </c>
      <c r="AS102" s="975"/>
      <c r="AT102" s="976"/>
      <c r="AU102" s="971"/>
      <c r="AV102" s="976"/>
      <c r="AW102" s="970"/>
      <c r="AX102" s="971"/>
      <c r="AY102" s="971"/>
      <c r="AZ102" s="977"/>
      <c r="BA102" s="972"/>
      <c r="BB102" s="971"/>
      <c r="BC102" s="973"/>
      <c r="BD102" s="973"/>
      <c r="BE102" s="855"/>
      <c r="BF102" s="975"/>
      <c r="BG102" s="975"/>
      <c r="BH102" s="971"/>
      <c r="BI102" s="970"/>
      <c r="BJ102" s="971"/>
      <c r="BK102" s="971"/>
      <c r="BL102" s="977"/>
      <c r="BM102" s="972"/>
      <c r="BN102" s="971"/>
      <c r="BO102" s="973"/>
      <c r="BP102" s="973"/>
      <c r="BQ102" s="855"/>
      <c r="BR102" s="975"/>
      <c r="BS102" s="975"/>
      <c r="BT102" s="978"/>
      <c r="BU102" s="978"/>
      <c r="BV102" s="978">
        <v>0.16</v>
      </c>
      <c r="BW102" s="978">
        <f t="shared" si="34"/>
        <v>0.2277970561263393</v>
      </c>
    </row>
    <row r="103" spans="1:75" hidden="1">
      <c r="A103" s="969">
        <v>2606</v>
      </c>
      <c r="B103" s="968" t="s">
        <v>211</v>
      </c>
      <c r="C103" s="969" t="s">
        <v>829</v>
      </c>
      <c r="D103" s="990" t="s">
        <v>213</v>
      </c>
      <c r="E103" s="955" t="s">
        <v>389</v>
      </c>
      <c r="F103" s="955"/>
      <c r="G103" s="955" t="str">
        <f>IFERROR(VLOOKUP(D103,[3]전용!E:J,6,0),"")</f>
        <v/>
      </c>
      <c r="H103" s="854">
        <v>27111.111111111109</v>
      </c>
      <c r="I103" s="955">
        <v>6</v>
      </c>
      <c r="J103" s="955" t="s">
        <v>286</v>
      </c>
      <c r="K103" s="955">
        <v>12</v>
      </c>
      <c r="L103" s="970">
        <v>749</v>
      </c>
      <c r="M103" s="971">
        <f t="shared" si="26"/>
        <v>53928</v>
      </c>
      <c r="N103" s="855">
        <v>0.15</v>
      </c>
      <c r="O103" s="855"/>
      <c r="P103" s="970">
        <v>449</v>
      </c>
      <c r="Q103" s="970">
        <f t="shared" si="27"/>
        <v>300</v>
      </c>
      <c r="R103" s="971">
        <f t="shared" si="44"/>
        <v>32328</v>
      </c>
      <c r="S103" s="856">
        <f t="shared" si="35"/>
        <v>0.2657970561263393</v>
      </c>
      <c r="T103" s="971"/>
      <c r="U103" s="971"/>
      <c r="V103" s="972">
        <v>0</v>
      </c>
      <c r="W103" s="971">
        <f t="shared" si="36"/>
        <v>0</v>
      </c>
      <c r="X103" s="971">
        <f t="shared" si="37"/>
        <v>32328</v>
      </c>
      <c r="Y103" s="858">
        <f t="shared" si="38"/>
        <v>0</v>
      </c>
      <c r="Z103" s="857">
        <f t="shared" si="39"/>
        <v>1.1924262295081969</v>
      </c>
      <c r="AA103" s="856">
        <v>0.2657970561263393</v>
      </c>
      <c r="AB103" s="856">
        <v>5.0934734715240276E-3</v>
      </c>
      <c r="AC103" s="970">
        <f t="shared" si="28"/>
        <v>449</v>
      </c>
      <c r="AD103" s="970"/>
      <c r="AE103" s="970">
        <f t="shared" si="45"/>
        <v>0</v>
      </c>
      <c r="AF103" s="971">
        <f t="shared" si="40"/>
        <v>32328</v>
      </c>
      <c r="AG103" s="857">
        <f t="shared" si="41"/>
        <v>0</v>
      </c>
      <c r="AH103" s="576">
        <v>0</v>
      </c>
      <c r="AI103" s="856">
        <f t="shared" si="43"/>
        <v>0.2657970561263393</v>
      </c>
      <c r="AJ103" s="859">
        <v>0</v>
      </c>
      <c r="AK103" s="583">
        <v>0</v>
      </c>
      <c r="AL103" s="971">
        <f t="shared" si="42"/>
        <v>0</v>
      </c>
      <c r="AM103" s="971">
        <f t="shared" si="29"/>
        <v>32328</v>
      </c>
      <c r="AN103" s="858">
        <f t="shared" si="30"/>
        <v>0</v>
      </c>
      <c r="AO103" s="857">
        <f t="shared" si="31"/>
        <v>1.1924262295081969</v>
      </c>
      <c r="AP103" s="973">
        <f t="shared" si="32"/>
        <v>0</v>
      </c>
      <c r="AQ103" s="855">
        <f t="shared" si="33"/>
        <v>0</v>
      </c>
      <c r="AR103" s="974">
        <f t="shared" si="46"/>
        <v>0.2657970561263393</v>
      </c>
      <c r="AS103" s="975"/>
      <c r="AT103" s="976"/>
      <c r="AU103" s="971"/>
      <c r="AV103" s="976"/>
      <c r="AW103" s="970"/>
      <c r="AX103" s="971"/>
      <c r="AY103" s="971"/>
      <c r="AZ103" s="977"/>
      <c r="BA103" s="972"/>
      <c r="BB103" s="971"/>
      <c r="BC103" s="973"/>
      <c r="BD103" s="973"/>
      <c r="BE103" s="855"/>
      <c r="BF103" s="975"/>
      <c r="BG103" s="975"/>
      <c r="BH103" s="971"/>
      <c r="BI103" s="970"/>
      <c r="BJ103" s="971"/>
      <c r="BK103" s="971"/>
      <c r="BL103" s="977"/>
      <c r="BM103" s="972"/>
      <c r="BN103" s="971"/>
      <c r="BO103" s="973"/>
      <c r="BP103" s="973"/>
      <c r="BQ103" s="855"/>
      <c r="BR103" s="975"/>
      <c r="BS103" s="975"/>
      <c r="BT103" s="978"/>
      <c r="BU103" s="978"/>
      <c r="BV103" s="978">
        <v>0.16</v>
      </c>
      <c r="BW103" s="978">
        <f t="shared" si="34"/>
        <v>0.2277970561263393</v>
      </c>
    </row>
    <row r="104" spans="1:75" hidden="1">
      <c r="A104" s="980">
        <v>2606</v>
      </c>
      <c r="B104" s="979" t="s">
        <v>211</v>
      </c>
      <c r="C104" s="980" t="s">
        <v>829</v>
      </c>
      <c r="D104" s="991" t="s">
        <v>213</v>
      </c>
      <c r="E104" s="955" t="s">
        <v>389</v>
      </c>
      <c r="F104" s="955"/>
      <c r="G104" s="955" t="str">
        <f>IFERROR(VLOOKUP(D104,[3]전용!E:J,6,0),"")</f>
        <v/>
      </c>
      <c r="H104" s="854">
        <v>27111.111111111109</v>
      </c>
      <c r="I104" s="955">
        <v>6</v>
      </c>
      <c r="J104" s="955" t="s">
        <v>288</v>
      </c>
      <c r="K104" s="955">
        <v>12</v>
      </c>
      <c r="L104" s="970">
        <v>649</v>
      </c>
      <c r="M104" s="971">
        <f t="shared" si="26"/>
        <v>46728</v>
      </c>
      <c r="N104" s="855">
        <v>0.15</v>
      </c>
      <c r="O104" s="855"/>
      <c r="P104" s="970">
        <v>399</v>
      </c>
      <c r="Q104" s="970">
        <f t="shared" si="27"/>
        <v>250</v>
      </c>
      <c r="R104" s="971">
        <f t="shared" si="44"/>
        <v>28728</v>
      </c>
      <c r="S104" s="856">
        <f t="shared" si="35"/>
        <v>0.2657970561263393</v>
      </c>
      <c r="T104" s="971"/>
      <c r="U104" s="971"/>
      <c r="V104" s="972">
        <v>0</v>
      </c>
      <c r="W104" s="971">
        <f t="shared" si="36"/>
        <v>0</v>
      </c>
      <c r="X104" s="971">
        <f t="shared" si="37"/>
        <v>28728</v>
      </c>
      <c r="Y104" s="858">
        <f t="shared" si="38"/>
        <v>0</v>
      </c>
      <c r="Z104" s="857">
        <f t="shared" si="39"/>
        <v>1.0596393442622951</v>
      </c>
      <c r="AA104" s="856">
        <v>0.2657970561263393</v>
      </c>
      <c r="AB104" s="856">
        <v>5.0934734715240276E-3</v>
      </c>
      <c r="AC104" s="970">
        <f t="shared" si="28"/>
        <v>399</v>
      </c>
      <c r="AD104" s="970"/>
      <c r="AE104" s="970">
        <f t="shared" si="45"/>
        <v>0</v>
      </c>
      <c r="AF104" s="971">
        <f t="shared" si="40"/>
        <v>28728</v>
      </c>
      <c r="AG104" s="857">
        <f t="shared" si="41"/>
        <v>0</v>
      </c>
      <c r="AH104" s="576">
        <v>0</v>
      </c>
      <c r="AI104" s="856">
        <f t="shared" si="43"/>
        <v>0.2657970561263393</v>
      </c>
      <c r="AJ104" s="859">
        <v>0</v>
      </c>
      <c r="AK104" s="583">
        <v>0</v>
      </c>
      <c r="AL104" s="971">
        <f t="shared" si="42"/>
        <v>0</v>
      </c>
      <c r="AM104" s="971">
        <f t="shared" si="29"/>
        <v>28728</v>
      </c>
      <c r="AN104" s="858">
        <f t="shared" si="30"/>
        <v>0</v>
      </c>
      <c r="AO104" s="857">
        <f t="shared" si="31"/>
        <v>1.0596393442622951</v>
      </c>
      <c r="AP104" s="973">
        <f t="shared" si="32"/>
        <v>0</v>
      </c>
      <c r="AQ104" s="855">
        <f t="shared" si="33"/>
        <v>0</v>
      </c>
      <c r="AR104" s="974">
        <f t="shared" si="46"/>
        <v>0.2657970561263393</v>
      </c>
      <c r="AS104" s="975"/>
      <c r="AT104" s="976"/>
      <c r="AU104" s="971"/>
      <c r="AV104" s="976"/>
      <c r="AW104" s="970"/>
      <c r="AX104" s="971"/>
      <c r="AY104" s="971"/>
      <c r="AZ104" s="977"/>
      <c r="BA104" s="972"/>
      <c r="BB104" s="971"/>
      <c r="BC104" s="973"/>
      <c r="BD104" s="973"/>
      <c r="BE104" s="855"/>
      <c r="BF104" s="975"/>
      <c r="BG104" s="975"/>
      <c r="BH104" s="971"/>
      <c r="BI104" s="970"/>
      <c r="BJ104" s="971"/>
      <c r="BK104" s="971"/>
      <c r="BL104" s="977"/>
      <c r="BM104" s="972"/>
      <c r="BN104" s="971"/>
      <c r="BO104" s="973"/>
      <c r="BP104" s="973"/>
      <c r="BQ104" s="855"/>
      <c r="BR104" s="975"/>
      <c r="BS104" s="975"/>
      <c r="BT104" s="978"/>
      <c r="BU104" s="978"/>
      <c r="BV104" s="978">
        <v>0.26579705612633936</v>
      </c>
      <c r="BW104" s="978">
        <f t="shared" si="34"/>
        <v>0.2277970561263393</v>
      </c>
    </row>
    <row r="105" spans="1:75" hidden="1">
      <c r="A105" s="969">
        <v>2606</v>
      </c>
      <c r="B105" s="968" t="s">
        <v>211</v>
      </c>
      <c r="C105" s="969" t="s">
        <v>829</v>
      </c>
      <c r="D105" s="969" t="s">
        <v>19</v>
      </c>
      <c r="E105" s="955" t="s">
        <v>389</v>
      </c>
      <c r="F105" s="955"/>
      <c r="G105" s="955" t="str">
        <f>IFERROR(VLOOKUP(D105,[3]전용!E:J,6,0),"")</f>
        <v/>
      </c>
      <c r="H105" s="854">
        <v>24300</v>
      </c>
      <c r="I105" s="955">
        <v>5</v>
      </c>
      <c r="J105" s="955" t="s">
        <v>286</v>
      </c>
      <c r="K105" s="955">
        <v>12</v>
      </c>
      <c r="L105" s="970">
        <v>749</v>
      </c>
      <c r="M105" s="971">
        <f t="shared" si="26"/>
        <v>44940</v>
      </c>
      <c r="N105" s="855">
        <v>0.35632358487813115</v>
      </c>
      <c r="O105" s="855"/>
      <c r="P105" s="970">
        <v>699</v>
      </c>
      <c r="Q105" s="970">
        <f t="shared" si="27"/>
        <v>50</v>
      </c>
      <c r="R105" s="971">
        <f t="shared" si="44"/>
        <v>41940</v>
      </c>
      <c r="S105" s="856">
        <f t="shared" si="35"/>
        <v>0.26896605566384635</v>
      </c>
      <c r="T105" s="971"/>
      <c r="U105" s="971"/>
      <c r="V105" s="972">
        <v>6</v>
      </c>
      <c r="W105" s="971">
        <f t="shared" si="36"/>
        <v>2097</v>
      </c>
      <c r="X105" s="971">
        <f t="shared" si="37"/>
        <v>39843</v>
      </c>
      <c r="Y105" s="858">
        <f t="shared" si="38"/>
        <v>-5.0000000000000044E-2</v>
      </c>
      <c r="Z105" s="857">
        <f t="shared" si="39"/>
        <v>1.6396296296296295</v>
      </c>
      <c r="AA105" s="856">
        <v>0.24396605566384635</v>
      </c>
      <c r="AB105" s="856">
        <v>6.5112074239466758E-2</v>
      </c>
      <c r="AC105" s="970">
        <f t="shared" si="28"/>
        <v>699</v>
      </c>
      <c r="AD105" s="970"/>
      <c r="AE105" s="970">
        <f t="shared" si="45"/>
        <v>0</v>
      </c>
      <c r="AF105" s="971">
        <f t="shared" si="40"/>
        <v>41940</v>
      </c>
      <c r="AG105" s="857">
        <f t="shared" si="41"/>
        <v>0</v>
      </c>
      <c r="AH105" s="576">
        <v>0</v>
      </c>
      <c r="AI105" s="856">
        <f t="shared" si="43"/>
        <v>0.21896605566384633</v>
      </c>
      <c r="AJ105" s="859">
        <v>0</v>
      </c>
      <c r="AK105" s="583">
        <v>6</v>
      </c>
      <c r="AL105" s="971">
        <f t="shared" si="42"/>
        <v>2097</v>
      </c>
      <c r="AM105" s="971">
        <f t="shared" si="29"/>
        <v>39843</v>
      </c>
      <c r="AN105" s="858">
        <f t="shared" si="30"/>
        <v>-5.0000000000000044E-2</v>
      </c>
      <c r="AO105" s="857">
        <f t="shared" si="31"/>
        <v>1.6396296296296295</v>
      </c>
      <c r="AP105" s="973">
        <f t="shared" si="32"/>
        <v>0</v>
      </c>
      <c r="AQ105" s="855">
        <f t="shared" si="33"/>
        <v>0</v>
      </c>
      <c r="AR105" s="974">
        <f t="shared" si="46"/>
        <v>0.24396605566384635</v>
      </c>
      <c r="AS105" s="975"/>
      <c r="AT105" s="976"/>
      <c r="AU105" s="971"/>
      <c r="AV105" s="976"/>
      <c r="AW105" s="970"/>
      <c r="AX105" s="971"/>
      <c r="AY105" s="971"/>
      <c r="AZ105" s="977"/>
      <c r="BA105" s="972"/>
      <c r="BB105" s="971"/>
      <c r="BC105" s="973"/>
      <c r="BD105" s="973"/>
      <c r="BE105" s="855"/>
      <c r="BF105" s="975"/>
      <c r="BG105" s="975"/>
      <c r="BH105" s="971"/>
      <c r="BI105" s="970"/>
      <c r="BJ105" s="971"/>
      <c r="BK105" s="971"/>
      <c r="BL105" s="977"/>
      <c r="BM105" s="972"/>
      <c r="BN105" s="971"/>
      <c r="BO105" s="973"/>
      <c r="BP105" s="973"/>
      <c r="BQ105" s="855"/>
      <c r="BR105" s="975"/>
      <c r="BS105" s="975"/>
      <c r="BT105" s="978"/>
      <c r="BU105" s="978"/>
      <c r="BV105" s="978">
        <v>0.24345987500855631</v>
      </c>
      <c r="BW105" s="978">
        <f t="shared" si="34"/>
        <v>0.20596605566384635</v>
      </c>
    </row>
    <row r="106" spans="1:75" hidden="1">
      <c r="A106" s="969">
        <v>2606</v>
      </c>
      <c r="B106" s="968" t="s">
        <v>211</v>
      </c>
      <c r="C106" s="969" t="s">
        <v>829</v>
      </c>
      <c r="D106" s="969" t="s">
        <v>19</v>
      </c>
      <c r="E106" s="955" t="s">
        <v>389</v>
      </c>
      <c r="F106" s="955"/>
      <c r="G106" s="955" t="str">
        <f>IFERROR(VLOOKUP(D106,[3]전용!E:J,6,0),"")</f>
        <v/>
      </c>
      <c r="H106" s="854">
        <v>24300</v>
      </c>
      <c r="I106" s="955">
        <v>5</v>
      </c>
      <c r="J106" s="955" t="s">
        <v>288</v>
      </c>
      <c r="K106" s="955">
        <v>12</v>
      </c>
      <c r="L106" s="970">
        <v>649</v>
      </c>
      <c r="M106" s="971">
        <f t="shared" si="26"/>
        <v>38940</v>
      </c>
      <c r="N106" s="855">
        <v>0.3730515315895841</v>
      </c>
      <c r="O106" s="855"/>
      <c r="P106" s="970">
        <v>599</v>
      </c>
      <c r="Q106" s="970">
        <f t="shared" si="27"/>
        <v>50</v>
      </c>
      <c r="R106" s="971">
        <f t="shared" si="44"/>
        <v>35940</v>
      </c>
      <c r="S106" s="856">
        <f t="shared" si="35"/>
        <v>0.26896605566384635</v>
      </c>
      <c r="T106" s="971"/>
      <c r="U106" s="971"/>
      <c r="V106" s="972">
        <v>6</v>
      </c>
      <c r="W106" s="971">
        <f t="shared" si="36"/>
        <v>1797</v>
      </c>
      <c r="X106" s="971">
        <f t="shared" si="37"/>
        <v>34143</v>
      </c>
      <c r="Y106" s="858">
        <f t="shared" si="38"/>
        <v>-5.0000000000000044E-2</v>
      </c>
      <c r="Z106" s="857">
        <f t="shared" si="39"/>
        <v>1.4050617283950617</v>
      </c>
      <c r="AA106" s="856">
        <v>0.24396605566384635</v>
      </c>
      <c r="AB106" s="856">
        <v>6.5112074239466758E-2</v>
      </c>
      <c r="AC106" s="970">
        <f t="shared" si="28"/>
        <v>599</v>
      </c>
      <c r="AD106" s="970"/>
      <c r="AE106" s="970">
        <f t="shared" si="45"/>
        <v>0</v>
      </c>
      <c r="AF106" s="971">
        <f t="shared" si="40"/>
        <v>35940</v>
      </c>
      <c r="AG106" s="857">
        <f t="shared" si="41"/>
        <v>0</v>
      </c>
      <c r="AH106" s="576">
        <v>0</v>
      </c>
      <c r="AI106" s="856">
        <f t="shared" si="43"/>
        <v>0.21896605566384633</v>
      </c>
      <c r="AJ106" s="859">
        <v>0</v>
      </c>
      <c r="AK106" s="583">
        <v>6</v>
      </c>
      <c r="AL106" s="971">
        <f t="shared" si="42"/>
        <v>1797</v>
      </c>
      <c r="AM106" s="971">
        <f t="shared" si="29"/>
        <v>34143</v>
      </c>
      <c r="AN106" s="858">
        <f t="shared" si="30"/>
        <v>-5.0000000000000044E-2</v>
      </c>
      <c r="AO106" s="857">
        <f t="shared" si="31"/>
        <v>1.4050617283950617</v>
      </c>
      <c r="AP106" s="973">
        <f t="shared" si="32"/>
        <v>0</v>
      </c>
      <c r="AQ106" s="855">
        <f t="shared" si="33"/>
        <v>0</v>
      </c>
      <c r="AR106" s="974">
        <f t="shared" si="46"/>
        <v>0.24396605566384635</v>
      </c>
      <c r="AS106" s="975"/>
      <c r="AT106" s="976"/>
      <c r="AU106" s="971"/>
      <c r="AV106" s="976"/>
      <c r="AW106" s="970"/>
      <c r="AX106" s="971"/>
      <c r="AY106" s="971"/>
      <c r="AZ106" s="977"/>
      <c r="BA106" s="972"/>
      <c r="BB106" s="971"/>
      <c r="BC106" s="973"/>
      <c r="BD106" s="973"/>
      <c r="BE106" s="855"/>
      <c r="BF106" s="975"/>
      <c r="BG106" s="975"/>
      <c r="BH106" s="971"/>
      <c r="BI106" s="970"/>
      <c r="BJ106" s="971"/>
      <c r="BK106" s="971"/>
      <c r="BL106" s="977"/>
      <c r="BM106" s="972"/>
      <c r="BN106" s="971"/>
      <c r="BO106" s="973"/>
      <c r="BP106" s="973"/>
      <c r="BQ106" s="855"/>
      <c r="BR106" s="975"/>
      <c r="BS106" s="975"/>
      <c r="BT106" s="978"/>
      <c r="BU106" s="978"/>
      <c r="BV106" s="978">
        <v>0.24345987500855631</v>
      </c>
      <c r="BW106" s="978">
        <f t="shared" si="34"/>
        <v>0.20596605566384635</v>
      </c>
    </row>
    <row r="107" spans="1:75" hidden="1">
      <c r="A107" s="969">
        <v>2606</v>
      </c>
      <c r="B107" s="968" t="s">
        <v>211</v>
      </c>
      <c r="C107" s="969" t="s">
        <v>829</v>
      </c>
      <c r="D107" s="969" t="s">
        <v>19</v>
      </c>
      <c r="E107" s="955" t="s">
        <v>389</v>
      </c>
      <c r="F107" s="955"/>
      <c r="G107" s="955" t="str">
        <f>IFERROR(VLOOKUP(D107,[3]전용!E:J,6,0),"")</f>
        <v/>
      </c>
      <c r="H107" s="854">
        <v>24300</v>
      </c>
      <c r="I107" s="955">
        <v>6</v>
      </c>
      <c r="J107" s="955" t="s">
        <v>286</v>
      </c>
      <c r="K107" s="955">
        <v>12</v>
      </c>
      <c r="L107" s="970">
        <v>1249</v>
      </c>
      <c r="M107" s="971">
        <f t="shared" si="26"/>
        <v>89928</v>
      </c>
      <c r="N107" s="855">
        <v>0.3730515315895841</v>
      </c>
      <c r="O107" s="855"/>
      <c r="P107" s="970">
        <v>599</v>
      </c>
      <c r="Q107" s="970">
        <f t="shared" si="27"/>
        <v>650</v>
      </c>
      <c r="R107" s="971">
        <f t="shared" si="44"/>
        <v>43128</v>
      </c>
      <c r="S107" s="856">
        <f t="shared" si="35"/>
        <v>0.2647993889971797</v>
      </c>
      <c r="T107" s="971"/>
      <c r="U107" s="971"/>
      <c r="V107" s="972">
        <v>6</v>
      </c>
      <c r="W107" s="971">
        <f t="shared" si="36"/>
        <v>1797</v>
      </c>
      <c r="X107" s="971">
        <f t="shared" si="37"/>
        <v>41331</v>
      </c>
      <c r="Y107" s="858">
        <f t="shared" si="38"/>
        <v>-4.166666666666663E-2</v>
      </c>
      <c r="Z107" s="857">
        <f t="shared" si="39"/>
        <v>1.7008641975308643</v>
      </c>
      <c r="AA107" s="856">
        <v>0.24396605566384635</v>
      </c>
      <c r="AB107" s="856">
        <v>6.5112074239466758E-2</v>
      </c>
      <c r="AC107" s="970">
        <f t="shared" si="28"/>
        <v>599</v>
      </c>
      <c r="AD107" s="970"/>
      <c r="AE107" s="970">
        <f t="shared" si="45"/>
        <v>0</v>
      </c>
      <c r="AF107" s="971">
        <f t="shared" si="40"/>
        <v>43128</v>
      </c>
      <c r="AG107" s="857">
        <f t="shared" si="41"/>
        <v>0</v>
      </c>
      <c r="AH107" s="576">
        <v>0</v>
      </c>
      <c r="AI107" s="856">
        <f t="shared" si="43"/>
        <v>0.22313272233051304</v>
      </c>
      <c r="AJ107" s="859">
        <v>0</v>
      </c>
      <c r="AK107" s="583">
        <v>6</v>
      </c>
      <c r="AL107" s="971">
        <f t="shared" si="42"/>
        <v>1797</v>
      </c>
      <c r="AM107" s="971">
        <f t="shared" si="29"/>
        <v>41331</v>
      </c>
      <c r="AN107" s="858">
        <f t="shared" si="30"/>
        <v>-4.166666666666663E-2</v>
      </c>
      <c r="AO107" s="857">
        <f t="shared" si="31"/>
        <v>1.7008641975308643</v>
      </c>
      <c r="AP107" s="973">
        <f t="shared" si="32"/>
        <v>0</v>
      </c>
      <c r="AQ107" s="855">
        <f t="shared" si="33"/>
        <v>0</v>
      </c>
      <c r="AR107" s="974">
        <f t="shared" si="46"/>
        <v>0.24396605566384635</v>
      </c>
      <c r="AS107" s="975"/>
      <c r="AT107" s="976"/>
      <c r="AU107" s="971"/>
      <c r="AV107" s="976"/>
      <c r="AW107" s="970"/>
      <c r="AX107" s="971"/>
      <c r="AY107" s="971"/>
      <c r="AZ107" s="977"/>
      <c r="BA107" s="972"/>
      <c r="BB107" s="971"/>
      <c r="BC107" s="973"/>
      <c r="BD107" s="973"/>
      <c r="BE107" s="855"/>
      <c r="BF107" s="975"/>
      <c r="BG107" s="975"/>
      <c r="BH107" s="971"/>
      <c r="BI107" s="970"/>
      <c r="BJ107" s="971"/>
      <c r="BK107" s="971"/>
      <c r="BL107" s="977"/>
      <c r="BM107" s="972"/>
      <c r="BN107" s="971"/>
      <c r="BO107" s="973"/>
      <c r="BP107" s="973"/>
      <c r="BQ107" s="855"/>
      <c r="BR107" s="975"/>
      <c r="BS107" s="975"/>
      <c r="BT107" s="978"/>
      <c r="BU107" s="978"/>
      <c r="BV107" s="978">
        <v>0.24345987500855631</v>
      </c>
      <c r="BW107" s="978">
        <f t="shared" si="34"/>
        <v>0.20596605566384635</v>
      </c>
    </row>
    <row r="108" spans="1:75" hidden="1">
      <c r="A108" s="980">
        <v>2606</v>
      </c>
      <c r="B108" s="979" t="s">
        <v>211</v>
      </c>
      <c r="C108" s="980" t="s">
        <v>829</v>
      </c>
      <c r="D108" s="980" t="s">
        <v>19</v>
      </c>
      <c r="E108" s="955" t="s">
        <v>389</v>
      </c>
      <c r="F108" s="955"/>
      <c r="G108" s="955" t="str">
        <f>IFERROR(VLOOKUP(D108,[3]전용!E:J,6,0),"")</f>
        <v/>
      </c>
      <c r="H108" s="854">
        <v>24300</v>
      </c>
      <c r="I108" s="955">
        <v>6</v>
      </c>
      <c r="J108" s="955" t="s">
        <v>288</v>
      </c>
      <c r="K108" s="955">
        <v>12</v>
      </c>
      <c r="L108" s="970">
        <v>1249</v>
      </c>
      <c r="M108" s="971">
        <f t="shared" si="26"/>
        <v>89928</v>
      </c>
      <c r="N108" s="855">
        <v>0.38420970539822591</v>
      </c>
      <c r="O108" s="855"/>
      <c r="P108" s="970">
        <v>549</v>
      </c>
      <c r="Q108" s="970">
        <f t="shared" si="27"/>
        <v>700</v>
      </c>
      <c r="R108" s="971">
        <f t="shared" si="44"/>
        <v>39528</v>
      </c>
      <c r="S108" s="856">
        <f t="shared" si="35"/>
        <v>0.2647993889971797</v>
      </c>
      <c r="T108" s="971"/>
      <c r="U108" s="971"/>
      <c r="V108" s="972">
        <v>6</v>
      </c>
      <c r="W108" s="971">
        <f t="shared" si="36"/>
        <v>1647</v>
      </c>
      <c r="X108" s="971">
        <f t="shared" si="37"/>
        <v>37881</v>
      </c>
      <c r="Y108" s="858">
        <f t="shared" si="38"/>
        <v>-4.166666666666663E-2</v>
      </c>
      <c r="Z108" s="857">
        <f t="shared" si="39"/>
        <v>1.558888888888889</v>
      </c>
      <c r="AA108" s="856">
        <v>0.24396605566384635</v>
      </c>
      <c r="AB108" s="856">
        <v>6.5112074239466758E-2</v>
      </c>
      <c r="AC108" s="970">
        <f t="shared" si="28"/>
        <v>549</v>
      </c>
      <c r="AD108" s="970"/>
      <c r="AE108" s="970">
        <f t="shared" si="45"/>
        <v>0</v>
      </c>
      <c r="AF108" s="971">
        <f t="shared" si="40"/>
        <v>39528</v>
      </c>
      <c r="AG108" s="857">
        <f t="shared" si="41"/>
        <v>0</v>
      </c>
      <c r="AH108" s="576">
        <v>0</v>
      </c>
      <c r="AI108" s="856">
        <f t="shared" si="43"/>
        <v>0.22313272233051304</v>
      </c>
      <c r="AJ108" s="859">
        <v>0</v>
      </c>
      <c r="AK108" s="583">
        <v>6</v>
      </c>
      <c r="AL108" s="971">
        <f t="shared" si="42"/>
        <v>1647</v>
      </c>
      <c r="AM108" s="971">
        <f t="shared" si="29"/>
        <v>37881</v>
      </c>
      <c r="AN108" s="858">
        <f t="shared" si="30"/>
        <v>-4.166666666666663E-2</v>
      </c>
      <c r="AO108" s="857">
        <f t="shared" si="31"/>
        <v>1.558888888888889</v>
      </c>
      <c r="AP108" s="973">
        <f t="shared" si="32"/>
        <v>0</v>
      </c>
      <c r="AQ108" s="855">
        <f t="shared" si="33"/>
        <v>0</v>
      </c>
      <c r="AR108" s="974">
        <f t="shared" si="46"/>
        <v>0.24396605566384635</v>
      </c>
      <c r="AS108" s="975"/>
      <c r="AT108" s="976"/>
      <c r="AU108" s="971"/>
      <c r="AV108" s="976"/>
      <c r="AW108" s="970"/>
      <c r="AX108" s="971"/>
      <c r="AY108" s="971"/>
      <c r="AZ108" s="977"/>
      <c r="BA108" s="972"/>
      <c r="BB108" s="971"/>
      <c r="BC108" s="973"/>
      <c r="BD108" s="973"/>
      <c r="BE108" s="855"/>
      <c r="BF108" s="975"/>
      <c r="BG108" s="975"/>
      <c r="BH108" s="971"/>
      <c r="BI108" s="970"/>
      <c r="BJ108" s="971"/>
      <c r="BK108" s="971"/>
      <c r="BL108" s="977"/>
      <c r="BM108" s="972"/>
      <c r="BN108" s="971"/>
      <c r="BO108" s="973"/>
      <c r="BP108" s="973"/>
      <c r="BQ108" s="855"/>
      <c r="BR108" s="975"/>
      <c r="BS108" s="975"/>
      <c r="BT108" s="978"/>
      <c r="BU108" s="978"/>
      <c r="BV108" s="978">
        <v>0.24345987500855631</v>
      </c>
      <c r="BW108" s="978">
        <f t="shared" si="34"/>
        <v>0.20596605566384635</v>
      </c>
    </row>
    <row r="109" spans="1:75">
      <c r="A109" s="969">
        <v>2606</v>
      </c>
      <c r="B109" s="968" t="s">
        <v>211</v>
      </c>
      <c r="C109" s="969" t="s">
        <v>833</v>
      </c>
      <c r="D109" s="990" t="s">
        <v>87</v>
      </c>
      <c r="E109" s="955" t="s">
        <v>389</v>
      </c>
      <c r="F109" s="955"/>
      <c r="G109" s="955" t="str">
        <f>IFERROR(VLOOKUP(D109,[3]전용!E:J,6,0),"")</f>
        <v/>
      </c>
      <c r="H109" s="854">
        <v>29900</v>
      </c>
      <c r="I109" s="955">
        <v>5</v>
      </c>
      <c r="J109" s="955" t="s">
        <v>286</v>
      </c>
      <c r="K109" s="955">
        <v>12</v>
      </c>
      <c r="L109" s="970">
        <v>749</v>
      </c>
      <c r="M109" s="971">
        <f t="shared" si="26"/>
        <v>44940</v>
      </c>
      <c r="N109" s="855">
        <v>0.21863756007439133</v>
      </c>
      <c r="O109" s="855"/>
      <c r="P109" s="970">
        <v>749</v>
      </c>
      <c r="Q109" s="970">
        <f t="shared" si="27"/>
        <v>0</v>
      </c>
      <c r="R109" s="971">
        <f t="shared" si="44"/>
        <v>44940</v>
      </c>
      <c r="S109" s="856">
        <f t="shared" si="35"/>
        <v>3.1027546473434926E-2</v>
      </c>
      <c r="T109" s="971"/>
      <c r="U109" s="971"/>
      <c r="V109" s="972">
        <v>0</v>
      </c>
      <c r="W109" s="971">
        <f t="shared" si="36"/>
        <v>0</v>
      </c>
      <c r="X109" s="971">
        <f t="shared" si="37"/>
        <v>44940</v>
      </c>
      <c r="Y109" s="858">
        <f t="shared" si="38"/>
        <v>0</v>
      </c>
      <c r="Z109" s="857">
        <f t="shared" si="39"/>
        <v>1.503010033444816</v>
      </c>
      <c r="AA109" s="856">
        <v>3.1027546473434926E-2</v>
      </c>
      <c r="AB109" s="856">
        <v>0.14347756779342974</v>
      </c>
      <c r="AC109" s="1041">
        <v>599</v>
      </c>
      <c r="AD109" s="970">
        <f>AC109-P109</f>
        <v>-150</v>
      </c>
      <c r="AE109" s="970">
        <f t="shared" si="45"/>
        <v>56.174999999999997</v>
      </c>
      <c r="AF109" s="971">
        <f t="shared" si="40"/>
        <v>35940</v>
      </c>
      <c r="AG109" s="857">
        <f t="shared" si="41"/>
        <v>-0.2002670226969292</v>
      </c>
      <c r="AH109" s="576">
        <v>0</v>
      </c>
      <c r="AI109" s="856">
        <v>0.17</v>
      </c>
      <c r="AJ109" s="859">
        <v>0</v>
      </c>
      <c r="AK109" s="583">
        <v>0</v>
      </c>
      <c r="AL109" s="971">
        <f t="shared" si="42"/>
        <v>0</v>
      </c>
      <c r="AM109" s="971">
        <f t="shared" si="29"/>
        <v>35940</v>
      </c>
      <c r="AN109" s="858">
        <f t="shared" si="30"/>
        <v>0</v>
      </c>
      <c r="AO109" s="857">
        <f t="shared" si="31"/>
        <v>1.2020066889632106</v>
      </c>
      <c r="AP109" s="973">
        <f t="shared" si="32"/>
        <v>-9000</v>
      </c>
      <c r="AQ109" s="855">
        <f t="shared" si="33"/>
        <v>-0.2002670226969292</v>
      </c>
      <c r="AR109" s="1042">
        <f>IFERROR(AA109-AG109*0.5,"")+5%</f>
        <v>0.18116105782189951</v>
      </c>
      <c r="AS109" s="975"/>
      <c r="AT109" s="976"/>
      <c r="AU109" s="971"/>
      <c r="AV109" s="976"/>
      <c r="AW109" s="970"/>
      <c r="AX109" s="971"/>
      <c r="AY109" s="971"/>
      <c r="AZ109" s="977"/>
      <c r="BA109" s="972"/>
      <c r="BB109" s="971"/>
      <c r="BC109" s="973"/>
      <c r="BD109" s="973"/>
      <c r="BE109" s="855"/>
      <c r="BF109" s="975"/>
      <c r="BG109" s="975"/>
      <c r="BH109" s="971"/>
      <c r="BI109" s="970"/>
      <c r="BJ109" s="971"/>
      <c r="BK109" s="971"/>
      <c r="BL109" s="977"/>
      <c r="BM109" s="972"/>
      <c r="BN109" s="971"/>
      <c r="BO109" s="973"/>
      <c r="BP109" s="973"/>
      <c r="BQ109" s="855"/>
      <c r="BR109" s="975"/>
      <c r="BS109" s="975"/>
      <c r="BT109" s="978"/>
      <c r="BU109" s="978"/>
      <c r="BV109" s="978">
        <v>0.105</v>
      </c>
      <c r="BW109" s="978">
        <f t="shared" si="34"/>
        <v>3.1027546473434926E-2</v>
      </c>
    </row>
    <row r="110" spans="1:75">
      <c r="A110" s="969">
        <v>2606</v>
      </c>
      <c r="B110" s="968" t="s">
        <v>211</v>
      </c>
      <c r="C110" s="969" t="s">
        <v>833</v>
      </c>
      <c r="D110" s="990" t="s">
        <v>87</v>
      </c>
      <c r="E110" s="955" t="s">
        <v>389</v>
      </c>
      <c r="F110" s="955"/>
      <c r="G110" s="955" t="str">
        <f>IFERROR(VLOOKUP(D110,[3]전용!E:J,6,0),"")</f>
        <v/>
      </c>
      <c r="H110" s="854">
        <v>29900</v>
      </c>
      <c r="I110" s="955">
        <v>5</v>
      </c>
      <c r="J110" s="955" t="s">
        <v>288</v>
      </c>
      <c r="K110" s="955">
        <v>12</v>
      </c>
      <c r="L110" s="970">
        <v>699</v>
      </c>
      <c r="M110" s="971">
        <f t="shared" si="26"/>
        <v>41940</v>
      </c>
      <c r="N110" s="855">
        <v>0.2262397872228567</v>
      </c>
      <c r="O110" s="855"/>
      <c r="P110" s="970">
        <v>699</v>
      </c>
      <c r="Q110" s="970">
        <f t="shared" si="27"/>
        <v>0</v>
      </c>
      <c r="R110" s="971">
        <f t="shared" si="44"/>
        <v>41940</v>
      </c>
      <c r="S110" s="856">
        <f t="shared" si="35"/>
        <v>3.1027546473434926E-2</v>
      </c>
      <c r="T110" s="971"/>
      <c r="U110" s="971"/>
      <c r="V110" s="972">
        <v>0</v>
      </c>
      <c r="W110" s="971">
        <f t="shared" si="36"/>
        <v>0</v>
      </c>
      <c r="X110" s="971">
        <f t="shared" si="37"/>
        <v>41940</v>
      </c>
      <c r="Y110" s="858">
        <f t="shared" si="38"/>
        <v>0</v>
      </c>
      <c r="Z110" s="857">
        <f t="shared" si="39"/>
        <v>1.4026755852842809</v>
      </c>
      <c r="AA110" s="856">
        <v>3.1027546473434926E-2</v>
      </c>
      <c r="AB110" s="856">
        <v>0.14347756779342974</v>
      </c>
      <c r="AC110" s="1041">
        <v>549</v>
      </c>
      <c r="AD110" s="970">
        <f t="shared" ref="AD110:AD112" si="47">AC110-P110</f>
        <v>-150</v>
      </c>
      <c r="AE110" s="970">
        <f t="shared" si="45"/>
        <v>52.424999999999997</v>
      </c>
      <c r="AF110" s="971">
        <f t="shared" si="40"/>
        <v>32940</v>
      </c>
      <c r="AG110" s="857">
        <f t="shared" si="41"/>
        <v>-0.21459227467811159</v>
      </c>
      <c r="AH110" s="576">
        <v>0</v>
      </c>
      <c r="AI110" s="855">
        <v>0.19</v>
      </c>
      <c r="AJ110" s="859">
        <v>0</v>
      </c>
      <c r="AK110" s="583">
        <v>0</v>
      </c>
      <c r="AL110" s="971">
        <f t="shared" si="42"/>
        <v>0</v>
      </c>
      <c r="AM110" s="971">
        <f t="shared" si="29"/>
        <v>32940</v>
      </c>
      <c r="AN110" s="858">
        <f t="shared" si="30"/>
        <v>0</v>
      </c>
      <c r="AO110" s="857">
        <f t="shared" si="31"/>
        <v>1.1016722408026756</v>
      </c>
      <c r="AP110" s="973">
        <f t="shared" si="32"/>
        <v>-9000</v>
      </c>
      <c r="AQ110" s="855">
        <f t="shared" si="33"/>
        <v>-0.21459227467811159</v>
      </c>
      <c r="AR110" s="1042">
        <f>IFERROR(AA110-AG110*0.5,"")+5%</f>
        <v>0.18832368381249071</v>
      </c>
      <c r="AS110" s="975"/>
      <c r="AT110" s="976"/>
      <c r="AU110" s="971"/>
      <c r="AV110" s="976"/>
      <c r="AW110" s="970"/>
      <c r="AX110" s="971"/>
      <c r="AY110" s="971"/>
      <c r="AZ110" s="977"/>
      <c r="BA110" s="972"/>
      <c r="BB110" s="971"/>
      <c r="BC110" s="973"/>
      <c r="BD110" s="973"/>
      <c r="BE110" s="855"/>
      <c r="BF110" s="975"/>
      <c r="BG110" s="975"/>
      <c r="BH110" s="971"/>
      <c r="BI110" s="970"/>
      <c r="BJ110" s="971"/>
      <c r="BK110" s="971"/>
      <c r="BL110" s="977"/>
      <c r="BM110" s="972"/>
      <c r="BN110" s="971"/>
      <c r="BO110" s="973"/>
      <c r="BP110" s="973"/>
      <c r="BQ110" s="855"/>
      <c r="BR110" s="975"/>
      <c r="BS110" s="975"/>
      <c r="BT110" s="978"/>
      <c r="BU110" s="978"/>
      <c r="BV110" s="978">
        <v>0.105</v>
      </c>
      <c r="BW110" s="978">
        <f t="shared" si="34"/>
        <v>3.1027546473434926E-2</v>
      </c>
    </row>
    <row r="111" spans="1:75">
      <c r="A111" s="969">
        <v>2606</v>
      </c>
      <c r="B111" s="968" t="s">
        <v>211</v>
      </c>
      <c r="C111" s="969" t="s">
        <v>833</v>
      </c>
      <c r="D111" s="990" t="s">
        <v>87</v>
      </c>
      <c r="E111" s="955" t="s">
        <v>389</v>
      </c>
      <c r="F111" s="955"/>
      <c r="G111" s="955" t="str">
        <f>IFERROR(VLOOKUP(D111,[3]전용!E:J,6,0),"")</f>
        <v/>
      </c>
      <c r="H111" s="854">
        <v>29900</v>
      </c>
      <c r="I111" s="955">
        <v>6</v>
      </c>
      <c r="J111" s="955" t="s">
        <v>286</v>
      </c>
      <c r="K111" s="955">
        <v>12</v>
      </c>
      <c r="L111" s="970">
        <v>699</v>
      </c>
      <c r="M111" s="971">
        <f t="shared" si="26"/>
        <v>50328</v>
      </c>
      <c r="N111" s="855">
        <v>0.2262397872228567</v>
      </c>
      <c r="O111" s="855"/>
      <c r="P111" s="970">
        <v>699</v>
      </c>
      <c r="Q111" s="970">
        <f t="shared" si="27"/>
        <v>0</v>
      </c>
      <c r="R111" s="971">
        <f t="shared" si="44"/>
        <v>50328</v>
      </c>
      <c r="S111" s="856">
        <f t="shared" si="35"/>
        <v>3.1027546473434926E-2</v>
      </c>
      <c r="T111" s="971"/>
      <c r="U111" s="971"/>
      <c r="V111" s="972">
        <v>0</v>
      </c>
      <c r="W111" s="971">
        <f t="shared" si="36"/>
        <v>0</v>
      </c>
      <c r="X111" s="971">
        <f t="shared" si="37"/>
        <v>50328</v>
      </c>
      <c r="Y111" s="858">
        <f t="shared" si="38"/>
        <v>0</v>
      </c>
      <c r="Z111" s="857">
        <f t="shared" si="39"/>
        <v>1.6832107023411371</v>
      </c>
      <c r="AA111" s="856">
        <v>3.1027546473434926E-2</v>
      </c>
      <c r="AB111" s="856">
        <v>0.14347756779342974</v>
      </c>
      <c r="AC111" s="1041">
        <v>549</v>
      </c>
      <c r="AD111" s="970">
        <f t="shared" si="47"/>
        <v>-150</v>
      </c>
      <c r="AE111" s="970">
        <f t="shared" si="45"/>
        <v>52.424999999999997</v>
      </c>
      <c r="AF111" s="971">
        <f t="shared" si="40"/>
        <v>39528</v>
      </c>
      <c r="AG111" s="857">
        <f t="shared" si="41"/>
        <v>-0.21459227467811159</v>
      </c>
      <c r="AH111" s="576">
        <v>0</v>
      </c>
      <c r="AI111" s="856">
        <v>0.18</v>
      </c>
      <c r="AJ111" s="859">
        <v>0</v>
      </c>
      <c r="AK111" s="583">
        <v>0</v>
      </c>
      <c r="AL111" s="971">
        <f t="shared" si="42"/>
        <v>0</v>
      </c>
      <c r="AM111" s="971">
        <f t="shared" si="29"/>
        <v>39528</v>
      </c>
      <c r="AN111" s="858">
        <f t="shared" si="30"/>
        <v>0</v>
      </c>
      <c r="AO111" s="857">
        <f t="shared" si="31"/>
        <v>1.3220066889632107</v>
      </c>
      <c r="AP111" s="973">
        <f t="shared" si="32"/>
        <v>-10800</v>
      </c>
      <c r="AQ111" s="855">
        <f t="shared" si="33"/>
        <v>-0.21459227467811159</v>
      </c>
      <c r="AR111" s="1042">
        <f>IFERROR(AA111-AG111*0.5,"")+5%</f>
        <v>0.18832368381249071</v>
      </c>
      <c r="AS111" s="975"/>
      <c r="AT111" s="976"/>
      <c r="AU111" s="971"/>
      <c r="AV111" s="976"/>
      <c r="AW111" s="970"/>
      <c r="AX111" s="971"/>
      <c r="AY111" s="971"/>
      <c r="AZ111" s="977"/>
      <c r="BA111" s="972"/>
      <c r="BB111" s="971"/>
      <c r="BC111" s="973"/>
      <c r="BD111" s="973"/>
      <c r="BE111" s="855"/>
      <c r="BF111" s="975"/>
      <c r="BG111" s="975"/>
      <c r="BH111" s="971"/>
      <c r="BI111" s="970"/>
      <c r="BJ111" s="971"/>
      <c r="BK111" s="971"/>
      <c r="BL111" s="977"/>
      <c r="BM111" s="972"/>
      <c r="BN111" s="971"/>
      <c r="BO111" s="973"/>
      <c r="BP111" s="973"/>
      <c r="BQ111" s="855"/>
      <c r="BR111" s="975"/>
      <c r="BS111" s="975"/>
      <c r="BT111" s="978"/>
      <c r="BU111" s="978"/>
      <c r="BV111" s="978">
        <v>0.105</v>
      </c>
      <c r="BW111" s="978">
        <f t="shared" si="34"/>
        <v>3.1027546473434926E-2</v>
      </c>
    </row>
    <row r="112" spans="1:75">
      <c r="A112" s="980">
        <v>2606</v>
      </c>
      <c r="B112" s="979" t="s">
        <v>211</v>
      </c>
      <c r="C112" s="980" t="s">
        <v>833</v>
      </c>
      <c r="D112" s="991" t="s">
        <v>87</v>
      </c>
      <c r="E112" s="955" t="s">
        <v>389</v>
      </c>
      <c r="F112" s="955"/>
      <c r="G112" s="955" t="str">
        <f>IFERROR(VLOOKUP(D112,[3]전용!E:J,6,0),"")</f>
        <v/>
      </c>
      <c r="H112" s="854">
        <v>29900</v>
      </c>
      <c r="I112" s="955">
        <v>6</v>
      </c>
      <c r="J112" s="955" t="s">
        <v>288</v>
      </c>
      <c r="K112" s="955">
        <v>12</v>
      </c>
      <c r="L112" s="970">
        <v>649</v>
      </c>
      <c r="M112" s="971">
        <f t="shared" si="26"/>
        <v>46728</v>
      </c>
      <c r="N112" s="855">
        <v>0.23536550678584428</v>
      </c>
      <c r="O112" s="855"/>
      <c r="P112" s="970">
        <v>649</v>
      </c>
      <c r="Q112" s="970">
        <f t="shared" si="27"/>
        <v>0</v>
      </c>
      <c r="R112" s="971">
        <f t="shared" si="44"/>
        <v>46728</v>
      </c>
      <c r="S112" s="856">
        <f t="shared" si="35"/>
        <v>3.1027546473434926E-2</v>
      </c>
      <c r="T112" s="971"/>
      <c r="U112" s="971"/>
      <c r="V112" s="972">
        <v>0</v>
      </c>
      <c r="W112" s="971">
        <f t="shared" si="36"/>
        <v>0</v>
      </c>
      <c r="X112" s="971">
        <f t="shared" si="37"/>
        <v>46728</v>
      </c>
      <c r="Y112" s="858">
        <f t="shared" si="38"/>
        <v>0</v>
      </c>
      <c r="Z112" s="857">
        <f t="shared" si="39"/>
        <v>1.5628093645484951</v>
      </c>
      <c r="AA112" s="856">
        <v>3.1027546473434926E-2</v>
      </c>
      <c r="AB112" s="856">
        <v>0.14347756779342974</v>
      </c>
      <c r="AC112" s="1041">
        <v>499</v>
      </c>
      <c r="AD112" s="970">
        <f t="shared" si="47"/>
        <v>-150</v>
      </c>
      <c r="AE112" s="970">
        <f t="shared" si="45"/>
        <v>48.674999999999997</v>
      </c>
      <c r="AF112" s="971">
        <f t="shared" si="40"/>
        <v>35928</v>
      </c>
      <c r="AG112" s="857">
        <f t="shared" si="41"/>
        <v>-0.23112480739599384</v>
      </c>
      <c r="AH112" s="576">
        <v>0</v>
      </c>
      <c r="AI112" s="856">
        <v>0.21</v>
      </c>
      <c r="AJ112" s="859">
        <v>0</v>
      </c>
      <c r="AK112" s="583">
        <v>0</v>
      </c>
      <c r="AL112" s="971">
        <f t="shared" si="42"/>
        <v>0</v>
      </c>
      <c r="AM112" s="971">
        <f t="shared" si="29"/>
        <v>35928</v>
      </c>
      <c r="AN112" s="858">
        <f t="shared" si="30"/>
        <v>0</v>
      </c>
      <c r="AO112" s="857">
        <f t="shared" si="31"/>
        <v>1.2016053511705687</v>
      </c>
      <c r="AP112" s="973">
        <f t="shared" si="32"/>
        <v>-10800</v>
      </c>
      <c r="AQ112" s="855">
        <f t="shared" si="33"/>
        <v>-0.23112480739599384</v>
      </c>
      <c r="AR112" s="1042">
        <f>IFERROR(AA112-AG112*0.5,"")+5%</f>
        <v>0.19658995017143183</v>
      </c>
      <c r="AS112" s="975"/>
      <c r="AT112" s="976"/>
      <c r="AU112" s="971"/>
      <c r="AV112" s="976"/>
      <c r="AW112" s="970"/>
      <c r="AX112" s="971"/>
      <c r="AY112" s="971"/>
      <c r="AZ112" s="977"/>
      <c r="BA112" s="972"/>
      <c r="BB112" s="971"/>
      <c r="BC112" s="973"/>
      <c r="BD112" s="973"/>
      <c r="BE112" s="855"/>
      <c r="BF112" s="975"/>
      <c r="BG112" s="975"/>
      <c r="BH112" s="971"/>
      <c r="BI112" s="970"/>
      <c r="BJ112" s="971"/>
      <c r="BK112" s="971"/>
      <c r="BL112" s="977"/>
      <c r="BM112" s="972"/>
      <c r="BN112" s="971"/>
      <c r="BO112" s="973"/>
      <c r="BP112" s="973"/>
      <c r="BQ112" s="855"/>
      <c r="BR112" s="975"/>
      <c r="BS112" s="975"/>
      <c r="BT112" s="978"/>
      <c r="BU112" s="978"/>
      <c r="BV112" s="978">
        <v>0.105</v>
      </c>
      <c r="BW112" s="978">
        <f t="shared" si="34"/>
        <v>3.1027546473434926E-2</v>
      </c>
    </row>
    <row r="113" spans="1:75" hidden="1">
      <c r="A113" s="969">
        <v>2606</v>
      </c>
      <c r="B113" s="968" t="s">
        <v>211</v>
      </c>
      <c r="C113" s="969" t="s">
        <v>829</v>
      </c>
      <c r="D113" s="969" t="s">
        <v>386</v>
      </c>
      <c r="E113" s="955" t="s">
        <v>389</v>
      </c>
      <c r="F113" s="955"/>
      <c r="G113" s="955" t="str">
        <f>IFERROR(VLOOKUP(D113,[3]전용!E:J,6,0),"")</f>
        <v/>
      </c>
      <c r="H113" s="854">
        <v>27500</v>
      </c>
      <c r="I113" s="955">
        <v>5</v>
      </c>
      <c r="J113" s="955" t="s">
        <v>286</v>
      </c>
      <c r="K113" s="955">
        <v>12</v>
      </c>
      <c r="L113" s="970">
        <v>649</v>
      </c>
      <c r="M113" s="971">
        <f t="shared" si="26"/>
        <v>38940</v>
      </c>
      <c r="N113" s="855">
        <v>0.15751376283369256</v>
      </c>
      <c r="O113" s="855"/>
      <c r="P113" s="970">
        <v>649</v>
      </c>
      <c r="Q113" s="970">
        <f t="shared" si="27"/>
        <v>0</v>
      </c>
      <c r="R113" s="971">
        <f t="shared" si="44"/>
        <v>38940</v>
      </c>
      <c r="S113" s="856">
        <f t="shared" si="35"/>
        <v>3.3335629492560477E-2</v>
      </c>
      <c r="T113" s="971"/>
      <c r="U113" s="971"/>
      <c r="V113" s="976">
        <v>0</v>
      </c>
      <c r="W113" s="971">
        <f t="shared" si="36"/>
        <v>0</v>
      </c>
      <c r="X113" s="971">
        <f t="shared" si="37"/>
        <v>38940</v>
      </c>
      <c r="Y113" s="858">
        <f t="shared" si="38"/>
        <v>0</v>
      </c>
      <c r="Z113" s="857">
        <f t="shared" si="39"/>
        <v>1.4159999999999999</v>
      </c>
      <c r="AA113" s="856">
        <v>3.3335629492560477E-2</v>
      </c>
      <c r="AB113" s="856">
        <v>7.1783232941023553E-2</v>
      </c>
      <c r="AC113" s="970">
        <f t="shared" si="28"/>
        <v>649</v>
      </c>
      <c r="AD113" s="970"/>
      <c r="AE113" s="970">
        <f t="shared" si="45"/>
        <v>48.674999999999997</v>
      </c>
      <c r="AF113" s="971">
        <f t="shared" si="40"/>
        <v>38940</v>
      </c>
      <c r="AG113" s="857">
        <f t="shared" si="41"/>
        <v>0</v>
      </c>
      <c r="AH113" s="576">
        <v>0</v>
      </c>
      <c r="AI113" s="856">
        <f t="shared" si="43"/>
        <v>3.3335629492560477E-2</v>
      </c>
      <c r="AJ113" s="859">
        <v>0</v>
      </c>
      <c r="AK113" s="583">
        <v>0</v>
      </c>
      <c r="AL113" s="971">
        <f t="shared" si="42"/>
        <v>0</v>
      </c>
      <c r="AM113" s="971">
        <f t="shared" si="29"/>
        <v>38940</v>
      </c>
      <c r="AN113" s="858">
        <f t="shared" si="30"/>
        <v>0</v>
      </c>
      <c r="AO113" s="857">
        <f t="shared" si="31"/>
        <v>1.4159999999999999</v>
      </c>
      <c r="AP113" s="973">
        <f t="shared" si="32"/>
        <v>0</v>
      </c>
      <c r="AQ113" s="855">
        <f t="shared" si="33"/>
        <v>0</v>
      </c>
      <c r="AR113" s="974">
        <f t="shared" si="46"/>
        <v>3.3335629492560477E-2</v>
      </c>
      <c r="AS113" s="975"/>
      <c r="AT113" s="976"/>
      <c r="AU113" s="971"/>
      <c r="AV113" s="976"/>
      <c r="AW113" s="970"/>
      <c r="AX113" s="971"/>
      <c r="AY113" s="971"/>
      <c r="AZ113" s="977"/>
      <c r="BA113" s="972"/>
      <c r="BB113" s="971"/>
      <c r="BC113" s="973"/>
      <c r="BD113" s="973"/>
      <c r="BE113" s="855"/>
      <c r="BF113" s="975"/>
      <c r="BG113" s="975"/>
      <c r="BH113" s="971"/>
      <c r="BI113" s="970"/>
      <c r="BJ113" s="971"/>
      <c r="BK113" s="971"/>
      <c r="BL113" s="977"/>
      <c r="BM113" s="972"/>
      <c r="BN113" s="971"/>
      <c r="BO113" s="973"/>
      <c r="BP113" s="973"/>
      <c r="BQ113" s="855"/>
      <c r="BR113" s="975"/>
      <c r="BS113" s="975"/>
      <c r="BT113" s="978"/>
      <c r="BU113" s="978"/>
      <c r="BV113" s="978">
        <v>0.10100000000000001</v>
      </c>
      <c r="BW113" s="978">
        <f t="shared" si="34"/>
        <v>3.3335629492560477E-2</v>
      </c>
    </row>
    <row r="114" spans="1:75" hidden="1">
      <c r="A114" s="969">
        <v>2606</v>
      </c>
      <c r="B114" s="968" t="s">
        <v>211</v>
      </c>
      <c r="C114" s="969" t="s">
        <v>829</v>
      </c>
      <c r="D114" s="969" t="s">
        <v>386</v>
      </c>
      <c r="E114" s="955" t="s">
        <v>389</v>
      </c>
      <c r="F114" s="955"/>
      <c r="G114" s="955" t="str">
        <f>IFERROR(VLOOKUP(D114,[3]전용!E:J,6,0),"")</f>
        <v/>
      </c>
      <c r="H114" s="854">
        <v>27500</v>
      </c>
      <c r="I114" s="955">
        <v>5</v>
      </c>
      <c r="J114" s="955" t="s">
        <v>288</v>
      </c>
      <c r="K114" s="955">
        <v>12</v>
      </c>
      <c r="L114" s="970">
        <v>599</v>
      </c>
      <c r="M114" s="971">
        <f t="shared" si="26"/>
        <v>35940</v>
      </c>
      <c r="N114" s="855">
        <v>0.16867193664233437</v>
      </c>
      <c r="O114" s="855"/>
      <c r="P114" s="970">
        <v>599</v>
      </c>
      <c r="Q114" s="970">
        <f t="shared" si="27"/>
        <v>0</v>
      </c>
      <c r="R114" s="971">
        <f t="shared" si="44"/>
        <v>35940</v>
      </c>
      <c r="S114" s="856">
        <f t="shared" si="35"/>
        <v>3.3335629492560477E-2</v>
      </c>
      <c r="T114" s="971"/>
      <c r="U114" s="971"/>
      <c r="V114" s="976">
        <v>0</v>
      </c>
      <c r="W114" s="971">
        <f t="shared" si="36"/>
        <v>0</v>
      </c>
      <c r="X114" s="971">
        <f t="shared" si="37"/>
        <v>35940</v>
      </c>
      <c r="Y114" s="858">
        <f t="shared" si="38"/>
        <v>0</v>
      </c>
      <c r="Z114" s="857">
        <f t="shared" si="39"/>
        <v>1.3069090909090908</v>
      </c>
      <c r="AA114" s="856">
        <v>3.3335629492560477E-2</v>
      </c>
      <c r="AB114" s="856">
        <v>7.1783232941023553E-2</v>
      </c>
      <c r="AC114" s="970">
        <f t="shared" si="28"/>
        <v>599</v>
      </c>
      <c r="AD114" s="970"/>
      <c r="AE114" s="970">
        <f t="shared" si="45"/>
        <v>44.924999999999997</v>
      </c>
      <c r="AF114" s="971">
        <f t="shared" si="40"/>
        <v>35940</v>
      </c>
      <c r="AG114" s="857">
        <f t="shared" si="41"/>
        <v>0</v>
      </c>
      <c r="AH114" s="576">
        <v>0</v>
      </c>
      <c r="AI114" s="856">
        <f t="shared" si="43"/>
        <v>3.3335629492560477E-2</v>
      </c>
      <c r="AJ114" s="859">
        <v>0</v>
      </c>
      <c r="AK114" s="583">
        <v>0</v>
      </c>
      <c r="AL114" s="971">
        <f t="shared" si="42"/>
        <v>0</v>
      </c>
      <c r="AM114" s="971">
        <f t="shared" si="29"/>
        <v>35940</v>
      </c>
      <c r="AN114" s="858">
        <f t="shared" si="30"/>
        <v>0</v>
      </c>
      <c r="AO114" s="857">
        <f t="shared" si="31"/>
        <v>1.3069090909090908</v>
      </c>
      <c r="AP114" s="973">
        <f t="shared" si="32"/>
        <v>0</v>
      </c>
      <c r="AQ114" s="855">
        <f t="shared" si="33"/>
        <v>0</v>
      </c>
      <c r="AR114" s="974">
        <f t="shared" si="46"/>
        <v>3.3335629492560477E-2</v>
      </c>
      <c r="AS114" s="975"/>
      <c r="AT114" s="976"/>
      <c r="AU114" s="971"/>
      <c r="AV114" s="976"/>
      <c r="AW114" s="970"/>
      <c r="AX114" s="971"/>
      <c r="AY114" s="971"/>
      <c r="AZ114" s="977"/>
      <c r="BA114" s="972"/>
      <c r="BB114" s="971"/>
      <c r="BC114" s="973"/>
      <c r="BD114" s="973"/>
      <c r="BE114" s="855"/>
      <c r="BF114" s="975"/>
      <c r="BG114" s="975"/>
      <c r="BH114" s="971"/>
      <c r="BI114" s="970"/>
      <c r="BJ114" s="971"/>
      <c r="BK114" s="971"/>
      <c r="BL114" s="977"/>
      <c r="BM114" s="972"/>
      <c r="BN114" s="971"/>
      <c r="BO114" s="973"/>
      <c r="BP114" s="973"/>
      <c r="BQ114" s="855"/>
      <c r="BR114" s="975"/>
      <c r="BS114" s="975"/>
      <c r="BT114" s="978"/>
      <c r="BU114" s="978"/>
      <c r="BV114" s="978">
        <v>0.10100000000000001</v>
      </c>
      <c r="BW114" s="978">
        <f t="shared" si="34"/>
        <v>3.3335629492560477E-2</v>
      </c>
    </row>
    <row r="115" spans="1:75" hidden="1">
      <c r="A115" s="969">
        <v>2606</v>
      </c>
      <c r="B115" s="968" t="s">
        <v>211</v>
      </c>
      <c r="C115" s="969" t="s">
        <v>829</v>
      </c>
      <c r="D115" s="969" t="s">
        <v>386</v>
      </c>
      <c r="E115" s="955" t="s">
        <v>389</v>
      </c>
      <c r="F115" s="955"/>
      <c r="G115" s="955" t="str">
        <f>IFERROR(VLOOKUP(D115,[3]전용!E:J,6,0),"")</f>
        <v/>
      </c>
      <c r="H115" s="854">
        <v>27500</v>
      </c>
      <c r="I115" s="955">
        <v>6</v>
      </c>
      <c r="J115" s="955" t="s">
        <v>286</v>
      </c>
      <c r="K115" s="955">
        <v>12</v>
      </c>
      <c r="L115" s="970">
        <v>599</v>
      </c>
      <c r="M115" s="971">
        <f t="shared" si="26"/>
        <v>43128</v>
      </c>
      <c r="N115" s="855">
        <v>0.16867193664233437</v>
      </c>
      <c r="O115" s="855"/>
      <c r="P115" s="970">
        <v>599</v>
      </c>
      <c r="Q115" s="970">
        <f t="shared" si="27"/>
        <v>0</v>
      </c>
      <c r="R115" s="971">
        <f t="shared" si="44"/>
        <v>43128</v>
      </c>
      <c r="S115" s="856">
        <f t="shared" si="35"/>
        <v>3.3335629492560477E-2</v>
      </c>
      <c r="T115" s="971"/>
      <c r="U115" s="971"/>
      <c r="V115" s="976">
        <v>0</v>
      </c>
      <c r="W115" s="971">
        <f t="shared" si="36"/>
        <v>0</v>
      </c>
      <c r="X115" s="971">
        <f t="shared" si="37"/>
        <v>43128</v>
      </c>
      <c r="Y115" s="858">
        <f t="shared" si="38"/>
        <v>0</v>
      </c>
      <c r="Z115" s="857">
        <f t="shared" si="39"/>
        <v>1.5682909090909092</v>
      </c>
      <c r="AA115" s="856">
        <v>3.3335629492560477E-2</v>
      </c>
      <c r="AB115" s="856">
        <v>7.1783232941023553E-2</v>
      </c>
      <c r="AC115" s="970">
        <f t="shared" si="28"/>
        <v>599</v>
      </c>
      <c r="AD115" s="970"/>
      <c r="AE115" s="970">
        <f>IF(AA115&gt;10%,0,IF(AA115&gt;5%,P115*0.04,IF(AA115&gt;0%,P115*0.075, P115*0.1)))</f>
        <v>44.924999999999997</v>
      </c>
      <c r="AF115" s="971">
        <f t="shared" si="40"/>
        <v>43128</v>
      </c>
      <c r="AG115" s="857">
        <f t="shared" si="41"/>
        <v>0</v>
      </c>
      <c r="AH115" s="576">
        <v>0</v>
      </c>
      <c r="AI115" s="856">
        <f t="shared" si="43"/>
        <v>3.3335629492560477E-2</v>
      </c>
      <c r="AJ115" s="859">
        <v>0</v>
      </c>
      <c r="AK115" s="583">
        <v>0</v>
      </c>
      <c r="AL115" s="971">
        <f t="shared" si="42"/>
        <v>0</v>
      </c>
      <c r="AM115" s="971">
        <f t="shared" si="29"/>
        <v>43128</v>
      </c>
      <c r="AN115" s="858">
        <f t="shared" si="30"/>
        <v>0</v>
      </c>
      <c r="AO115" s="857">
        <f t="shared" si="31"/>
        <v>1.5682909090909092</v>
      </c>
      <c r="AP115" s="973">
        <f t="shared" si="32"/>
        <v>0</v>
      </c>
      <c r="AQ115" s="855">
        <f t="shared" si="33"/>
        <v>0</v>
      </c>
      <c r="AR115" s="974">
        <f t="shared" si="46"/>
        <v>3.3335629492560477E-2</v>
      </c>
      <c r="AS115" s="975"/>
      <c r="AT115" s="976"/>
      <c r="AU115" s="971"/>
      <c r="AV115" s="976"/>
      <c r="AW115" s="970"/>
      <c r="AX115" s="971"/>
      <c r="AY115" s="971"/>
      <c r="AZ115" s="977"/>
      <c r="BA115" s="972"/>
      <c r="BB115" s="971"/>
      <c r="BC115" s="973"/>
      <c r="BD115" s="973"/>
      <c r="BE115" s="855"/>
      <c r="BF115" s="975"/>
      <c r="BG115" s="975"/>
      <c r="BH115" s="971"/>
      <c r="BI115" s="970"/>
      <c r="BJ115" s="971"/>
      <c r="BK115" s="971"/>
      <c r="BL115" s="977"/>
      <c r="BM115" s="972"/>
      <c r="BN115" s="971"/>
      <c r="BO115" s="973"/>
      <c r="BP115" s="973"/>
      <c r="BQ115" s="855"/>
      <c r="BR115" s="975"/>
      <c r="BS115" s="975"/>
      <c r="BT115" s="978"/>
      <c r="BU115" s="978"/>
      <c r="BV115" s="978">
        <v>0.10100000000000001</v>
      </c>
      <c r="BW115" s="978">
        <f t="shared" si="34"/>
        <v>3.3335629492560477E-2</v>
      </c>
    </row>
    <row r="116" spans="1:75" hidden="1">
      <c r="A116" s="980">
        <v>2606</v>
      </c>
      <c r="B116" s="979" t="s">
        <v>211</v>
      </c>
      <c r="C116" s="980" t="s">
        <v>829</v>
      </c>
      <c r="D116" s="980" t="s">
        <v>386</v>
      </c>
      <c r="E116" s="955" t="s">
        <v>389</v>
      </c>
      <c r="F116" s="955"/>
      <c r="G116" s="955" t="str">
        <f>IFERROR(VLOOKUP(D116,[3]전용!E:J,6,0),"")</f>
        <v/>
      </c>
      <c r="H116" s="854">
        <v>27500</v>
      </c>
      <c r="I116" s="955">
        <v>6</v>
      </c>
      <c r="J116" s="955" t="s">
        <v>288</v>
      </c>
      <c r="K116" s="955">
        <v>12</v>
      </c>
      <c r="L116" s="970">
        <v>549</v>
      </c>
      <c r="M116" s="971">
        <f t="shared" si="26"/>
        <v>39528</v>
      </c>
      <c r="N116" s="855">
        <v>0.18262664524010941</v>
      </c>
      <c r="O116" s="855"/>
      <c r="P116" s="970">
        <v>549</v>
      </c>
      <c r="Q116" s="970">
        <f t="shared" si="27"/>
        <v>0</v>
      </c>
      <c r="R116" s="971">
        <f t="shared" si="44"/>
        <v>39528</v>
      </c>
      <c r="S116" s="856">
        <f t="shared" si="35"/>
        <v>3.3335629492560477E-2</v>
      </c>
      <c r="T116" s="971"/>
      <c r="U116" s="971"/>
      <c r="V116" s="976">
        <v>0</v>
      </c>
      <c r="W116" s="971">
        <f t="shared" si="36"/>
        <v>0</v>
      </c>
      <c r="X116" s="971">
        <f t="shared" si="37"/>
        <v>39528</v>
      </c>
      <c r="Y116" s="858">
        <f t="shared" si="38"/>
        <v>0</v>
      </c>
      <c r="Z116" s="857">
        <f t="shared" si="39"/>
        <v>1.4373818181818181</v>
      </c>
      <c r="AA116" s="856">
        <v>3.3335629492560477E-2</v>
      </c>
      <c r="AB116" s="856">
        <v>7.1783232941023553E-2</v>
      </c>
      <c r="AC116" s="970">
        <f t="shared" si="28"/>
        <v>549</v>
      </c>
      <c r="AD116" s="970"/>
      <c r="AE116" s="970">
        <f t="shared" ref="AE116:AE179" si="48">IF(AA116&gt;10%,0,IF(AA116&gt;5%,P116*0.04,IF(AA116&gt;0%,P116*0.075, P116*0.1)))</f>
        <v>41.174999999999997</v>
      </c>
      <c r="AF116" s="971">
        <f t="shared" si="40"/>
        <v>39528</v>
      </c>
      <c r="AG116" s="857">
        <f t="shared" si="41"/>
        <v>0</v>
      </c>
      <c r="AH116" s="576">
        <v>0</v>
      </c>
      <c r="AI116" s="856">
        <f t="shared" si="43"/>
        <v>3.3335629492560477E-2</v>
      </c>
      <c r="AJ116" s="859">
        <v>0</v>
      </c>
      <c r="AK116" s="583">
        <v>0</v>
      </c>
      <c r="AL116" s="971">
        <f t="shared" si="42"/>
        <v>0</v>
      </c>
      <c r="AM116" s="971">
        <f t="shared" si="29"/>
        <v>39528</v>
      </c>
      <c r="AN116" s="858">
        <f t="shared" si="30"/>
        <v>0</v>
      </c>
      <c r="AO116" s="857">
        <f t="shared" si="31"/>
        <v>1.4373818181818181</v>
      </c>
      <c r="AP116" s="973">
        <f t="shared" si="32"/>
        <v>0</v>
      </c>
      <c r="AQ116" s="855">
        <f t="shared" si="33"/>
        <v>0</v>
      </c>
      <c r="AR116" s="974">
        <f t="shared" si="46"/>
        <v>3.3335629492560477E-2</v>
      </c>
      <c r="AS116" s="975"/>
      <c r="AT116" s="976"/>
      <c r="AU116" s="971"/>
      <c r="AV116" s="976"/>
      <c r="AW116" s="970"/>
      <c r="AX116" s="971"/>
      <c r="AY116" s="971"/>
      <c r="AZ116" s="977"/>
      <c r="BA116" s="972"/>
      <c r="BB116" s="971"/>
      <c r="BC116" s="973"/>
      <c r="BD116" s="973"/>
      <c r="BE116" s="855"/>
      <c r="BF116" s="975"/>
      <c r="BG116" s="975"/>
      <c r="BH116" s="971"/>
      <c r="BI116" s="970"/>
      <c r="BJ116" s="971"/>
      <c r="BK116" s="971"/>
      <c r="BL116" s="977"/>
      <c r="BM116" s="972"/>
      <c r="BN116" s="971"/>
      <c r="BO116" s="973"/>
      <c r="BP116" s="973"/>
      <c r="BQ116" s="855"/>
      <c r="BR116" s="975"/>
      <c r="BS116" s="975"/>
      <c r="BT116" s="978"/>
      <c r="BU116" s="978"/>
      <c r="BV116" s="978">
        <v>0.10100000000000001</v>
      </c>
      <c r="BW116" s="978">
        <f t="shared" si="34"/>
        <v>3.3335629492560477E-2</v>
      </c>
    </row>
    <row r="117" spans="1:75" hidden="1">
      <c r="A117" s="969">
        <v>2606</v>
      </c>
      <c r="B117" s="968" t="s">
        <v>211</v>
      </c>
      <c r="C117" s="969" t="s">
        <v>831</v>
      </c>
      <c r="D117" s="981" t="s">
        <v>366</v>
      </c>
      <c r="E117" s="955" t="s">
        <v>389</v>
      </c>
      <c r="F117" s="955"/>
      <c r="G117" s="955" t="str">
        <f>IFERROR(VLOOKUP(D117,[3]전용!E:J,6,0),"")</f>
        <v/>
      </c>
      <c r="H117" s="854">
        <v>15100</v>
      </c>
      <c r="I117" s="955">
        <v>5</v>
      </c>
      <c r="J117" s="955" t="s">
        <v>286</v>
      </c>
      <c r="K117" s="955">
        <v>12</v>
      </c>
      <c r="L117" s="970">
        <v>549</v>
      </c>
      <c r="M117" s="971">
        <f t="shared" si="26"/>
        <v>32940</v>
      </c>
      <c r="N117" s="855">
        <v>0.16</v>
      </c>
      <c r="O117" s="855"/>
      <c r="P117" s="970">
        <v>549</v>
      </c>
      <c r="Q117" s="970">
        <f t="shared" si="27"/>
        <v>0</v>
      </c>
      <c r="R117" s="971">
        <f t="shared" si="44"/>
        <v>32940</v>
      </c>
      <c r="S117" s="856">
        <f t="shared" si="35"/>
        <v>-1.7548365349860078E-2</v>
      </c>
      <c r="T117" s="971"/>
      <c r="U117" s="971"/>
      <c r="V117" s="972">
        <v>0</v>
      </c>
      <c r="W117" s="971">
        <f t="shared" si="36"/>
        <v>0</v>
      </c>
      <c r="X117" s="971">
        <f t="shared" si="37"/>
        <v>32940</v>
      </c>
      <c r="Y117" s="858">
        <f t="shared" si="38"/>
        <v>0</v>
      </c>
      <c r="Z117" s="857">
        <f t="shared" si="39"/>
        <v>2.181456953642384</v>
      </c>
      <c r="AA117" s="856">
        <v>-1.7548365349860078E-2</v>
      </c>
      <c r="AB117" s="856">
        <v>1.8854597419833926E-3</v>
      </c>
      <c r="AC117" s="970">
        <f t="shared" si="28"/>
        <v>549</v>
      </c>
      <c r="AD117" s="970"/>
      <c r="AE117" s="970">
        <f t="shared" si="48"/>
        <v>54.900000000000006</v>
      </c>
      <c r="AF117" s="971">
        <f t="shared" si="40"/>
        <v>32940</v>
      </c>
      <c r="AG117" s="857">
        <f t="shared" si="41"/>
        <v>0</v>
      </c>
      <c r="AH117" s="576">
        <v>0</v>
      </c>
      <c r="AI117" s="856">
        <f t="shared" si="43"/>
        <v>5.4084872472489456E-2</v>
      </c>
      <c r="AJ117" s="859">
        <v>0</v>
      </c>
      <c r="AK117" s="583">
        <v>0</v>
      </c>
      <c r="AL117" s="971">
        <f t="shared" si="42"/>
        <v>0</v>
      </c>
      <c r="AM117" s="971">
        <f t="shared" si="29"/>
        <v>32940</v>
      </c>
      <c r="AN117" s="858">
        <f t="shared" si="30"/>
        <v>0</v>
      </c>
      <c r="AO117" s="857">
        <f t="shared" si="31"/>
        <v>2.181456953642384</v>
      </c>
      <c r="AP117" s="973"/>
      <c r="AQ117" s="855"/>
      <c r="AR117" s="974">
        <f>AR120</f>
        <v>5.4084872472489456E-2</v>
      </c>
      <c r="AS117" s="975"/>
      <c r="AT117" s="976"/>
      <c r="AU117" s="971"/>
      <c r="AV117" s="976"/>
      <c r="AW117" s="970"/>
      <c r="AX117" s="971"/>
      <c r="AY117" s="971"/>
      <c r="AZ117" s="977"/>
      <c r="BA117" s="972"/>
      <c r="BB117" s="971"/>
      <c r="BC117" s="973"/>
      <c r="BD117" s="973"/>
      <c r="BE117" s="855"/>
      <c r="BF117" s="975"/>
      <c r="BG117" s="975"/>
      <c r="BH117" s="971"/>
      <c r="BI117" s="970"/>
      <c r="BJ117" s="971"/>
      <c r="BK117" s="971"/>
      <c r="BL117" s="977"/>
      <c r="BM117" s="972"/>
      <c r="BN117" s="971"/>
      <c r="BO117" s="973"/>
      <c r="BP117" s="973"/>
      <c r="BQ117" s="855"/>
      <c r="BR117" s="975"/>
      <c r="BS117" s="975"/>
      <c r="BT117" s="978"/>
      <c r="BU117" s="978"/>
      <c r="BV117" s="978">
        <v>0.10249999999999999</v>
      </c>
      <c r="BW117" s="978">
        <f t="shared" si="34"/>
        <v>-1.7548365349860078E-2</v>
      </c>
    </row>
    <row r="118" spans="1:75" hidden="1">
      <c r="A118" s="969">
        <v>2606</v>
      </c>
      <c r="B118" s="968" t="s">
        <v>211</v>
      </c>
      <c r="C118" s="969" t="s">
        <v>831</v>
      </c>
      <c r="D118" s="981" t="s">
        <v>366</v>
      </c>
      <c r="E118" s="955" t="s">
        <v>389</v>
      </c>
      <c r="F118" s="955"/>
      <c r="G118" s="955" t="str">
        <f>IFERROR(VLOOKUP(D118,[3]전용!E:J,6,0),"")</f>
        <v/>
      </c>
      <c r="H118" s="854">
        <v>15100</v>
      </c>
      <c r="I118" s="955">
        <v>5</v>
      </c>
      <c r="J118" s="955" t="s">
        <v>288</v>
      </c>
      <c r="K118" s="955">
        <v>12</v>
      </c>
      <c r="L118" s="970">
        <v>449</v>
      </c>
      <c r="M118" s="971">
        <f t="shared" si="26"/>
        <v>26940</v>
      </c>
      <c r="N118" s="855">
        <v>0.17</v>
      </c>
      <c r="O118" s="855"/>
      <c r="P118" s="970">
        <v>449</v>
      </c>
      <c r="Q118" s="970">
        <f t="shared" si="27"/>
        <v>0</v>
      </c>
      <c r="R118" s="971">
        <f t="shared" si="44"/>
        <v>26940</v>
      </c>
      <c r="S118" s="856">
        <f t="shared" si="35"/>
        <v>-1.7548365349860078E-2</v>
      </c>
      <c r="T118" s="971"/>
      <c r="U118" s="971"/>
      <c r="V118" s="972">
        <v>0</v>
      </c>
      <c r="W118" s="971">
        <f t="shared" si="36"/>
        <v>0</v>
      </c>
      <c r="X118" s="971">
        <f t="shared" si="37"/>
        <v>26940</v>
      </c>
      <c r="Y118" s="858">
        <f t="shared" si="38"/>
        <v>0</v>
      </c>
      <c r="Z118" s="857">
        <f t="shared" si="39"/>
        <v>1.7841059602649008</v>
      </c>
      <c r="AA118" s="856">
        <v>-1.7548365349860078E-2</v>
      </c>
      <c r="AB118" s="856">
        <v>1.8854597419833926E-3</v>
      </c>
      <c r="AC118" s="970">
        <f t="shared" si="28"/>
        <v>449</v>
      </c>
      <c r="AD118" s="970"/>
      <c r="AE118" s="970">
        <f t="shared" si="48"/>
        <v>44.900000000000006</v>
      </c>
      <c r="AF118" s="971">
        <f t="shared" si="40"/>
        <v>26940</v>
      </c>
      <c r="AG118" s="857">
        <f t="shared" si="41"/>
        <v>0</v>
      </c>
      <c r="AH118" s="576">
        <v>0</v>
      </c>
      <c r="AI118" s="856">
        <f t="shared" si="43"/>
        <v>5.4084872472489456E-2</v>
      </c>
      <c r="AJ118" s="859">
        <v>0</v>
      </c>
      <c r="AK118" s="583">
        <v>0</v>
      </c>
      <c r="AL118" s="971">
        <f t="shared" si="42"/>
        <v>0</v>
      </c>
      <c r="AM118" s="971">
        <f t="shared" si="29"/>
        <v>26940</v>
      </c>
      <c r="AN118" s="858">
        <f t="shared" si="30"/>
        <v>0</v>
      </c>
      <c r="AO118" s="857">
        <f t="shared" si="31"/>
        <v>1.7841059602649008</v>
      </c>
      <c r="AP118" s="973"/>
      <c r="AQ118" s="855"/>
      <c r="AR118" s="974">
        <f>AR120</f>
        <v>5.4084872472489456E-2</v>
      </c>
      <c r="AS118" s="975"/>
      <c r="AT118" s="976"/>
      <c r="AU118" s="971"/>
      <c r="AV118" s="976"/>
      <c r="AW118" s="970"/>
      <c r="AX118" s="971"/>
      <c r="AY118" s="971"/>
      <c r="AZ118" s="977"/>
      <c r="BA118" s="972"/>
      <c r="BB118" s="971"/>
      <c r="BC118" s="973"/>
      <c r="BD118" s="973"/>
      <c r="BE118" s="855"/>
      <c r="BF118" s="975"/>
      <c r="BG118" s="975"/>
      <c r="BH118" s="971"/>
      <c r="BI118" s="970"/>
      <c r="BJ118" s="971"/>
      <c r="BK118" s="971"/>
      <c r="BL118" s="977"/>
      <c r="BM118" s="972"/>
      <c r="BN118" s="971"/>
      <c r="BO118" s="973"/>
      <c r="BP118" s="973"/>
      <c r="BQ118" s="855"/>
      <c r="BR118" s="975"/>
      <c r="BS118" s="975"/>
      <c r="BT118" s="978"/>
      <c r="BU118" s="978"/>
      <c r="BV118" s="978">
        <v>0.10249999999999999</v>
      </c>
      <c r="BW118" s="978">
        <f t="shared" si="34"/>
        <v>-1.7548365349860078E-2</v>
      </c>
    </row>
    <row r="119" spans="1:75" hidden="1">
      <c r="A119" s="969">
        <v>2606</v>
      </c>
      <c r="B119" s="968" t="s">
        <v>211</v>
      </c>
      <c r="C119" s="969" t="s">
        <v>831</v>
      </c>
      <c r="D119" s="981" t="s">
        <v>366</v>
      </c>
      <c r="E119" s="955" t="s">
        <v>389</v>
      </c>
      <c r="F119" s="955"/>
      <c r="G119" s="955" t="str">
        <f>IFERROR(VLOOKUP(D119,[3]전용!E:J,6,0),"")</f>
        <v/>
      </c>
      <c r="H119" s="854">
        <v>15100</v>
      </c>
      <c r="I119" s="955">
        <v>6</v>
      </c>
      <c r="J119" s="955" t="s">
        <v>286</v>
      </c>
      <c r="K119" s="955">
        <v>12</v>
      </c>
      <c r="L119" s="970">
        <v>449</v>
      </c>
      <c r="M119" s="971">
        <f t="shared" si="26"/>
        <v>32328</v>
      </c>
      <c r="N119" s="855">
        <v>0.12</v>
      </c>
      <c r="O119" s="855"/>
      <c r="P119" s="970">
        <v>449</v>
      </c>
      <c r="Q119" s="970">
        <f t="shared" si="27"/>
        <v>0</v>
      </c>
      <c r="R119" s="971">
        <f t="shared" si="44"/>
        <v>32328</v>
      </c>
      <c r="S119" s="856">
        <f t="shared" si="35"/>
        <v>-1.7548365349860078E-2</v>
      </c>
      <c r="T119" s="971"/>
      <c r="U119" s="971"/>
      <c r="V119" s="972">
        <v>0</v>
      </c>
      <c r="W119" s="971">
        <f t="shared" si="36"/>
        <v>0</v>
      </c>
      <c r="X119" s="971">
        <f t="shared" si="37"/>
        <v>32328</v>
      </c>
      <c r="Y119" s="858">
        <f t="shared" si="38"/>
        <v>0</v>
      </c>
      <c r="Z119" s="857">
        <f t="shared" si="39"/>
        <v>2.140927152317881</v>
      </c>
      <c r="AA119" s="856">
        <v>-1.7548365349860078E-2</v>
      </c>
      <c r="AB119" s="856">
        <v>1.8854597419833926E-3</v>
      </c>
      <c r="AC119" s="970">
        <f t="shared" si="28"/>
        <v>499</v>
      </c>
      <c r="AD119" s="970">
        <v>50</v>
      </c>
      <c r="AE119" s="970">
        <f t="shared" si="48"/>
        <v>44.900000000000006</v>
      </c>
      <c r="AF119" s="971">
        <f t="shared" si="40"/>
        <v>35928</v>
      </c>
      <c r="AG119" s="857">
        <f t="shared" si="41"/>
        <v>0.11135857461024501</v>
      </c>
      <c r="AH119" s="576">
        <v>0</v>
      </c>
      <c r="AI119" s="856">
        <f t="shared" si="43"/>
        <v>3.8130921955262423E-2</v>
      </c>
      <c r="AJ119" s="859">
        <v>0</v>
      </c>
      <c r="AK119" s="583">
        <v>0</v>
      </c>
      <c r="AL119" s="971">
        <f t="shared" si="42"/>
        <v>0</v>
      </c>
      <c r="AM119" s="971">
        <f t="shared" si="29"/>
        <v>35928</v>
      </c>
      <c r="AN119" s="858">
        <f t="shared" si="30"/>
        <v>0</v>
      </c>
      <c r="AO119" s="857">
        <f t="shared" si="31"/>
        <v>2.379337748344371</v>
      </c>
      <c r="AP119" s="973">
        <f t="shared" si="32"/>
        <v>3600</v>
      </c>
      <c r="AQ119" s="855">
        <f t="shared" si="33"/>
        <v>0.11135857461024501</v>
      </c>
      <c r="AR119" s="974">
        <f t="shared" si="46"/>
        <v>3.8130921955262423E-2</v>
      </c>
      <c r="AS119" s="975"/>
      <c r="AT119" s="976"/>
      <c r="AU119" s="971"/>
      <c r="AV119" s="976"/>
      <c r="AW119" s="970"/>
      <c r="AX119" s="971"/>
      <c r="AY119" s="971"/>
      <c r="AZ119" s="977"/>
      <c r="BA119" s="972"/>
      <c r="BB119" s="971"/>
      <c r="BC119" s="973"/>
      <c r="BD119" s="973"/>
      <c r="BE119" s="855"/>
      <c r="BF119" s="975"/>
      <c r="BG119" s="975"/>
      <c r="BH119" s="971"/>
      <c r="BI119" s="970"/>
      <c r="BJ119" s="971"/>
      <c r="BK119" s="971"/>
      <c r="BL119" s="977"/>
      <c r="BM119" s="972"/>
      <c r="BN119" s="971"/>
      <c r="BO119" s="973"/>
      <c r="BP119" s="973"/>
      <c r="BQ119" s="855"/>
      <c r="BR119" s="975"/>
      <c r="BS119" s="975"/>
      <c r="BT119" s="978"/>
      <c r="BU119" s="978"/>
      <c r="BV119" s="978">
        <v>0.10249999999999999</v>
      </c>
      <c r="BW119" s="978">
        <f t="shared" si="34"/>
        <v>-1.7548365349860078E-2</v>
      </c>
    </row>
    <row r="120" spans="1:75" hidden="1">
      <c r="A120" s="980">
        <v>2606</v>
      </c>
      <c r="B120" s="979" t="s">
        <v>211</v>
      </c>
      <c r="C120" s="980" t="s">
        <v>831</v>
      </c>
      <c r="D120" s="983" t="s">
        <v>366</v>
      </c>
      <c r="E120" s="955" t="s">
        <v>389</v>
      </c>
      <c r="F120" s="955"/>
      <c r="G120" s="955" t="str">
        <f>IFERROR(VLOOKUP(D120,[3]전용!E:J,6,0),"")</f>
        <v/>
      </c>
      <c r="H120" s="854">
        <v>15100</v>
      </c>
      <c r="I120" s="955">
        <v>6</v>
      </c>
      <c r="J120" s="955" t="s">
        <v>288</v>
      </c>
      <c r="K120" s="955">
        <v>12</v>
      </c>
      <c r="L120" s="970">
        <v>349</v>
      </c>
      <c r="M120" s="971">
        <f t="shared" si="26"/>
        <v>25128</v>
      </c>
      <c r="N120" s="855">
        <v>0.12</v>
      </c>
      <c r="O120" s="855"/>
      <c r="P120" s="970">
        <v>349</v>
      </c>
      <c r="Q120" s="970">
        <f t="shared" si="27"/>
        <v>0</v>
      </c>
      <c r="R120" s="971">
        <f t="shared" si="44"/>
        <v>25128</v>
      </c>
      <c r="S120" s="856">
        <f t="shared" si="35"/>
        <v>-1.7548365349860078E-2</v>
      </c>
      <c r="T120" s="971"/>
      <c r="U120" s="971"/>
      <c r="V120" s="972">
        <v>0</v>
      </c>
      <c r="W120" s="971">
        <f t="shared" si="36"/>
        <v>0</v>
      </c>
      <c r="X120" s="971">
        <f t="shared" si="37"/>
        <v>25128</v>
      </c>
      <c r="Y120" s="858">
        <f t="shared" si="38"/>
        <v>0</v>
      </c>
      <c r="Z120" s="857">
        <f t="shared" si="39"/>
        <v>1.6641059602649007</v>
      </c>
      <c r="AA120" s="856">
        <v>-1.7548365349860078E-2</v>
      </c>
      <c r="AB120" s="856">
        <v>1.8854597419833926E-3</v>
      </c>
      <c r="AC120" s="970">
        <f t="shared" si="28"/>
        <v>399</v>
      </c>
      <c r="AD120" s="970">
        <v>50</v>
      </c>
      <c r="AE120" s="970">
        <f t="shared" si="48"/>
        <v>34.9</v>
      </c>
      <c r="AF120" s="971">
        <f t="shared" si="40"/>
        <v>28728</v>
      </c>
      <c r="AG120" s="857">
        <f t="shared" si="41"/>
        <v>0.14326647564469908</v>
      </c>
      <c r="AH120" s="576">
        <v>0</v>
      </c>
      <c r="AI120" s="856">
        <f t="shared" si="43"/>
        <v>5.4084872472489456E-2</v>
      </c>
      <c r="AJ120" s="859">
        <v>0</v>
      </c>
      <c r="AK120" s="583">
        <v>0</v>
      </c>
      <c r="AL120" s="971">
        <f t="shared" si="42"/>
        <v>0</v>
      </c>
      <c r="AM120" s="971">
        <f t="shared" si="29"/>
        <v>28728</v>
      </c>
      <c r="AN120" s="858">
        <f t="shared" si="30"/>
        <v>0</v>
      </c>
      <c r="AO120" s="857">
        <f t="shared" si="31"/>
        <v>1.9025165562913908</v>
      </c>
      <c r="AP120" s="973">
        <f t="shared" si="32"/>
        <v>3600</v>
      </c>
      <c r="AQ120" s="855">
        <f t="shared" si="33"/>
        <v>0.14326647564469908</v>
      </c>
      <c r="AR120" s="974">
        <f t="shared" si="46"/>
        <v>5.4084872472489456E-2</v>
      </c>
      <c r="AS120" s="975"/>
      <c r="AT120" s="976"/>
      <c r="AU120" s="971"/>
      <c r="AV120" s="976"/>
      <c r="AW120" s="970"/>
      <c r="AX120" s="971"/>
      <c r="AY120" s="971"/>
      <c r="AZ120" s="977"/>
      <c r="BA120" s="972"/>
      <c r="BB120" s="971"/>
      <c r="BC120" s="973"/>
      <c r="BD120" s="973"/>
      <c r="BE120" s="855"/>
      <c r="BF120" s="975"/>
      <c r="BG120" s="975"/>
      <c r="BH120" s="971"/>
      <c r="BI120" s="970"/>
      <c r="BJ120" s="971"/>
      <c r="BK120" s="971"/>
      <c r="BL120" s="977"/>
      <c r="BM120" s="972"/>
      <c r="BN120" s="971"/>
      <c r="BO120" s="973"/>
      <c r="BP120" s="973"/>
      <c r="BQ120" s="855"/>
      <c r="BR120" s="975"/>
      <c r="BS120" s="975"/>
      <c r="BT120" s="978"/>
      <c r="BU120" s="978"/>
      <c r="BV120" s="978">
        <v>0.10249999999999999</v>
      </c>
      <c r="BW120" s="978">
        <f t="shared" si="34"/>
        <v>-1.7548365349860078E-2</v>
      </c>
    </row>
    <row r="121" spans="1:75" hidden="1">
      <c r="A121" s="969">
        <v>2606</v>
      </c>
      <c r="B121" s="968" t="s">
        <v>211</v>
      </c>
      <c r="C121" s="969" t="s">
        <v>829</v>
      </c>
      <c r="D121" s="969" t="s">
        <v>52</v>
      </c>
      <c r="E121" s="955" t="s">
        <v>389</v>
      </c>
      <c r="F121" s="955"/>
      <c r="G121" s="955" t="str">
        <f>IFERROR(VLOOKUP(D121,[3]전용!E:J,6,0),"")</f>
        <v/>
      </c>
      <c r="H121" s="854">
        <v>33900</v>
      </c>
      <c r="I121" s="955">
        <v>5</v>
      </c>
      <c r="J121" s="955" t="s">
        <v>286</v>
      </c>
      <c r="K121" s="955">
        <v>12</v>
      </c>
      <c r="L121" s="970">
        <v>849</v>
      </c>
      <c r="M121" s="971">
        <f t="shared" si="26"/>
        <v>50940</v>
      </c>
      <c r="N121" s="855">
        <v>0.19780379705639237</v>
      </c>
      <c r="O121" s="855"/>
      <c r="P121" s="970">
        <v>849</v>
      </c>
      <c r="Q121" s="970">
        <f t="shared" si="27"/>
        <v>0</v>
      </c>
      <c r="R121" s="971">
        <f t="shared" si="44"/>
        <v>50940</v>
      </c>
      <c r="S121" s="856">
        <f t="shared" si="35"/>
        <v>0.19010443928845455</v>
      </c>
      <c r="T121" s="971"/>
      <c r="U121" s="971"/>
      <c r="V121" s="972">
        <v>6</v>
      </c>
      <c r="W121" s="971">
        <f t="shared" si="36"/>
        <v>2547</v>
      </c>
      <c r="X121" s="971">
        <f t="shared" si="37"/>
        <v>48393</v>
      </c>
      <c r="Y121" s="858">
        <f t="shared" si="38"/>
        <v>-5.0000000000000044E-2</v>
      </c>
      <c r="Z121" s="857">
        <f t="shared" si="39"/>
        <v>1.4275221238938054</v>
      </c>
      <c r="AA121" s="856">
        <v>0.16510443928845453</v>
      </c>
      <c r="AB121" s="856">
        <v>7.3072937788596568E-2</v>
      </c>
      <c r="AC121" s="970">
        <f t="shared" si="28"/>
        <v>849</v>
      </c>
      <c r="AD121" s="970"/>
      <c r="AE121" s="970">
        <f t="shared" si="48"/>
        <v>0</v>
      </c>
      <c r="AF121" s="971">
        <f t="shared" si="40"/>
        <v>50940</v>
      </c>
      <c r="AG121" s="857">
        <f t="shared" si="41"/>
        <v>0</v>
      </c>
      <c r="AH121" s="576">
        <v>0</v>
      </c>
      <c r="AI121" s="856">
        <f t="shared" si="43"/>
        <v>0.14010443928845451</v>
      </c>
      <c r="AJ121" s="859">
        <v>0</v>
      </c>
      <c r="AK121" s="583">
        <v>6</v>
      </c>
      <c r="AL121" s="971">
        <f t="shared" si="42"/>
        <v>2547</v>
      </c>
      <c r="AM121" s="971">
        <f t="shared" si="29"/>
        <v>48393</v>
      </c>
      <c r="AN121" s="858">
        <f t="shared" si="30"/>
        <v>-5.0000000000000044E-2</v>
      </c>
      <c r="AO121" s="857">
        <f t="shared" si="31"/>
        <v>1.4275221238938054</v>
      </c>
      <c r="AP121" s="973">
        <f t="shared" si="32"/>
        <v>0</v>
      </c>
      <c r="AQ121" s="855">
        <f t="shared" si="33"/>
        <v>0</v>
      </c>
      <c r="AR121" s="974">
        <f t="shared" si="46"/>
        <v>0.16510443928845453</v>
      </c>
      <c r="AS121" s="975"/>
      <c r="AT121" s="976"/>
      <c r="AU121" s="971"/>
      <c r="AV121" s="976"/>
      <c r="AW121" s="970"/>
      <c r="AX121" s="971"/>
      <c r="AY121" s="971"/>
      <c r="AZ121" s="977"/>
      <c r="BA121" s="972"/>
      <c r="BB121" s="971"/>
      <c r="BC121" s="973"/>
      <c r="BD121" s="973"/>
      <c r="BE121" s="855"/>
      <c r="BF121" s="975"/>
      <c r="BG121" s="975"/>
      <c r="BH121" s="971"/>
      <c r="BI121" s="970"/>
      <c r="BJ121" s="971"/>
      <c r="BK121" s="971"/>
      <c r="BL121" s="977"/>
      <c r="BM121" s="972"/>
      <c r="BN121" s="971"/>
      <c r="BO121" s="973"/>
      <c r="BP121" s="973"/>
      <c r="BQ121" s="855"/>
      <c r="BR121" s="975"/>
      <c r="BS121" s="975"/>
      <c r="BT121" s="978"/>
      <c r="BU121" s="978"/>
      <c r="BV121" s="978">
        <v>0.16501166743847692</v>
      </c>
      <c r="BW121" s="978">
        <f t="shared" si="34"/>
        <v>0.16510443928845453</v>
      </c>
    </row>
    <row r="122" spans="1:75" hidden="1">
      <c r="A122" s="969">
        <v>2606</v>
      </c>
      <c r="B122" s="968" t="s">
        <v>211</v>
      </c>
      <c r="C122" s="969" t="s">
        <v>829</v>
      </c>
      <c r="D122" s="969" t="s">
        <v>52</v>
      </c>
      <c r="E122" s="955" t="s">
        <v>389</v>
      </c>
      <c r="F122" s="955"/>
      <c r="G122" s="955" t="str">
        <f>IFERROR(VLOOKUP(D122,[3]전용!E:J,6,0),"")</f>
        <v/>
      </c>
      <c r="H122" s="854">
        <v>33900</v>
      </c>
      <c r="I122" s="955">
        <v>5</v>
      </c>
      <c r="J122" s="955" t="s">
        <v>288</v>
      </c>
      <c r="K122" s="955">
        <v>12</v>
      </c>
      <c r="L122" s="970">
        <v>749</v>
      </c>
      <c r="M122" s="971">
        <f t="shared" si="26"/>
        <v>44940</v>
      </c>
      <c r="N122" s="855">
        <v>0.20228006478017443</v>
      </c>
      <c r="O122" s="855"/>
      <c r="P122" s="970">
        <v>749</v>
      </c>
      <c r="Q122" s="970">
        <f t="shared" si="27"/>
        <v>0</v>
      </c>
      <c r="R122" s="971">
        <f t="shared" si="44"/>
        <v>44940</v>
      </c>
      <c r="S122" s="856">
        <f t="shared" si="35"/>
        <v>0.19010443928845455</v>
      </c>
      <c r="T122" s="971"/>
      <c r="U122" s="971"/>
      <c r="V122" s="972">
        <v>6</v>
      </c>
      <c r="W122" s="971">
        <f t="shared" si="36"/>
        <v>2247</v>
      </c>
      <c r="X122" s="971">
        <f t="shared" si="37"/>
        <v>42693</v>
      </c>
      <c r="Y122" s="858">
        <f t="shared" si="38"/>
        <v>-5.0000000000000044E-2</v>
      </c>
      <c r="Z122" s="857">
        <f t="shared" si="39"/>
        <v>1.2593805309734514</v>
      </c>
      <c r="AA122" s="856">
        <v>0.16510443928845453</v>
      </c>
      <c r="AB122" s="856">
        <v>7.3072937788596568E-2</v>
      </c>
      <c r="AC122" s="970">
        <f t="shared" si="28"/>
        <v>749</v>
      </c>
      <c r="AD122" s="970"/>
      <c r="AE122" s="970">
        <f t="shared" si="48"/>
        <v>0</v>
      </c>
      <c r="AF122" s="971">
        <f t="shared" si="40"/>
        <v>44940</v>
      </c>
      <c r="AG122" s="857">
        <f t="shared" si="41"/>
        <v>0</v>
      </c>
      <c r="AH122" s="576">
        <v>0</v>
      </c>
      <c r="AI122" s="856">
        <f t="shared" si="43"/>
        <v>0.14010443928845451</v>
      </c>
      <c r="AJ122" s="859">
        <v>0</v>
      </c>
      <c r="AK122" s="583">
        <v>6</v>
      </c>
      <c r="AL122" s="971">
        <f t="shared" si="42"/>
        <v>2247</v>
      </c>
      <c r="AM122" s="971">
        <f t="shared" si="29"/>
        <v>42693</v>
      </c>
      <c r="AN122" s="858">
        <f t="shared" si="30"/>
        <v>-5.0000000000000044E-2</v>
      </c>
      <c r="AO122" s="857">
        <f t="shared" si="31"/>
        <v>1.2593805309734514</v>
      </c>
      <c r="AP122" s="973">
        <f t="shared" si="32"/>
        <v>0</v>
      </c>
      <c r="AQ122" s="855">
        <f t="shared" si="33"/>
        <v>0</v>
      </c>
      <c r="AR122" s="974">
        <f t="shared" si="46"/>
        <v>0.16510443928845453</v>
      </c>
      <c r="AS122" s="975"/>
      <c r="AT122" s="976"/>
      <c r="AU122" s="971"/>
      <c r="AV122" s="976"/>
      <c r="AW122" s="970"/>
      <c r="AX122" s="971"/>
      <c r="AY122" s="971"/>
      <c r="AZ122" s="977"/>
      <c r="BA122" s="972"/>
      <c r="BB122" s="971"/>
      <c r="BC122" s="973"/>
      <c r="BD122" s="973"/>
      <c r="BE122" s="855"/>
      <c r="BF122" s="975"/>
      <c r="BG122" s="975"/>
      <c r="BH122" s="971"/>
      <c r="BI122" s="970"/>
      <c r="BJ122" s="971"/>
      <c r="BK122" s="971"/>
      <c r="BL122" s="977"/>
      <c r="BM122" s="972"/>
      <c r="BN122" s="971"/>
      <c r="BO122" s="973"/>
      <c r="BP122" s="973"/>
      <c r="BQ122" s="855"/>
      <c r="BR122" s="975"/>
      <c r="BS122" s="975"/>
      <c r="BT122" s="978"/>
      <c r="BU122" s="978"/>
      <c r="BV122" s="978">
        <v>0.16501166743847692</v>
      </c>
      <c r="BW122" s="978">
        <f t="shared" si="34"/>
        <v>0.16510443928845453</v>
      </c>
    </row>
    <row r="123" spans="1:75" hidden="1">
      <c r="A123" s="969">
        <v>2606</v>
      </c>
      <c r="B123" s="968" t="s">
        <v>211</v>
      </c>
      <c r="C123" s="969" t="s">
        <v>829</v>
      </c>
      <c r="D123" s="969" t="s">
        <v>52</v>
      </c>
      <c r="E123" s="955" t="s">
        <v>389</v>
      </c>
      <c r="F123" s="955"/>
      <c r="G123" s="955" t="str">
        <f>IFERROR(VLOOKUP(D123,[3]전용!E:J,6,0),"")</f>
        <v/>
      </c>
      <c r="H123" s="854">
        <v>33900</v>
      </c>
      <c r="I123" s="955">
        <v>6</v>
      </c>
      <c r="J123" s="955" t="s">
        <v>286</v>
      </c>
      <c r="K123" s="955">
        <v>12</v>
      </c>
      <c r="L123" s="970">
        <v>749</v>
      </c>
      <c r="M123" s="971">
        <f t="shared" si="26"/>
        <v>53928</v>
      </c>
      <c r="N123" s="855">
        <v>0.29172336680238131</v>
      </c>
      <c r="O123" s="855"/>
      <c r="P123" s="970">
        <v>749</v>
      </c>
      <c r="Q123" s="970">
        <f t="shared" si="27"/>
        <v>0</v>
      </c>
      <c r="R123" s="971">
        <f t="shared" si="44"/>
        <v>53928</v>
      </c>
      <c r="S123" s="856">
        <f t="shared" si="35"/>
        <v>0.18593777262178784</v>
      </c>
      <c r="T123" s="971"/>
      <c r="U123" s="971"/>
      <c r="V123" s="972">
        <v>6</v>
      </c>
      <c r="W123" s="971">
        <f t="shared" si="36"/>
        <v>2247</v>
      </c>
      <c r="X123" s="971">
        <f t="shared" si="37"/>
        <v>51681</v>
      </c>
      <c r="Y123" s="858">
        <f t="shared" si="38"/>
        <v>-4.166666666666663E-2</v>
      </c>
      <c r="Z123" s="857">
        <f t="shared" si="39"/>
        <v>1.5245132743362833</v>
      </c>
      <c r="AA123" s="856">
        <v>0.16510443928845453</v>
      </c>
      <c r="AB123" s="856">
        <v>7.3072937788596568E-2</v>
      </c>
      <c r="AC123" s="970">
        <f t="shared" si="28"/>
        <v>749</v>
      </c>
      <c r="AD123" s="970"/>
      <c r="AE123" s="970">
        <f t="shared" si="48"/>
        <v>0</v>
      </c>
      <c r="AF123" s="971">
        <f t="shared" si="40"/>
        <v>53928</v>
      </c>
      <c r="AG123" s="857">
        <f t="shared" si="41"/>
        <v>0</v>
      </c>
      <c r="AH123" s="576">
        <v>0</v>
      </c>
      <c r="AI123" s="856">
        <f t="shared" si="43"/>
        <v>0.14427110595512121</v>
      </c>
      <c r="AJ123" s="859">
        <v>0</v>
      </c>
      <c r="AK123" s="583">
        <v>6</v>
      </c>
      <c r="AL123" s="971">
        <f t="shared" si="42"/>
        <v>2247</v>
      </c>
      <c r="AM123" s="971">
        <f t="shared" si="29"/>
        <v>51681</v>
      </c>
      <c r="AN123" s="858">
        <f t="shared" si="30"/>
        <v>-4.166666666666663E-2</v>
      </c>
      <c r="AO123" s="857">
        <f t="shared" si="31"/>
        <v>1.5245132743362833</v>
      </c>
      <c r="AP123" s="973">
        <f t="shared" si="32"/>
        <v>0</v>
      </c>
      <c r="AQ123" s="855">
        <f t="shared" si="33"/>
        <v>0</v>
      </c>
      <c r="AR123" s="974">
        <f t="shared" si="46"/>
        <v>0.16510443928845453</v>
      </c>
      <c r="AS123" s="975"/>
      <c r="AT123" s="976"/>
      <c r="AU123" s="971"/>
      <c r="AV123" s="976"/>
      <c r="AW123" s="970"/>
      <c r="AX123" s="971"/>
      <c r="AY123" s="971"/>
      <c r="AZ123" s="977"/>
      <c r="BA123" s="972"/>
      <c r="BB123" s="971"/>
      <c r="BC123" s="973"/>
      <c r="BD123" s="973"/>
      <c r="BE123" s="855"/>
      <c r="BF123" s="975"/>
      <c r="BG123" s="975"/>
      <c r="BH123" s="971"/>
      <c r="BI123" s="970"/>
      <c r="BJ123" s="971"/>
      <c r="BK123" s="971"/>
      <c r="BL123" s="977"/>
      <c r="BM123" s="972"/>
      <c r="BN123" s="971"/>
      <c r="BO123" s="973"/>
      <c r="BP123" s="973"/>
      <c r="BQ123" s="855"/>
      <c r="BR123" s="975"/>
      <c r="BS123" s="975"/>
      <c r="BT123" s="978"/>
      <c r="BU123" s="978"/>
      <c r="BV123" s="978">
        <v>0.16501166743847692</v>
      </c>
      <c r="BW123" s="978">
        <f t="shared" si="34"/>
        <v>0.16510443928845453</v>
      </c>
    </row>
    <row r="124" spans="1:75" hidden="1">
      <c r="A124" s="980">
        <v>2606</v>
      </c>
      <c r="B124" s="979" t="s">
        <v>211</v>
      </c>
      <c r="C124" s="980" t="s">
        <v>829</v>
      </c>
      <c r="D124" s="980" t="s">
        <v>52</v>
      </c>
      <c r="E124" s="955" t="s">
        <v>389</v>
      </c>
      <c r="F124" s="955"/>
      <c r="G124" s="955" t="str">
        <f>IFERROR(VLOOKUP(D124,[3]전용!E:J,6,0),"")</f>
        <v/>
      </c>
      <c r="H124" s="854">
        <v>33900</v>
      </c>
      <c r="I124" s="955">
        <v>6</v>
      </c>
      <c r="J124" s="955" t="s">
        <v>288</v>
      </c>
      <c r="K124" s="955">
        <v>12</v>
      </c>
      <c r="L124" s="970">
        <v>649</v>
      </c>
      <c r="M124" s="971">
        <f t="shared" si="26"/>
        <v>46728</v>
      </c>
      <c r="N124" s="855">
        <v>0.31681528686956073</v>
      </c>
      <c r="O124" s="855"/>
      <c r="P124" s="970">
        <v>649</v>
      </c>
      <c r="Q124" s="970">
        <f t="shared" si="27"/>
        <v>0</v>
      </c>
      <c r="R124" s="971">
        <f t="shared" si="44"/>
        <v>46728</v>
      </c>
      <c r="S124" s="856">
        <f t="shared" si="35"/>
        <v>0.18593777262178784</v>
      </c>
      <c r="T124" s="971"/>
      <c r="U124" s="971"/>
      <c r="V124" s="972">
        <v>6</v>
      </c>
      <c r="W124" s="971">
        <f t="shared" si="36"/>
        <v>1947</v>
      </c>
      <c r="X124" s="971">
        <f t="shared" si="37"/>
        <v>44781</v>
      </c>
      <c r="Y124" s="858">
        <f t="shared" si="38"/>
        <v>-4.166666666666663E-2</v>
      </c>
      <c r="Z124" s="857">
        <f t="shared" si="39"/>
        <v>1.3209734513274336</v>
      </c>
      <c r="AA124" s="856">
        <v>0.16510443928845453</v>
      </c>
      <c r="AB124" s="856">
        <v>7.3072937788596568E-2</v>
      </c>
      <c r="AC124" s="970">
        <f t="shared" si="28"/>
        <v>649</v>
      </c>
      <c r="AD124" s="970"/>
      <c r="AE124" s="970">
        <f t="shared" si="48"/>
        <v>0</v>
      </c>
      <c r="AF124" s="971">
        <f t="shared" si="40"/>
        <v>46728</v>
      </c>
      <c r="AG124" s="857">
        <f t="shared" si="41"/>
        <v>0</v>
      </c>
      <c r="AH124" s="576">
        <v>0</v>
      </c>
      <c r="AI124" s="856">
        <f t="shared" si="43"/>
        <v>0.14427110595512121</v>
      </c>
      <c r="AJ124" s="859">
        <v>0</v>
      </c>
      <c r="AK124" s="583">
        <v>6</v>
      </c>
      <c r="AL124" s="971">
        <f t="shared" si="42"/>
        <v>1947</v>
      </c>
      <c r="AM124" s="971">
        <f t="shared" si="29"/>
        <v>44781</v>
      </c>
      <c r="AN124" s="858">
        <f t="shared" si="30"/>
        <v>-4.166666666666663E-2</v>
      </c>
      <c r="AO124" s="857">
        <f t="shared" si="31"/>
        <v>1.3209734513274336</v>
      </c>
      <c r="AP124" s="973">
        <f t="shared" si="32"/>
        <v>0</v>
      </c>
      <c r="AQ124" s="855">
        <f t="shared" si="33"/>
        <v>0</v>
      </c>
      <c r="AR124" s="974">
        <f t="shared" si="46"/>
        <v>0.16510443928845453</v>
      </c>
      <c r="AS124" s="975"/>
      <c r="AT124" s="976"/>
      <c r="AU124" s="971"/>
      <c r="AV124" s="976"/>
      <c r="AW124" s="970"/>
      <c r="AX124" s="971"/>
      <c r="AY124" s="971"/>
      <c r="AZ124" s="977"/>
      <c r="BA124" s="972"/>
      <c r="BB124" s="971"/>
      <c r="BC124" s="973"/>
      <c r="BD124" s="973"/>
      <c r="BE124" s="855"/>
      <c r="BF124" s="975"/>
      <c r="BG124" s="975"/>
      <c r="BH124" s="971"/>
      <c r="BI124" s="970"/>
      <c r="BJ124" s="971"/>
      <c r="BK124" s="971"/>
      <c r="BL124" s="977"/>
      <c r="BM124" s="972"/>
      <c r="BN124" s="971"/>
      <c r="BO124" s="973"/>
      <c r="BP124" s="973"/>
      <c r="BQ124" s="855"/>
      <c r="BR124" s="975"/>
      <c r="BS124" s="975"/>
      <c r="BT124" s="978"/>
      <c r="BU124" s="978"/>
      <c r="BV124" s="978">
        <v>0.16501166743847692</v>
      </c>
      <c r="BW124" s="978">
        <f t="shared" si="34"/>
        <v>0.16510443928845453</v>
      </c>
    </row>
    <row r="125" spans="1:75" hidden="1">
      <c r="A125" s="969">
        <v>2606</v>
      </c>
      <c r="B125" s="968" t="s">
        <v>211</v>
      </c>
      <c r="C125" s="969" t="s">
        <v>829</v>
      </c>
      <c r="D125" s="969" t="s">
        <v>255</v>
      </c>
      <c r="E125" s="955" t="s">
        <v>389</v>
      </c>
      <c r="F125" s="955"/>
      <c r="G125" s="955" t="str">
        <f>IFERROR(VLOOKUP(D125,[3]전용!E:J,6,0),"")</f>
        <v/>
      </c>
      <c r="H125" s="854">
        <v>39900</v>
      </c>
      <c r="I125" s="955">
        <v>5</v>
      </c>
      <c r="J125" s="955" t="s">
        <v>288</v>
      </c>
      <c r="K125" s="955">
        <v>12</v>
      </c>
      <c r="L125" s="970">
        <v>899</v>
      </c>
      <c r="M125" s="971">
        <f t="shared" si="26"/>
        <v>53940</v>
      </c>
      <c r="N125" s="855">
        <v>0.15</v>
      </c>
      <c r="O125" s="855"/>
      <c r="P125" s="970">
        <v>899</v>
      </c>
      <c r="Q125" s="970">
        <f t="shared" si="27"/>
        <v>0</v>
      </c>
      <c r="R125" s="971">
        <f t="shared" si="44"/>
        <v>53940</v>
      </c>
      <c r="S125" s="856">
        <f t="shared" si="35"/>
        <v>0.10270913787009613</v>
      </c>
      <c r="T125" s="971"/>
      <c r="U125" s="971"/>
      <c r="V125" s="972">
        <v>12</v>
      </c>
      <c r="W125" s="971">
        <f t="shared" si="36"/>
        <v>5394</v>
      </c>
      <c r="X125" s="971">
        <f t="shared" si="37"/>
        <v>48546</v>
      </c>
      <c r="Y125" s="858">
        <f t="shared" si="38"/>
        <v>-9.9999999999999978E-2</v>
      </c>
      <c r="Z125" s="857">
        <f t="shared" si="39"/>
        <v>1.2166917293233084</v>
      </c>
      <c r="AA125" s="856">
        <v>5.2709137870096137E-2</v>
      </c>
      <c r="AB125" s="856">
        <v>1.0059707652829054E-2</v>
      </c>
      <c r="AC125" s="970">
        <f t="shared" si="28"/>
        <v>899</v>
      </c>
      <c r="AD125" s="970"/>
      <c r="AE125" s="970">
        <f t="shared" si="48"/>
        <v>35.96</v>
      </c>
      <c r="AF125" s="971">
        <f t="shared" si="40"/>
        <v>53940</v>
      </c>
      <c r="AG125" s="857">
        <f t="shared" si="41"/>
        <v>0</v>
      </c>
      <c r="AH125" s="576">
        <v>0</v>
      </c>
      <c r="AI125" s="856">
        <f t="shared" si="43"/>
        <v>2.7091378700961483E-3</v>
      </c>
      <c r="AJ125" s="859">
        <v>0</v>
      </c>
      <c r="AK125" s="583">
        <v>12</v>
      </c>
      <c r="AL125" s="971">
        <f t="shared" si="42"/>
        <v>5394</v>
      </c>
      <c r="AM125" s="971">
        <f t="shared" si="29"/>
        <v>48546</v>
      </c>
      <c r="AN125" s="858">
        <f t="shared" si="30"/>
        <v>-9.9999999999999978E-2</v>
      </c>
      <c r="AO125" s="857">
        <f t="shared" si="31"/>
        <v>1.2166917293233084</v>
      </c>
      <c r="AP125" s="973">
        <f t="shared" si="32"/>
        <v>0</v>
      </c>
      <c r="AQ125" s="855">
        <f t="shared" si="33"/>
        <v>0</v>
      </c>
      <c r="AR125" s="974">
        <f t="shared" si="46"/>
        <v>5.2709137870096137E-2</v>
      </c>
      <c r="AS125" s="975"/>
      <c r="AT125" s="976"/>
      <c r="AU125" s="971"/>
      <c r="AV125" s="976"/>
      <c r="AW125" s="970"/>
      <c r="AX125" s="971"/>
      <c r="AY125" s="971"/>
      <c r="AZ125" s="977"/>
      <c r="BA125" s="972"/>
      <c r="BB125" s="971"/>
      <c r="BC125" s="973"/>
      <c r="BD125" s="973"/>
      <c r="BE125" s="855"/>
      <c r="BF125" s="975"/>
      <c r="BG125" s="975"/>
      <c r="BH125" s="971"/>
      <c r="BI125" s="970"/>
      <c r="BJ125" s="971"/>
      <c r="BK125" s="971"/>
      <c r="BL125" s="977"/>
      <c r="BM125" s="972"/>
      <c r="BN125" s="971"/>
      <c r="BO125" s="973"/>
      <c r="BP125" s="973"/>
      <c r="BQ125" s="855"/>
      <c r="BR125" s="975"/>
      <c r="BS125" s="975"/>
      <c r="BT125" s="978"/>
      <c r="BU125" s="978"/>
      <c r="BV125" s="978">
        <v>7.4001689665379095E-2</v>
      </c>
      <c r="BW125" s="978">
        <f t="shared" si="34"/>
        <v>5.2709137870096137E-2</v>
      </c>
    </row>
    <row r="126" spans="1:75" hidden="1">
      <c r="A126" s="980">
        <v>2606</v>
      </c>
      <c r="B126" s="979" t="s">
        <v>211</v>
      </c>
      <c r="C126" s="980" t="s">
        <v>829</v>
      </c>
      <c r="D126" s="980" t="s">
        <v>255</v>
      </c>
      <c r="E126" s="955" t="s">
        <v>389</v>
      </c>
      <c r="F126" s="955"/>
      <c r="G126" s="955" t="str">
        <f>IFERROR(VLOOKUP(D126,[3]전용!E:J,6,0),"")</f>
        <v/>
      </c>
      <c r="H126" s="854">
        <v>39900</v>
      </c>
      <c r="I126" s="955">
        <v>6</v>
      </c>
      <c r="J126" s="955" t="s">
        <v>288</v>
      </c>
      <c r="K126" s="955">
        <v>12</v>
      </c>
      <c r="L126" s="970">
        <v>899</v>
      </c>
      <c r="M126" s="971">
        <f t="shared" si="26"/>
        <v>64728</v>
      </c>
      <c r="N126" s="855">
        <v>0.15</v>
      </c>
      <c r="O126" s="855"/>
      <c r="P126" s="970">
        <v>799</v>
      </c>
      <c r="Q126" s="970">
        <f t="shared" si="27"/>
        <v>100</v>
      </c>
      <c r="R126" s="971">
        <f t="shared" si="44"/>
        <v>57528</v>
      </c>
      <c r="S126" s="856">
        <f t="shared" si="35"/>
        <v>9.4375804536762822E-2</v>
      </c>
      <c r="T126" s="971"/>
      <c r="U126" s="971"/>
      <c r="V126" s="972">
        <v>12</v>
      </c>
      <c r="W126" s="971">
        <f t="shared" si="36"/>
        <v>4794</v>
      </c>
      <c r="X126" s="971">
        <f t="shared" si="37"/>
        <v>52734</v>
      </c>
      <c r="Y126" s="858">
        <f t="shared" si="38"/>
        <v>-8.333333333333337E-2</v>
      </c>
      <c r="Z126" s="857">
        <f t="shared" si="39"/>
        <v>1.321654135338346</v>
      </c>
      <c r="AA126" s="856">
        <v>5.2709137870096137E-2</v>
      </c>
      <c r="AB126" s="856">
        <v>1.0059707652829054E-2</v>
      </c>
      <c r="AC126" s="970">
        <f t="shared" si="28"/>
        <v>799</v>
      </c>
      <c r="AD126" s="970"/>
      <c r="AE126" s="970">
        <f t="shared" si="48"/>
        <v>31.96</v>
      </c>
      <c r="AF126" s="971">
        <f t="shared" si="40"/>
        <v>57528</v>
      </c>
      <c r="AG126" s="857">
        <f t="shared" si="41"/>
        <v>0</v>
      </c>
      <c r="AH126" s="576">
        <v>0</v>
      </c>
      <c r="AI126" s="856">
        <f t="shared" si="43"/>
        <v>1.1042471203429452E-2</v>
      </c>
      <c r="AJ126" s="859">
        <v>0</v>
      </c>
      <c r="AK126" s="583">
        <v>12</v>
      </c>
      <c r="AL126" s="971">
        <f t="shared" si="42"/>
        <v>4794</v>
      </c>
      <c r="AM126" s="971">
        <f t="shared" si="29"/>
        <v>52734</v>
      </c>
      <c r="AN126" s="858">
        <f t="shared" si="30"/>
        <v>-8.333333333333337E-2</v>
      </c>
      <c r="AO126" s="857">
        <f t="shared" si="31"/>
        <v>1.321654135338346</v>
      </c>
      <c r="AP126" s="973">
        <f t="shared" si="32"/>
        <v>0</v>
      </c>
      <c r="AQ126" s="855">
        <f t="shared" si="33"/>
        <v>0</v>
      </c>
      <c r="AR126" s="974">
        <f t="shared" si="46"/>
        <v>5.2709137870096137E-2</v>
      </c>
      <c r="AS126" s="975"/>
      <c r="AT126" s="976"/>
      <c r="AU126" s="971"/>
      <c r="AV126" s="976"/>
      <c r="AW126" s="970"/>
      <c r="AX126" s="971"/>
      <c r="AY126" s="971"/>
      <c r="AZ126" s="977"/>
      <c r="BA126" s="972"/>
      <c r="BB126" s="971"/>
      <c r="BC126" s="973"/>
      <c r="BD126" s="973"/>
      <c r="BE126" s="855"/>
      <c r="BF126" s="975"/>
      <c r="BG126" s="975"/>
      <c r="BH126" s="971"/>
      <c r="BI126" s="970"/>
      <c r="BJ126" s="971"/>
      <c r="BK126" s="971"/>
      <c r="BL126" s="977"/>
      <c r="BM126" s="972"/>
      <c r="BN126" s="971"/>
      <c r="BO126" s="973"/>
      <c r="BP126" s="973"/>
      <c r="BQ126" s="855"/>
      <c r="BR126" s="975"/>
      <c r="BS126" s="975"/>
      <c r="BT126" s="978"/>
      <c r="BU126" s="978"/>
      <c r="BV126" s="978">
        <v>7.4001689665379095E-2</v>
      </c>
      <c r="BW126" s="978">
        <f t="shared" si="34"/>
        <v>5.2709137870096137E-2</v>
      </c>
    </row>
    <row r="127" spans="1:75" hidden="1">
      <c r="A127" s="980">
        <v>2606</v>
      </c>
      <c r="B127" s="979" t="s">
        <v>22</v>
      </c>
      <c r="C127" s="980" t="s">
        <v>829</v>
      </c>
      <c r="D127" s="980" t="s">
        <v>54</v>
      </c>
      <c r="E127" s="955" t="s">
        <v>389</v>
      </c>
      <c r="F127" s="955"/>
      <c r="G127" s="955" t="str">
        <f>IFERROR(VLOOKUP(D127,[3]전용!E:J,6,0),"")</f>
        <v/>
      </c>
      <c r="H127" s="854">
        <v>30900</v>
      </c>
      <c r="I127" s="955">
        <v>5</v>
      </c>
      <c r="J127" s="955" t="s">
        <v>288</v>
      </c>
      <c r="K127" s="955">
        <v>12</v>
      </c>
      <c r="L127" s="970">
        <v>699</v>
      </c>
      <c r="M127" s="971">
        <f t="shared" si="26"/>
        <v>41940</v>
      </c>
      <c r="N127" s="855">
        <v>0.20056738068298957</v>
      </c>
      <c r="O127" s="855"/>
      <c r="P127" s="970">
        <v>699</v>
      </c>
      <c r="Q127" s="970">
        <f t="shared" si="27"/>
        <v>0</v>
      </c>
      <c r="R127" s="971">
        <f t="shared" si="44"/>
        <v>41940</v>
      </c>
      <c r="S127" s="856">
        <f t="shared" si="35"/>
        <v>4.0311772573133557E-2</v>
      </c>
      <c r="T127" s="971"/>
      <c r="U127" s="971"/>
      <c r="V127" s="972">
        <v>3</v>
      </c>
      <c r="W127" s="971">
        <f t="shared" si="36"/>
        <v>1048.5</v>
      </c>
      <c r="X127" s="971">
        <f t="shared" si="37"/>
        <v>40891.5</v>
      </c>
      <c r="Y127" s="858">
        <f t="shared" si="38"/>
        <v>-2.5000000000000022E-2</v>
      </c>
      <c r="Z127" s="857">
        <f t="shared" si="39"/>
        <v>1.3233495145631069</v>
      </c>
      <c r="AA127" s="856">
        <v>2.7811772573133546E-2</v>
      </c>
      <c r="AB127" s="856">
        <v>5.0780204892870329E-2</v>
      </c>
      <c r="AC127" s="970">
        <f t="shared" si="28"/>
        <v>749</v>
      </c>
      <c r="AD127" s="970">
        <v>50</v>
      </c>
      <c r="AE127" s="970">
        <f t="shared" si="48"/>
        <v>52.424999999999997</v>
      </c>
      <c r="AF127" s="971">
        <f t="shared" si="40"/>
        <v>44940</v>
      </c>
      <c r="AG127" s="857">
        <f t="shared" si="41"/>
        <v>7.1530758226037161E-2</v>
      </c>
      <c r="AH127" s="576">
        <v>0</v>
      </c>
      <c r="AI127" s="856">
        <f t="shared" si="43"/>
        <v>6.5383303331359555E-2</v>
      </c>
      <c r="AJ127" s="859">
        <v>0</v>
      </c>
      <c r="AK127" s="583">
        <v>3</v>
      </c>
      <c r="AL127" s="971">
        <f t="shared" si="42"/>
        <v>1123.5</v>
      </c>
      <c r="AM127" s="971">
        <f t="shared" si="29"/>
        <v>43816.5</v>
      </c>
      <c r="AN127" s="858">
        <f t="shared" si="30"/>
        <v>-2.5000000000000022E-2</v>
      </c>
      <c r="AO127" s="857">
        <f t="shared" si="31"/>
        <v>1.418009708737864</v>
      </c>
      <c r="AP127" s="973">
        <f t="shared" si="32"/>
        <v>2925</v>
      </c>
      <c r="AQ127" s="855">
        <f t="shared" si="33"/>
        <v>7.1530758226037161E-2</v>
      </c>
      <c r="AR127" s="974">
        <f>IFERROR(AA127+AQ127*0.7,"")</f>
        <v>7.7883303331359566E-2</v>
      </c>
      <c r="AS127" s="975"/>
      <c r="AT127" s="976"/>
      <c r="AU127" s="971"/>
      <c r="AV127" s="976"/>
      <c r="AW127" s="970"/>
      <c r="AX127" s="971"/>
      <c r="AY127" s="971"/>
      <c r="AZ127" s="977"/>
      <c r="BA127" s="972"/>
      <c r="BB127" s="971"/>
      <c r="BC127" s="973"/>
      <c r="BD127" s="973"/>
      <c r="BE127" s="855"/>
      <c r="BF127" s="975"/>
      <c r="BG127" s="975"/>
      <c r="BH127" s="971"/>
      <c r="BI127" s="970"/>
      <c r="BJ127" s="971"/>
      <c r="BK127" s="971"/>
      <c r="BL127" s="977"/>
      <c r="BM127" s="972"/>
      <c r="BN127" s="971"/>
      <c r="BO127" s="973"/>
      <c r="BP127" s="973"/>
      <c r="BQ127" s="855"/>
      <c r="BR127" s="975"/>
      <c r="BS127" s="975"/>
      <c r="BT127" s="978"/>
      <c r="BU127" s="978"/>
      <c r="BV127" s="978">
        <v>6.7978435096957807E-2</v>
      </c>
      <c r="BW127" s="978">
        <f t="shared" si="34"/>
        <v>2.7811772573133546E-2</v>
      </c>
    </row>
    <row r="128" spans="1:75" hidden="1">
      <c r="A128" s="983">
        <v>2606</v>
      </c>
      <c r="B128" s="979" t="s">
        <v>22</v>
      </c>
      <c r="C128" s="980" t="s">
        <v>831</v>
      </c>
      <c r="D128" s="983" t="s">
        <v>384</v>
      </c>
      <c r="E128" s="955" t="s">
        <v>389</v>
      </c>
      <c r="F128" s="955"/>
      <c r="G128" s="955" t="str">
        <f>IFERROR(VLOOKUP(D128,[3]전용!E:J,6,0),"")</f>
        <v/>
      </c>
      <c r="H128" s="854">
        <v>19900</v>
      </c>
      <c r="I128" s="955">
        <v>5</v>
      </c>
      <c r="J128" s="955" t="s">
        <v>288</v>
      </c>
      <c r="K128" s="955">
        <v>12</v>
      </c>
      <c r="L128" s="970">
        <v>499</v>
      </c>
      <c r="M128" s="971">
        <f t="shared" si="26"/>
        <v>29940</v>
      </c>
      <c r="N128" s="855">
        <v>0.15</v>
      </c>
      <c r="O128" s="855"/>
      <c r="P128" s="970">
        <v>499</v>
      </c>
      <c r="Q128" s="970">
        <f t="shared" si="27"/>
        <v>0</v>
      </c>
      <c r="R128" s="971">
        <f t="shared" si="44"/>
        <v>29940</v>
      </c>
      <c r="S128" s="856">
        <f t="shared" si="35"/>
        <v>0.12160326462867241</v>
      </c>
      <c r="T128" s="971"/>
      <c r="U128" s="971"/>
      <c r="V128" s="972">
        <v>0</v>
      </c>
      <c r="W128" s="971">
        <f t="shared" si="36"/>
        <v>0</v>
      </c>
      <c r="X128" s="971">
        <f t="shared" si="37"/>
        <v>29940</v>
      </c>
      <c r="Y128" s="858">
        <f t="shared" si="38"/>
        <v>0</v>
      </c>
      <c r="Z128" s="857">
        <f t="shared" si="39"/>
        <v>1.5045226130653266</v>
      </c>
      <c r="AA128" s="856">
        <v>0.12160326462867241</v>
      </c>
      <c r="AB128" s="856">
        <v>1.9985912525264916E-2</v>
      </c>
      <c r="AC128" s="970">
        <f t="shared" si="28"/>
        <v>549</v>
      </c>
      <c r="AD128" s="970">
        <v>50</v>
      </c>
      <c r="AE128" s="970">
        <f t="shared" si="48"/>
        <v>0</v>
      </c>
      <c r="AF128" s="971">
        <f t="shared" si="40"/>
        <v>32940</v>
      </c>
      <c r="AG128" s="857">
        <f t="shared" si="41"/>
        <v>0.10020040080160331</v>
      </c>
      <c r="AH128" s="576">
        <v>0</v>
      </c>
      <c r="AI128" s="856">
        <f t="shared" si="43"/>
        <v>0.19174354518979472</v>
      </c>
      <c r="AJ128" s="859">
        <v>0</v>
      </c>
      <c r="AK128" s="583">
        <v>0</v>
      </c>
      <c r="AL128" s="971">
        <f t="shared" si="42"/>
        <v>0</v>
      </c>
      <c r="AM128" s="971">
        <f t="shared" si="29"/>
        <v>32940</v>
      </c>
      <c r="AN128" s="858">
        <f t="shared" si="30"/>
        <v>0</v>
      </c>
      <c r="AO128" s="857">
        <f t="shared" si="31"/>
        <v>1.6552763819095477</v>
      </c>
      <c r="AP128" s="973">
        <f t="shared" si="32"/>
        <v>3000</v>
      </c>
      <c r="AQ128" s="855">
        <f t="shared" si="33"/>
        <v>0.10020040080160331</v>
      </c>
      <c r="AR128" s="974">
        <f>IFERROR(AA128+AQ128*0.7,"")</f>
        <v>0.19174354518979472</v>
      </c>
      <c r="AS128" s="975"/>
      <c r="AT128" s="976"/>
      <c r="AU128" s="971"/>
      <c r="AV128" s="976"/>
      <c r="AW128" s="970"/>
      <c r="AX128" s="971"/>
      <c r="AY128" s="971"/>
      <c r="AZ128" s="977"/>
      <c r="BA128" s="972"/>
      <c r="BB128" s="971"/>
      <c r="BC128" s="973"/>
      <c r="BD128" s="973"/>
      <c r="BE128" s="855"/>
      <c r="BF128" s="975"/>
      <c r="BG128" s="975"/>
      <c r="BH128" s="971"/>
      <c r="BI128" s="970"/>
      <c r="BJ128" s="971"/>
      <c r="BK128" s="971"/>
      <c r="BL128" s="977"/>
      <c r="BM128" s="972"/>
      <c r="BN128" s="971"/>
      <c r="BO128" s="973"/>
      <c r="BP128" s="973"/>
      <c r="BQ128" s="855"/>
      <c r="BR128" s="975"/>
      <c r="BS128" s="975"/>
      <c r="BT128" s="978"/>
      <c r="BU128" s="978"/>
      <c r="BV128" s="978">
        <v>6.1949211832783499E-2</v>
      </c>
      <c r="BW128" s="978">
        <f t="shared" si="34"/>
        <v>0.12160326462867241</v>
      </c>
    </row>
    <row r="129" spans="1:75" hidden="1">
      <c r="A129" s="969">
        <v>2606</v>
      </c>
      <c r="B129" s="968" t="s">
        <v>23</v>
      </c>
      <c r="C129" s="993" t="s">
        <v>829</v>
      </c>
      <c r="D129" s="969" t="s">
        <v>56</v>
      </c>
      <c r="E129" s="955" t="s">
        <v>519</v>
      </c>
      <c r="F129" s="955"/>
      <c r="G129" s="955" t="str">
        <f>IFERROR(VLOOKUP(D129,[3]전용!E:J,6,0),"")</f>
        <v/>
      </c>
      <c r="H129" s="854">
        <v>30000</v>
      </c>
      <c r="I129" s="955">
        <v>5</v>
      </c>
      <c r="J129" s="955" t="s">
        <v>286</v>
      </c>
      <c r="K129" s="955">
        <v>6</v>
      </c>
      <c r="L129" s="970">
        <v>899</v>
      </c>
      <c r="M129" s="971">
        <f t="shared" si="26"/>
        <v>53940</v>
      </c>
      <c r="N129" s="855">
        <v>0.17351134846461955</v>
      </c>
      <c r="O129" s="855"/>
      <c r="P129" s="970">
        <v>899</v>
      </c>
      <c r="Q129" s="970">
        <f t="shared" si="27"/>
        <v>0</v>
      </c>
      <c r="R129" s="971">
        <f t="shared" si="44"/>
        <v>53940</v>
      </c>
      <c r="S129" s="856">
        <f t="shared" si="35"/>
        <v>0.18086596668173846</v>
      </c>
      <c r="T129" s="971"/>
      <c r="U129" s="971"/>
      <c r="V129" s="972">
        <v>12</v>
      </c>
      <c r="W129" s="971">
        <f t="shared" si="36"/>
        <v>5394</v>
      </c>
      <c r="X129" s="971">
        <f t="shared" si="37"/>
        <v>48546</v>
      </c>
      <c r="Y129" s="858">
        <f t="shared" si="38"/>
        <v>-9.9999999999999978E-2</v>
      </c>
      <c r="Z129" s="857">
        <f t="shared" si="39"/>
        <v>1.6182000000000001</v>
      </c>
      <c r="AA129" s="856">
        <v>0.13086596668173847</v>
      </c>
      <c r="AB129" s="856">
        <v>0.10557434116712765</v>
      </c>
      <c r="AC129" s="970">
        <f t="shared" si="28"/>
        <v>899</v>
      </c>
      <c r="AD129" s="970"/>
      <c r="AE129" s="970">
        <f t="shared" si="48"/>
        <v>0</v>
      </c>
      <c r="AF129" s="971">
        <f t="shared" si="40"/>
        <v>53940</v>
      </c>
      <c r="AG129" s="857">
        <f t="shared" si="41"/>
        <v>0</v>
      </c>
      <c r="AH129" s="576">
        <v>0</v>
      </c>
      <c r="AI129" s="856">
        <f t="shared" si="43"/>
        <v>0.13364374445951624</v>
      </c>
      <c r="AJ129" s="859">
        <v>0</v>
      </c>
      <c r="AK129" s="583">
        <v>6</v>
      </c>
      <c r="AL129" s="971">
        <f t="shared" si="42"/>
        <v>2697</v>
      </c>
      <c r="AM129" s="971">
        <f t="shared" si="29"/>
        <v>51243</v>
      </c>
      <c r="AN129" s="858">
        <f t="shared" si="30"/>
        <v>-5.0000000000000044E-2</v>
      </c>
      <c r="AO129" s="857">
        <f t="shared" si="31"/>
        <v>1.7081</v>
      </c>
      <c r="AP129" s="973">
        <f t="shared" si="32"/>
        <v>2697</v>
      </c>
      <c r="AQ129" s="855">
        <f t="shared" si="33"/>
        <v>5.555555555555558E-2</v>
      </c>
      <c r="AR129" s="974">
        <f t="shared" si="46"/>
        <v>0.15864374445951626</v>
      </c>
      <c r="AS129" s="975"/>
      <c r="AT129" s="976"/>
      <c r="AU129" s="971"/>
      <c r="AV129" s="976"/>
      <c r="AW129" s="970"/>
      <c r="AX129" s="971"/>
      <c r="AY129" s="971"/>
      <c r="AZ129" s="977"/>
      <c r="BA129" s="972"/>
      <c r="BB129" s="971"/>
      <c r="BC129" s="973"/>
      <c r="BD129" s="973"/>
      <c r="BE129" s="855"/>
      <c r="BF129" s="975"/>
      <c r="BG129" s="975"/>
      <c r="BH129" s="971"/>
      <c r="BI129" s="970"/>
      <c r="BJ129" s="971"/>
      <c r="BK129" s="971"/>
      <c r="BL129" s="977"/>
      <c r="BM129" s="972"/>
      <c r="BN129" s="971"/>
      <c r="BO129" s="973"/>
      <c r="BP129" s="973"/>
      <c r="BQ129" s="855"/>
      <c r="BR129" s="975"/>
      <c r="BS129" s="975"/>
      <c r="BT129" s="978"/>
      <c r="BU129" s="978"/>
      <c r="BV129" s="978">
        <v>0.10199999999999999</v>
      </c>
      <c r="BW129" s="978">
        <f t="shared" si="34"/>
        <v>0.13086596668173847</v>
      </c>
    </row>
    <row r="130" spans="1:75" hidden="1">
      <c r="A130" s="969">
        <v>2606</v>
      </c>
      <c r="B130" s="968" t="s">
        <v>23</v>
      </c>
      <c r="C130" s="994" t="s">
        <v>829</v>
      </c>
      <c r="D130" s="969" t="s">
        <v>56</v>
      </c>
      <c r="E130" s="955" t="s">
        <v>519</v>
      </c>
      <c r="F130" s="955"/>
      <c r="G130" s="955" t="str">
        <f>IFERROR(VLOOKUP(D130,[3]전용!E:J,6,0),"")</f>
        <v/>
      </c>
      <c r="H130" s="854">
        <v>30000</v>
      </c>
      <c r="I130" s="955">
        <v>5</v>
      </c>
      <c r="J130" s="955" t="s">
        <v>286</v>
      </c>
      <c r="K130" s="955">
        <v>12</v>
      </c>
      <c r="L130" s="970">
        <v>799</v>
      </c>
      <c r="M130" s="971">
        <f t="shared" si="26"/>
        <v>47940</v>
      </c>
      <c r="N130" s="855">
        <v>0.19408320493066253</v>
      </c>
      <c r="O130" s="855"/>
      <c r="P130" s="970">
        <v>799</v>
      </c>
      <c r="Q130" s="970">
        <f t="shared" si="27"/>
        <v>0</v>
      </c>
      <c r="R130" s="971">
        <f t="shared" si="44"/>
        <v>47940</v>
      </c>
      <c r="S130" s="856">
        <f t="shared" si="35"/>
        <v>0.18086596668173846</v>
      </c>
      <c r="T130" s="971"/>
      <c r="U130" s="971"/>
      <c r="V130" s="972">
        <v>12</v>
      </c>
      <c r="W130" s="971">
        <f t="shared" si="36"/>
        <v>4794</v>
      </c>
      <c r="X130" s="971">
        <f t="shared" si="37"/>
        <v>43146</v>
      </c>
      <c r="Y130" s="858">
        <f t="shared" si="38"/>
        <v>-9.9999999999999978E-2</v>
      </c>
      <c r="Z130" s="857">
        <f t="shared" si="39"/>
        <v>1.4381999999999999</v>
      </c>
      <c r="AA130" s="856">
        <v>0.13086596668173847</v>
      </c>
      <c r="AB130" s="856">
        <v>0.10557434116712765</v>
      </c>
      <c r="AC130" s="970">
        <f t="shared" si="28"/>
        <v>799</v>
      </c>
      <c r="AD130" s="970"/>
      <c r="AE130" s="970">
        <f t="shared" si="48"/>
        <v>0</v>
      </c>
      <c r="AF130" s="971">
        <f t="shared" si="40"/>
        <v>47940</v>
      </c>
      <c r="AG130" s="857">
        <f t="shared" si="41"/>
        <v>0</v>
      </c>
      <c r="AH130" s="576">
        <v>0</v>
      </c>
      <c r="AI130" s="856">
        <f t="shared" si="43"/>
        <v>0.13364374445951624</v>
      </c>
      <c r="AJ130" s="859">
        <v>0</v>
      </c>
      <c r="AK130" s="583">
        <v>6</v>
      </c>
      <c r="AL130" s="971">
        <f t="shared" si="42"/>
        <v>2397</v>
      </c>
      <c r="AM130" s="971">
        <f t="shared" si="29"/>
        <v>45543</v>
      </c>
      <c r="AN130" s="858">
        <f t="shared" si="30"/>
        <v>-5.0000000000000044E-2</v>
      </c>
      <c r="AO130" s="857">
        <f t="shared" si="31"/>
        <v>1.5181</v>
      </c>
      <c r="AP130" s="973">
        <f t="shared" si="32"/>
        <v>2397</v>
      </c>
      <c r="AQ130" s="855">
        <f t="shared" si="33"/>
        <v>5.555555555555558E-2</v>
      </c>
      <c r="AR130" s="974">
        <f t="shared" si="46"/>
        <v>0.15864374445951626</v>
      </c>
      <c r="AS130" s="975"/>
      <c r="AT130" s="976"/>
      <c r="AU130" s="971"/>
      <c r="AV130" s="976"/>
      <c r="AW130" s="970"/>
      <c r="AX130" s="971"/>
      <c r="AY130" s="971"/>
      <c r="AZ130" s="977"/>
      <c r="BA130" s="972"/>
      <c r="BB130" s="971"/>
      <c r="BC130" s="973"/>
      <c r="BD130" s="973"/>
      <c r="BE130" s="855"/>
      <c r="BF130" s="975"/>
      <c r="BG130" s="975"/>
      <c r="BH130" s="971"/>
      <c r="BI130" s="970"/>
      <c r="BJ130" s="971"/>
      <c r="BK130" s="971"/>
      <c r="BL130" s="977"/>
      <c r="BM130" s="972"/>
      <c r="BN130" s="971"/>
      <c r="BO130" s="973"/>
      <c r="BP130" s="973"/>
      <c r="BQ130" s="855"/>
      <c r="BR130" s="975"/>
      <c r="BS130" s="975"/>
      <c r="BT130" s="978"/>
      <c r="BU130" s="978"/>
      <c r="BV130" s="978">
        <v>0.10199999999999999</v>
      </c>
      <c r="BW130" s="978">
        <f t="shared" si="34"/>
        <v>0.13086596668173847</v>
      </c>
    </row>
    <row r="131" spans="1:75" hidden="1">
      <c r="A131" s="969">
        <v>2606</v>
      </c>
      <c r="B131" s="968" t="s">
        <v>23</v>
      </c>
      <c r="C131" s="994" t="s">
        <v>829</v>
      </c>
      <c r="D131" s="969" t="s">
        <v>57</v>
      </c>
      <c r="E131" s="955" t="s">
        <v>520</v>
      </c>
      <c r="F131" s="955"/>
      <c r="G131" s="955" t="str">
        <f>IFERROR(VLOOKUP(D131,[3]전용!E:J,6,0),"")</f>
        <v/>
      </c>
      <c r="H131" s="854">
        <v>33300</v>
      </c>
      <c r="I131" s="955">
        <v>5</v>
      </c>
      <c r="J131" s="955" t="s">
        <v>286</v>
      </c>
      <c r="K131" s="955">
        <v>6</v>
      </c>
      <c r="L131" s="970">
        <v>949</v>
      </c>
      <c r="M131" s="971">
        <f t="shared" si="26"/>
        <v>56940</v>
      </c>
      <c r="N131" s="855">
        <v>0.20515644555694618</v>
      </c>
      <c r="O131" s="855"/>
      <c r="P131" s="970">
        <v>949</v>
      </c>
      <c r="Q131" s="970">
        <f t="shared" si="27"/>
        <v>0</v>
      </c>
      <c r="R131" s="971">
        <f t="shared" si="44"/>
        <v>56940</v>
      </c>
      <c r="S131" s="856">
        <f t="shared" si="35"/>
        <v>0.20397706138988123</v>
      </c>
      <c r="T131" s="971"/>
      <c r="U131" s="971"/>
      <c r="V131" s="972">
        <v>12</v>
      </c>
      <c r="W131" s="971">
        <f t="shared" si="36"/>
        <v>5694</v>
      </c>
      <c r="X131" s="971">
        <f t="shared" si="37"/>
        <v>51246</v>
      </c>
      <c r="Y131" s="858">
        <f t="shared" si="38"/>
        <v>-9.9999999999999978E-2</v>
      </c>
      <c r="Z131" s="857">
        <f t="shared" si="39"/>
        <v>1.538918918918919</v>
      </c>
      <c r="AA131" s="856">
        <v>0.15397706138988124</v>
      </c>
      <c r="AB131" s="856">
        <v>6.1049839985599035E-2</v>
      </c>
      <c r="AC131" s="970">
        <f t="shared" si="28"/>
        <v>949</v>
      </c>
      <c r="AD131" s="970"/>
      <c r="AE131" s="970">
        <f t="shared" si="48"/>
        <v>0</v>
      </c>
      <c r="AF131" s="971">
        <f t="shared" si="40"/>
        <v>56940</v>
      </c>
      <c r="AG131" s="857">
        <f t="shared" si="41"/>
        <v>0</v>
      </c>
      <c r="AH131" s="576">
        <v>0</v>
      </c>
      <c r="AI131" s="856">
        <f t="shared" si="43"/>
        <v>0.156754839167659</v>
      </c>
      <c r="AJ131" s="859">
        <v>0</v>
      </c>
      <c r="AK131" s="583">
        <v>6</v>
      </c>
      <c r="AL131" s="971">
        <f t="shared" si="42"/>
        <v>2847</v>
      </c>
      <c r="AM131" s="971">
        <f t="shared" si="29"/>
        <v>54093</v>
      </c>
      <c r="AN131" s="858">
        <f t="shared" si="30"/>
        <v>-5.0000000000000044E-2</v>
      </c>
      <c r="AO131" s="857">
        <f t="shared" si="31"/>
        <v>1.6244144144144144</v>
      </c>
      <c r="AP131" s="973">
        <f t="shared" si="32"/>
        <v>2847</v>
      </c>
      <c r="AQ131" s="855">
        <f t="shared" si="33"/>
        <v>5.555555555555558E-2</v>
      </c>
      <c r="AR131" s="974">
        <f t="shared" si="46"/>
        <v>0.18175483916765903</v>
      </c>
      <c r="AS131" s="975"/>
      <c r="AT131" s="976"/>
      <c r="AU131" s="971"/>
      <c r="AV131" s="976"/>
      <c r="AW131" s="970"/>
      <c r="AX131" s="971"/>
      <c r="AY131" s="971"/>
      <c r="AZ131" s="977"/>
      <c r="BA131" s="972"/>
      <c r="BB131" s="971"/>
      <c r="BC131" s="973"/>
      <c r="BD131" s="973"/>
      <c r="BE131" s="855"/>
      <c r="BF131" s="975"/>
      <c r="BG131" s="975"/>
      <c r="BH131" s="971"/>
      <c r="BI131" s="970"/>
      <c r="BJ131" s="971"/>
      <c r="BK131" s="971"/>
      <c r="BL131" s="977"/>
      <c r="BM131" s="972"/>
      <c r="BN131" s="971"/>
      <c r="BO131" s="973"/>
      <c r="BP131" s="973"/>
      <c r="BQ131" s="855"/>
      <c r="BR131" s="975"/>
      <c r="BS131" s="975"/>
      <c r="BT131" s="978"/>
      <c r="BU131" s="978"/>
      <c r="BV131" s="978">
        <v>0.10100000000000001</v>
      </c>
      <c r="BW131" s="978">
        <f t="shared" si="34"/>
        <v>0.15397706138988124</v>
      </c>
    </row>
    <row r="132" spans="1:75" hidden="1">
      <c r="A132" s="969">
        <v>2606</v>
      </c>
      <c r="B132" s="968" t="s">
        <v>23</v>
      </c>
      <c r="C132" s="994" t="s">
        <v>829</v>
      </c>
      <c r="D132" s="969" t="s">
        <v>57</v>
      </c>
      <c r="E132" s="955" t="s">
        <v>520</v>
      </c>
      <c r="F132" s="955"/>
      <c r="G132" s="955" t="str">
        <f>IFERROR(VLOOKUP(D132,[3]전용!E:J,6,0),"")</f>
        <v/>
      </c>
      <c r="H132" s="854">
        <v>33300</v>
      </c>
      <c r="I132" s="955">
        <v>5</v>
      </c>
      <c r="J132" s="955" t="s">
        <v>286</v>
      </c>
      <c r="K132" s="955">
        <v>12</v>
      </c>
      <c r="L132" s="970">
        <v>849</v>
      </c>
      <c r="M132" s="971">
        <f t="shared" ref="M132:M195" si="49">L132*LEFT(I132,1)*12</f>
        <v>50940</v>
      </c>
      <c r="N132" s="855">
        <v>0.22306151645207445</v>
      </c>
      <c r="O132" s="855"/>
      <c r="P132" s="970">
        <v>849</v>
      </c>
      <c r="Q132" s="970">
        <f t="shared" ref="Q132:Q187" si="50">L132-P132</f>
        <v>0</v>
      </c>
      <c r="R132" s="971">
        <f t="shared" si="44"/>
        <v>50940</v>
      </c>
      <c r="S132" s="856">
        <f t="shared" si="35"/>
        <v>0.20397706138988123</v>
      </c>
      <c r="T132" s="971"/>
      <c r="U132" s="971"/>
      <c r="V132" s="972">
        <v>12</v>
      </c>
      <c r="W132" s="971">
        <f t="shared" si="36"/>
        <v>5094</v>
      </c>
      <c r="X132" s="971">
        <f t="shared" si="37"/>
        <v>45846</v>
      </c>
      <c r="Y132" s="858">
        <f t="shared" si="38"/>
        <v>-9.9999999999999978E-2</v>
      </c>
      <c r="Z132" s="857">
        <f t="shared" si="39"/>
        <v>1.3767567567567567</v>
      </c>
      <c r="AA132" s="856">
        <v>0.15397706138988124</v>
      </c>
      <c r="AB132" s="856">
        <v>6.1049839985599035E-2</v>
      </c>
      <c r="AC132" s="970">
        <f t="shared" ref="AC132:AC195" si="51">P132+AD132</f>
        <v>849</v>
      </c>
      <c r="AD132" s="970"/>
      <c r="AE132" s="970">
        <f t="shared" si="48"/>
        <v>0</v>
      </c>
      <c r="AF132" s="971">
        <f t="shared" si="40"/>
        <v>50940</v>
      </c>
      <c r="AG132" s="857">
        <f t="shared" si="41"/>
        <v>0</v>
      </c>
      <c r="AH132" s="576">
        <v>0</v>
      </c>
      <c r="AI132" s="856">
        <f t="shared" si="43"/>
        <v>0.156754839167659</v>
      </c>
      <c r="AJ132" s="859">
        <v>0</v>
      </c>
      <c r="AK132" s="583">
        <v>6</v>
      </c>
      <c r="AL132" s="971">
        <f t="shared" si="42"/>
        <v>2547</v>
      </c>
      <c r="AM132" s="971">
        <f t="shared" ref="AM132:AM195" si="52">AF132-AL132</f>
        <v>48393</v>
      </c>
      <c r="AN132" s="858">
        <f t="shared" ref="AN132:AN195" si="53">AM132/AF132-1</f>
        <v>-5.0000000000000044E-2</v>
      </c>
      <c r="AO132" s="857">
        <f t="shared" ref="AO132:AO195" si="54">IFERROR(AM132/H132,"")</f>
        <v>1.4532432432432432</v>
      </c>
      <c r="AP132" s="973">
        <f t="shared" ref="AP132:AP195" si="55">AM132-X132</f>
        <v>2547</v>
      </c>
      <c r="AQ132" s="855">
        <f t="shared" ref="AQ132:AQ195" si="56">AM132/X132-1</f>
        <v>5.555555555555558E-2</v>
      </c>
      <c r="AR132" s="974">
        <f t="shared" si="46"/>
        <v>0.18175483916765903</v>
      </c>
      <c r="AS132" s="975"/>
      <c r="AT132" s="976"/>
      <c r="AU132" s="971"/>
      <c r="AV132" s="976"/>
      <c r="AW132" s="970"/>
      <c r="AX132" s="971"/>
      <c r="AY132" s="971"/>
      <c r="AZ132" s="977"/>
      <c r="BA132" s="972"/>
      <c r="BB132" s="971"/>
      <c r="BC132" s="973"/>
      <c r="BD132" s="973"/>
      <c r="BE132" s="855"/>
      <c r="BF132" s="975"/>
      <c r="BG132" s="975"/>
      <c r="BH132" s="971"/>
      <c r="BI132" s="970"/>
      <c r="BJ132" s="971"/>
      <c r="BK132" s="971"/>
      <c r="BL132" s="977"/>
      <c r="BM132" s="972"/>
      <c r="BN132" s="971"/>
      <c r="BO132" s="973"/>
      <c r="BP132" s="973"/>
      <c r="BQ132" s="855"/>
      <c r="BR132" s="975"/>
      <c r="BS132" s="975"/>
      <c r="BT132" s="978"/>
      <c r="BU132" s="978"/>
      <c r="BV132" s="978">
        <v>0.10199999999999999</v>
      </c>
      <c r="BW132" s="978">
        <f t="shared" ref="BW132:BW195" si="57">IF(AA132&gt;19%,AA132-3.8%,AA132)</f>
        <v>0.15397706138988124</v>
      </c>
    </row>
    <row r="133" spans="1:75" hidden="1">
      <c r="A133" s="969">
        <v>2606</v>
      </c>
      <c r="B133" s="968" t="s">
        <v>23</v>
      </c>
      <c r="C133" s="994" t="s">
        <v>829</v>
      </c>
      <c r="D133" s="969" t="s">
        <v>328</v>
      </c>
      <c r="E133" s="995" t="s">
        <v>521</v>
      </c>
      <c r="F133" s="955"/>
      <c r="G133" s="955" t="str">
        <f>IFERROR(VLOOKUP(D133,[3]전용!E:J,6,0),"")</f>
        <v/>
      </c>
      <c r="H133" s="854">
        <v>41391</v>
      </c>
      <c r="I133" s="955">
        <v>5</v>
      </c>
      <c r="J133" s="955" t="s">
        <v>286</v>
      </c>
      <c r="K133" s="955">
        <v>6</v>
      </c>
      <c r="L133" s="970">
        <v>1149</v>
      </c>
      <c r="M133" s="971">
        <f t="shared" si="49"/>
        <v>68940</v>
      </c>
      <c r="N133" s="855">
        <v>0.15</v>
      </c>
      <c r="O133" s="855"/>
      <c r="P133" s="970">
        <v>1149</v>
      </c>
      <c r="Q133" s="970">
        <f t="shared" si="50"/>
        <v>0</v>
      </c>
      <c r="R133" s="971">
        <f t="shared" si="44"/>
        <v>68940</v>
      </c>
      <c r="S133" s="856">
        <f t="shared" ref="S133:S196" si="58">AA133-(Y133/2)</f>
        <v>0.22602489459897496</v>
      </c>
      <c r="T133" s="971"/>
      <c r="U133" s="971"/>
      <c r="V133" s="972">
        <v>12</v>
      </c>
      <c r="W133" s="971">
        <f t="shared" ref="W133:W196" si="59">(P133-T133)*U133+V133*P133*0.5</f>
        <v>6894</v>
      </c>
      <c r="X133" s="971">
        <f t="shared" ref="X133:X196" si="60">R133-W133</f>
        <v>62046</v>
      </c>
      <c r="Y133" s="858">
        <f t="shared" ref="Y133:Y187" si="61">X133/R133-1</f>
        <v>-9.9999999999999978E-2</v>
      </c>
      <c r="Z133" s="857">
        <f t="shared" ref="Z133:Z196" si="62">IFERROR(X133/H133,"")</f>
        <v>1.4990215264187867</v>
      </c>
      <c r="AA133" s="856">
        <v>0.17602489459897497</v>
      </c>
      <c r="AB133" s="856">
        <v>2.2717844536548648E-5</v>
      </c>
      <c r="AC133" s="970">
        <f t="shared" si="51"/>
        <v>1149</v>
      </c>
      <c r="AD133" s="970"/>
      <c r="AE133" s="970">
        <f t="shared" si="48"/>
        <v>0</v>
      </c>
      <c r="AF133" s="971">
        <f t="shared" ref="AF133:AF196" si="63">AC133*LEFT(I133,1)*12</f>
        <v>68940</v>
      </c>
      <c r="AG133" s="857">
        <f t="shared" ref="AG133:AG196" si="64">AF133/R133-1</f>
        <v>0</v>
      </c>
      <c r="AH133" s="576">
        <v>0</v>
      </c>
      <c r="AI133" s="856">
        <f t="shared" si="43"/>
        <v>0.17880267237675274</v>
      </c>
      <c r="AJ133" s="859">
        <v>0</v>
      </c>
      <c r="AK133" s="583">
        <v>6</v>
      </c>
      <c r="AL133" s="971">
        <f t="shared" ref="AL133:AL196" si="65">(AC133-AH133)*AJ133+AK133*AC133*0.5</f>
        <v>3447</v>
      </c>
      <c r="AM133" s="971">
        <f t="shared" si="52"/>
        <v>65493</v>
      </c>
      <c r="AN133" s="858">
        <f t="shared" si="53"/>
        <v>-5.0000000000000044E-2</v>
      </c>
      <c r="AO133" s="857">
        <f t="shared" si="54"/>
        <v>1.5823005001087194</v>
      </c>
      <c r="AP133" s="973">
        <f t="shared" si="55"/>
        <v>3447</v>
      </c>
      <c r="AQ133" s="855">
        <f t="shared" si="56"/>
        <v>5.555555555555558E-2</v>
      </c>
      <c r="AR133" s="974">
        <f t="shared" si="46"/>
        <v>0.20380267237675276</v>
      </c>
      <c r="AS133" s="975"/>
      <c r="AT133" s="976"/>
      <c r="AU133" s="971"/>
      <c r="AV133" s="976"/>
      <c r="AW133" s="970"/>
      <c r="AX133" s="971"/>
      <c r="AY133" s="971"/>
      <c r="AZ133" s="977"/>
      <c r="BA133" s="972"/>
      <c r="BB133" s="971"/>
      <c r="BC133" s="973"/>
      <c r="BD133" s="973"/>
      <c r="BE133" s="855"/>
      <c r="BF133" s="975"/>
      <c r="BG133" s="975"/>
      <c r="BH133" s="971"/>
      <c r="BI133" s="970"/>
      <c r="BJ133" s="971"/>
      <c r="BK133" s="971"/>
      <c r="BL133" s="977"/>
      <c r="BM133" s="972"/>
      <c r="BN133" s="971"/>
      <c r="BO133" s="973"/>
      <c r="BP133" s="973"/>
      <c r="BQ133" s="855"/>
      <c r="BR133" s="975"/>
      <c r="BS133" s="975"/>
      <c r="BT133" s="978"/>
      <c r="BU133" s="978"/>
      <c r="BV133" s="978">
        <v>0.13</v>
      </c>
      <c r="BW133" s="978">
        <f t="shared" si="57"/>
        <v>0.17602489459897497</v>
      </c>
    </row>
    <row r="134" spans="1:75" hidden="1">
      <c r="A134" s="969">
        <v>2606</v>
      </c>
      <c r="B134" s="968" t="s">
        <v>23</v>
      </c>
      <c r="C134" s="994" t="s">
        <v>829</v>
      </c>
      <c r="D134" s="969" t="s">
        <v>328</v>
      </c>
      <c r="E134" s="995" t="s">
        <v>521</v>
      </c>
      <c r="F134" s="955"/>
      <c r="G134" s="955" t="str">
        <f>IFERROR(VLOOKUP(D134,[3]전용!E:J,6,0),"")</f>
        <v/>
      </c>
      <c r="H134" s="854">
        <v>41391</v>
      </c>
      <c r="I134" s="955">
        <v>5</v>
      </c>
      <c r="J134" s="955" t="s">
        <v>286</v>
      </c>
      <c r="K134" s="955">
        <v>12</v>
      </c>
      <c r="L134" s="970">
        <v>1049</v>
      </c>
      <c r="M134" s="971">
        <f t="shared" si="49"/>
        <v>62940</v>
      </c>
      <c r="N134" s="855">
        <v>0.15</v>
      </c>
      <c r="O134" s="855"/>
      <c r="P134" s="970">
        <v>1049</v>
      </c>
      <c r="Q134" s="970">
        <f t="shared" si="50"/>
        <v>0</v>
      </c>
      <c r="R134" s="971">
        <f t="shared" si="44"/>
        <v>62940</v>
      </c>
      <c r="S134" s="856">
        <f t="shared" si="58"/>
        <v>0.22602489459897496</v>
      </c>
      <c r="T134" s="971"/>
      <c r="U134" s="971"/>
      <c r="V134" s="972">
        <v>12</v>
      </c>
      <c r="W134" s="971">
        <f t="shared" si="59"/>
        <v>6294</v>
      </c>
      <c r="X134" s="971">
        <f t="shared" si="60"/>
        <v>56646</v>
      </c>
      <c r="Y134" s="858">
        <f t="shared" si="61"/>
        <v>-9.9999999999999978E-2</v>
      </c>
      <c r="Z134" s="857">
        <f t="shared" si="62"/>
        <v>1.3685583822570124</v>
      </c>
      <c r="AA134" s="856">
        <v>0.17602489459897497</v>
      </c>
      <c r="AB134" s="856">
        <v>2.2717844536548648E-5</v>
      </c>
      <c r="AC134" s="970">
        <f t="shared" si="51"/>
        <v>1049</v>
      </c>
      <c r="AD134" s="970"/>
      <c r="AE134" s="970">
        <f t="shared" si="48"/>
        <v>0</v>
      </c>
      <c r="AF134" s="971">
        <f t="shared" si="63"/>
        <v>62940</v>
      </c>
      <c r="AG134" s="857">
        <f t="shared" si="64"/>
        <v>0</v>
      </c>
      <c r="AH134" s="576">
        <v>0</v>
      </c>
      <c r="AI134" s="856">
        <f t="shared" si="43"/>
        <v>0.17880267237675274</v>
      </c>
      <c r="AJ134" s="859">
        <v>0</v>
      </c>
      <c r="AK134" s="583">
        <v>6</v>
      </c>
      <c r="AL134" s="971">
        <f t="shared" si="65"/>
        <v>3147</v>
      </c>
      <c r="AM134" s="971">
        <f t="shared" si="52"/>
        <v>59793</v>
      </c>
      <c r="AN134" s="858">
        <f t="shared" si="53"/>
        <v>-5.0000000000000044E-2</v>
      </c>
      <c r="AO134" s="857">
        <f t="shared" si="54"/>
        <v>1.4445894034935132</v>
      </c>
      <c r="AP134" s="973">
        <f t="shared" si="55"/>
        <v>3147</v>
      </c>
      <c r="AQ134" s="855">
        <f t="shared" si="56"/>
        <v>5.555555555555558E-2</v>
      </c>
      <c r="AR134" s="974">
        <f t="shared" si="46"/>
        <v>0.20380267237675276</v>
      </c>
      <c r="AS134" s="975"/>
      <c r="AT134" s="976"/>
      <c r="AU134" s="971"/>
      <c r="AV134" s="976"/>
      <c r="AW134" s="970"/>
      <c r="AX134" s="971"/>
      <c r="AY134" s="971"/>
      <c r="AZ134" s="977"/>
      <c r="BA134" s="972"/>
      <c r="BB134" s="971"/>
      <c r="BC134" s="973"/>
      <c r="BD134" s="973"/>
      <c r="BE134" s="855"/>
      <c r="BF134" s="975"/>
      <c r="BG134" s="975"/>
      <c r="BH134" s="971"/>
      <c r="BI134" s="970"/>
      <c r="BJ134" s="971"/>
      <c r="BK134" s="971"/>
      <c r="BL134" s="977"/>
      <c r="BM134" s="972"/>
      <c r="BN134" s="971"/>
      <c r="BO134" s="973"/>
      <c r="BP134" s="973"/>
      <c r="BQ134" s="855"/>
      <c r="BR134" s="975"/>
      <c r="BS134" s="975"/>
      <c r="BT134" s="978"/>
      <c r="BU134" s="978"/>
      <c r="BV134" s="978">
        <v>0.13</v>
      </c>
      <c r="BW134" s="978">
        <f t="shared" si="57"/>
        <v>0.17602489459897497</v>
      </c>
    </row>
    <row r="135" spans="1:75" hidden="1">
      <c r="A135" s="969">
        <v>2606</v>
      </c>
      <c r="B135" s="968" t="s">
        <v>23</v>
      </c>
      <c r="C135" s="994" t="s">
        <v>829</v>
      </c>
      <c r="D135" s="969" t="s">
        <v>329</v>
      </c>
      <c r="E135" s="995" t="s">
        <v>522</v>
      </c>
      <c r="F135" s="955"/>
      <c r="G135" s="955" t="str">
        <f>IFERROR(VLOOKUP(D135,[3]전용!E:J,6,0),"")</f>
        <v/>
      </c>
      <c r="H135" s="854">
        <v>41391</v>
      </c>
      <c r="I135" s="955">
        <v>5</v>
      </c>
      <c r="J135" s="955" t="s">
        <v>286</v>
      </c>
      <c r="K135" s="955">
        <v>6</v>
      </c>
      <c r="L135" s="970">
        <v>1299</v>
      </c>
      <c r="M135" s="971">
        <f t="shared" si="49"/>
        <v>77940</v>
      </c>
      <c r="N135" s="855">
        <v>0.15</v>
      </c>
      <c r="O135" s="855"/>
      <c r="P135" s="970">
        <v>1299</v>
      </c>
      <c r="Q135" s="970">
        <f t="shared" si="50"/>
        <v>0</v>
      </c>
      <c r="R135" s="971">
        <f t="shared" si="44"/>
        <v>77940</v>
      </c>
      <c r="S135" s="856">
        <f t="shared" si="58"/>
        <v>0.29150640107177278</v>
      </c>
      <c r="T135" s="971"/>
      <c r="U135" s="971"/>
      <c r="V135" s="972">
        <v>12</v>
      </c>
      <c r="W135" s="971">
        <f t="shared" si="59"/>
        <v>7794</v>
      </c>
      <c r="X135" s="971">
        <f t="shared" si="60"/>
        <v>70146</v>
      </c>
      <c r="Y135" s="858">
        <f t="shared" si="61"/>
        <v>-9.9999999999999978E-2</v>
      </c>
      <c r="Z135" s="857">
        <f t="shared" si="62"/>
        <v>1.6947162426614482</v>
      </c>
      <c r="AA135" s="856">
        <v>0.24150640107177279</v>
      </c>
      <c r="AB135" s="856">
        <v>2.2526696349376881E-5</v>
      </c>
      <c r="AC135" s="970">
        <f t="shared" si="51"/>
        <v>1299</v>
      </c>
      <c r="AD135" s="970"/>
      <c r="AE135" s="970">
        <f t="shared" si="48"/>
        <v>0</v>
      </c>
      <c r="AF135" s="971">
        <f t="shared" si="63"/>
        <v>77940</v>
      </c>
      <c r="AG135" s="857">
        <f t="shared" si="64"/>
        <v>0</v>
      </c>
      <c r="AH135" s="576">
        <v>0</v>
      </c>
      <c r="AI135" s="856">
        <f t="shared" ref="AI135:AI198" si="66">AR135+(AN135/2)</f>
        <v>0.24428417884955056</v>
      </c>
      <c r="AJ135" s="859">
        <v>0</v>
      </c>
      <c r="AK135" s="583">
        <v>6</v>
      </c>
      <c r="AL135" s="971">
        <f t="shared" si="65"/>
        <v>3897</v>
      </c>
      <c r="AM135" s="971">
        <f t="shared" si="52"/>
        <v>74043</v>
      </c>
      <c r="AN135" s="858">
        <f t="shared" si="53"/>
        <v>-5.0000000000000044E-2</v>
      </c>
      <c r="AO135" s="857">
        <f t="shared" si="54"/>
        <v>1.7888671450315285</v>
      </c>
      <c r="AP135" s="973">
        <f t="shared" si="55"/>
        <v>3897</v>
      </c>
      <c r="AQ135" s="855">
        <f t="shared" si="56"/>
        <v>5.555555555555558E-2</v>
      </c>
      <c r="AR135" s="974">
        <f t="shared" si="46"/>
        <v>0.26928417884955058</v>
      </c>
      <c r="AS135" s="975"/>
      <c r="AT135" s="976"/>
      <c r="AU135" s="971"/>
      <c r="AV135" s="976"/>
      <c r="AW135" s="970"/>
      <c r="AX135" s="971"/>
      <c r="AY135" s="971"/>
      <c r="AZ135" s="977"/>
      <c r="BA135" s="972"/>
      <c r="BB135" s="971"/>
      <c r="BC135" s="973"/>
      <c r="BD135" s="973"/>
      <c r="BE135" s="855"/>
      <c r="BF135" s="975"/>
      <c r="BG135" s="975"/>
      <c r="BH135" s="971"/>
      <c r="BI135" s="970"/>
      <c r="BJ135" s="971"/>
      <c r="BK135" s="971"/>
      <c r="BL135" s="977"/>
      <c r="BM135" s="972"/>
      <c r="BN135" s="971"/>
      <c r="BO135" s="973"/>
      <c r="BP135" s="973"/>
      <c r="BQ135" s="855"/>
      <c r="BR135" s="975"/>
      <c r="BS135" s="975"/>
      <c r="BT135" s="978"/>
      <c r="BU135" s="978"/>
      <c r="BV135" s="978">
        <v>0.16</v>
      </c>
      <c r="BW135" s="978">
        <f t="shared" si="57"/>
        <v>0.20350640107177279</v>
      </c>
    </row>
    <row r="136" spans="1:75" hidden="1">
      <c r="A136" s="969">
        <v>2606</v>
      </c>
      <c r="B136" s="968" t="s">
        <v>23</v>
      </c>
      <c r="C136" s="996" t="s">
        <v>829</v>
      </c>
      <c r="D136" s="969" t="s">
        <v>329</v>
      </c>
      <c r="E136" s="997" t="s">
        <v>522</v>
      </c>
      <c r="F136" s="998"/>
      <c r="G136" s="955" t="str">
        <f>IFERROR(VLOOKUP(D136,[3]전용!E:J,6,0),"")</f>
        <v/>
      </c>
      <c r="H136" s="854">
        <v>41391</v>
      </c>
      <c r="I136" s="998">
        <v>5</v>
      </c>
      <c r="J136" s="998" t="s">
        <v>286</v>
      </c>
      <c r="K136" s="998">
        <v>12</v>
      </c>
      <c r="L136" s="999">
        <v>1199</v>
      </c>
      <c r="M136" s="1000">
        <f t="shared" si="49"/>
        <v>71940</v>
      </c>
      <c r="N136" s="855">
        <v>0.15</v>
      </c>
      <c r="O136" s="862"/>
      <c r="P136" s="999">
        <v>1199</v>
      </c>
      <c r="Q136" s="999">
        <f t="shared" si="50"/>
        <v>0</v>
      </c>
      <c r="R136" s="1000">
        <f t="shared" ref="R136:R156" si="67">P136*LEFT(I136,1)*12</f>
        <v>71940</v>
      </c>
      <c r="S136" s="856">
        <f t="shared" si="58"/>
        <v>0.29150640107177278</v>
      </c>
      <c r="T136" s="1000"/>
      <c r="U136" s="1000"/>
      <c r="V136" s="1001">
        <v>12</v>
      </c>
      <c r="W136" s="1000">
        <f t="shared" si="59"/>
        <v>7194</v>
      </c>
      <c r="X136" s="1000">
        <f t="shared" si="60"/>
        <v>64746</v>
      </c>
      <c r="Y136" s="863">
        <f t="shared" si="61"/>
        <v>-9.9999999999999978E-2</v>
      </c>
      <c r="Z136" s="864">
        <f t="shared" si="62"/>
        <v>1.5642530984996739</v>
      </c>
      <c r="AA136" s="856">
        <v>0.24150640107177279</v>
      </c>
      <c r="AB136" s="856">
        <v>2.2526696349376881E-5</v>
      </c>
      <c r="AC136" s="999">
        <f t="shared" si="51"/>
        <v>1199</v>
      </c>
      <c r="AD136" s="999"/>
      <c r="AE136" s="970">
        <f t="shared" si="48"/>
        <v>0</v>
      </c>
      <c r="AF136" s="1000">
        <f t="shared" si="63"/>
        <v>71940</v>
      </c>
      <c r="AG136" s="864">
        <f t="shared" si="64"/>
        <v>0</v>
      </c>
      <c r="AH136" s="576">
        <v>0</v>
      </c>
      <c r="AI136" s="856">
        <f t="shared" si="66"/>
        <v>0.24428417884955056</v>
      </c>
      <c r="AJ136" s="859">
        <v>0</v>
      </c>
      <c r="AK136" s="583">
        <v>6</v>
      </c>
      <c r="AL136" s="1000">
        <f t="shared" si="65"/>
        <v>3597</v>
      </c>
      <c r="AM136" s="1000">
        <f t="shared" si="52"/>
        <v>68343</v>
      </c>
      <c r="AN136" s="858">
        <f t="shared" si="53"/>
        <v>-5.0000000000000044E-2</v>
      </c>
      <c r="AO136" s="864">
        <f t="shared" si="54"/>
        <v>1.6511560484163224</v>
      </c>
      <c r="AP136" s="1002">
        <f t="shared" si="55"/>
        <v>3597</v>
      </c>
      <c r="AQ136" s="862">
        <f t="shared" si="56"/>
        <v>5.555555555555558E-2</v>
      </c>
      <c r="AR136" s="974">
        <f t="shared" si="46"/>
        <v>0.26928417884955058</v>
      </c>
      <c r="AS136" s="1003"/>
      <c r="AT136" s="976"/>
      <c r="AU136" s="971"/>
      <c r="AV136" s="976"/>
      <c r="AW136" s="970"/>
      <c r="AX136" s="971"/>
      <c r="AY136" s="971"/>
      <c r="AZ136" s="977"/>
      <c r="BA136" s="972"/>
      <c r="BB136" s="971"/>
      <c r="BC136" s="973"/>
      <c r="BD136" s="973"/>
      <c r="BE136" s="855"/>
      <c r="BF136" s="975"/>
      <c r="BG136" s="975"/>
      <c r="BH136" s="971"/>
      <c r="BI136" s="970"/>
      <c r="BJ136" s="971"/>
      <c r="BK136" s="971"/>
      <c r="BL136" s="977"/>
      <c r="BM136" s="972"/>
      <c r="BN136" s="971"/>
      <c r="BO136" s="973"/>
      <c r="BP136" s="973"/>
      <c r="BQ136" s="855"/>
      <c r="BR136" s="975"/>
      <c r="BS136" s="975"/>
      <c r="BT136" s="978"/>
      <c r="BU136" s="978"/>
      <c r="BV136" s="978">
        <v>0.16</v>
      </c>
      <c r="BW136" s="978">
        <f t="shared" si="57"/>
        <v>0.20350640107177279</v>
      </c>
    </row>
    <row r="137" spans="1:75" hidden="1">
      <c r="A137" s="1043">
        <v>2606</v>
      </c>
      <c r="B137" s="998" t="s">
        <v>23</v>
      </c>
      <c r="C137" s="993" t="s">
        <v>829</v>
      </c>
      <c r="D137" s="1043" t="s">
        <v>327</v>
      </c>
      <c r="E137" s="955" t="s">
        <v>523</v>
      </c>
      <c r="F137" s="955"/>
      <c r="G137" s="955" t="str">
        <f>IFERROR(VLOOKUP(D137,[3]전용!E:J,6,0),"")</f>
        <v/>
      </c>
      <c r="H137" s="854">
        <v>22990</v>
      </c>
      <c r="I137" s="955">
        <v>5</v>
      </c>
      <c r="J137" s="955" t="s">
        <v>286</v>
      </c>
      <c r="K137" s="955">
        <v>6</v>
      </c>
      <c r="L137" s="970">
        <v>699</v>
      </c>
      <c r="M137" s="971">
        <f t="shared" si="49"/>
        <v>41940</v>
      </c>
      <c r="N137" s="855">
        <v>0.15</v>
      </c>
      <c r="O137" s="855"/>
      <c r="P137" s="970">
        <v>699</v>
      </c>
      <c r="Q137" s="970">
        <f t="shared" si="50"/>
        <v>0</v>
      </c>
      <c r="R137" s="971">
        <f t="shared" si="67"/>
        <v>41940</v>
      </c>
      <c r="S137" s="856">
        <f t="shared" si="58"/>
        <v>0.1842757953424545</v>
      </c>
      <c r="T137" s="971"/>
      <c r="U137" s="971"/>
      <c r="V137" s="972">
        <v>12</v>
      </c>
      <c r="W137" s="971">
        <f t="shared" si="59"/>
        <v>4194</v>
      </c>
      <c r="X137" s="971">
        <f t="shared" si="60"/>
        <v>37746</v>
      </c>
      <c r="Y137" s="858">
        <f t="shared" si="61"/>
        <v>-9.9999999999999978E-2</v>
      </c>
      <c r="Z137" s="857">
        <f t="shared" si="62"/>
        <v>1.6418442801217921</v>
      </c>
      <c r="AA137" s="856">
        <v>0.13427579534245451</v>
      </c>
      <c r="AB137" s="856">
        <v>1.4660913985542366E-3</v>
      </c>
      <c r="AC137" s="970">
        <f t="shared" si="51"/>
        <v>699</v>
      </c>
      <c r="AD137" s="970"/>
      <c r="AE137" s="970">
        <f t="shared" si="48"/>
        <v>0</v>
      </c>
      <c r="AF137" s="971">
        <f t="shared" si="63"/>
        <v>41940</v>
      </c>
      <c r="AG137" s="857">
        <f t="shared" si="64"/>
        <v>0</v>
      </c>
      <c r="AH137" s="576">
        <v>0</v>
      </c>
      <c r="AI137" s="856">
        <f t="shared" si="66"/>
        <v>0.13705357312023228</v>
      </c>
      <c r="AJ137" s="859">
        <v>0</v>
      </c>
      <c r="AK137" s="583">
        <v>6</v>
      </c>
      <c r="AL137" s="971">
        <f t="shared" si="65"/>
        <v>2097</v>
      </c>
      <c r="AM137" s="971">
        <f t="shared" si="52"/>
        <v>39843</v>
      </c>
      <c r="AN137" s="858">
        <f t="shared" si="53"/>
        <v>-5.0000000000000044E-2</v>
      </c>
      <c r="AO137" s="857">
        <f t="shared" si="54"/>
        <v>1.7330578512396695</v>
      </c>
      <c r="AP137" s="973">
        <f t="shared" si="55"/>
        <v>2097</v>
      </c>
      <c r="AQ137" s="855">
        <f t="shared" si="56"/>
        <v>5.555555555555558E-2</v>
      </c>
      <c r="AR137" s="974">
        <f t="shared" si="46"/>
        <v>0.1620535731202323</v>
      </c>
      <c r="AS137" s="975"/>
      <c r="AT137" s="976"/>
      <c r="AU137" s="971"/>
      <c r="AV137" s="976"/>
      <c r="AW137" s="970"/>
      <c r="AX137" s="971"/>
      <c r="AY137" s="971"/>
      <c r="AZ137" s="977"/>
      <c r="BA137" s="972"/>
      <c r="BB137" s="971"/>
      <c r="BC137" s="973"/>
      <c r="BD137" s="973"/>
      <c r="BE137" s="855"/>
      <c r="BF137" s="975"/>
      <c r="BG137" s="975"/>
      <c r="BH137" s="971"/>
      <c r="BI137" s="970"/>
      <c r="BJ137" s="971"/>
      <c r="BK137" s="971"/>
      <c r="BL137" s="977"/>
      <c r="BM137" s="972"/>
      <c r="BN137" s="971"/>
      <c r="BO137" s="973"/>
      <c r="BP137" s="973"/>
      <c r="BQ137" s="855"/>
      <c r="BR137" s="975"/>
      <c r="BS137" s="975"/>
      <c r="BT137" s="978"/>
      <c r="BU137" s="978"/>
      <c r="BV137" s="978">
        <v>0.10199999999999999</v>
      </c>
      <c r="BW137" s="978">
        <f t="shared" si="57"/>
        <v>0.13427579534245451</v>
      </c>
    </row>
    <row r="138" spans="1:75" hidden="1">
      <c r="A138" s="969">
        <v>2606</v>
      </c>
      <c r="B138" s="968" t="s">
        <v>23</v>
      </c>
      <c r="C138" s="994" t="s">
        <v>829</v>
      </c>
      <c r="D138" s="969" t="s">
        <v>327</v>
      </c>
      <c r="E138" s="955" t="s">
        <v>523</v>
      </c>
      <c r="F138" s="955"/>
      <c r="G138" s="955" t="str">
        <f>IFERROR(VLOOKUP(D138,[3]전용!E:J,6,0),"")</f>
        <v/>
      </c>
      <c r="H138" s="854">
        <v>22990</v>
      </c>
      <c r="I138" s="955">
        <v>5</v>
      </c>
      <c r="J138" s="955" t="s">
        <v>286</v>
      </c>
      <c r="K138" s="955">
        <v>12</v>
      </c>
      <c r="L138" s="970">
        <v>599</v>
      </c>
      <c r="M138" s="971">
        <f t="shared" si="49"/>
        <v>35940</v>
      </c>
      <c r="N138" s="855">
        <v>0.15</v>
      </c>
      <c r="O138" s="855"/>
      <c r="P138" s="970">
        <v>599</v>
      </c>
      <c r="Q138" s="970">
        <f t="shared" si="50"/>
        <v>0</v>
      </c>
      <c r="R138" s="971">
        <f t="shared" si="67"/>
        <v>35940</v>
      </c>
      <c r="S138" s="856">
        <f t="shared" si="58"/>
        <v>0.1842757953424545</v>
      </c>
      <c r="T138" s="971"/>
      <c r="U138" s="971"/>
      <c r="V138" s="972">
        <v>12</v>
      </c>
      <c r="W138" s="971">
        <f t="shared" si="59"/>
        <v>3594</v>
      </c>
      <c r="X138" s="971">
        <f t="shared" si="60"/>
        <v>32346</v>
      </c>
      <c r="Y138" s="858">
        <f t="shared" si="61"/>
        <v>-9.9999999999999978E-2</v>
      </c>
      <c r="Z138" s="857">
        <f t="shared" si="62"/>
        <v>1.4069595476294041</v>
      </c>
      <c r="AA138" s="856">
        <v>0.13427579534245451</v>
      </c>
      <c r="AB138" s="856">
        <v>1.4660913985542366E-3</v>
      </c>
      <c r="AC138" s="970">
        <f t="shared" si="51"/>
        <v>599</v>
      </c>
      <c r="AD138" s="970"/>
      <c r="AE138" s="970">
        <f t="shared" si="48"/>
        <v>0</v>
      </c>
      <c r="AF138" s="971">
        <f t="shared" si="63"/>
        <v>35940</v>
      </c>
      <c r="AG138" s="857">
        <f t="shared" si="64"/>
        <v>0</v>
      </c>
      <c r="AH138" s="576">
        <v>0</v>
      </c>
      <c r="AI138" s="856">
        <f t="shared" si="66"/>
        <v>0.13705357312023228</v>
      </c>
      <c r="AJ138" s="859">
        <v>0</v>
      </c>
      <c r="AK138" s="583">
        <v>6</v>
      </c>
      <c r="AL138" s="971">
        <f t="shared" si="65"/>
        <v>1797</v>
      </c>
      <c r="AM138" s="971">
        <f t="shared" si="52"/>
        <v>34143</v>
      </c>
      <c r="AN138" s="858">
        <f t="shared" si="53"/>
        <v>-5.0000000000000044E-2</v>
      </c>
      <c r="AO138" s="857">
        <f t="shared" si="54"/>
        <v>1.4851239669421488</v>
      </c>
      <c r="AP138" s="973">
        <f t="shared" si="55"/>
        <v>1797</v>
      </c>
      <c r="AQ138" s="855">
        <f t="shared" si="56"/>
        <v>5.555555555555558E-2</v>
      </c>
      <c r="AR138" s="974">
        <f t="shared" ref="AR138:AR195" si="68">IFERROR(AA138+AQ138*0.5,"")</f>
        <v>0.1620535731202323</v>
      </c>
      <c r="AS138" s="975"/>
      <c r="AT138" s="976"/>
      <c r="AU138" s="971"/>
      <c r="AV138" s="976"/>
      <c r="AW138" s="970"/>
      <c r="AX138" s="971"/>
      <c r="AY138" s="971"/>
      <c r="AZ138" s="977"/>
      <c r="BA138" s="972"/>
      <c r="BB138" s="971"/>
      <c r="BC138" s="973"/>
      <c r="BD138" s="973"/>
      <c r="BE138" s="855"/>
      <c r="BF138" s="975"/>
      <c r="BG138" s="975"/>
      <c r="BH138" s="971"/>
      <c r="BI138" s="970"/>
      <c r="BJ138" s="971"/>
      <c r="BK138" s="971"/>
      <c r="BL138" s="977"/>
      <c r="BM138" s="972"/>
      <c r="BN138" s="971"/>
      <c r="BO138" s="973"/>
      <c r="BP138" s="973"/>
      <c r="BQ138" s="855"/>
      <c r="BR138" s="975"/>
      <c r="BS138" s="975"/>
      <c r="BT138" s="978"/>
      <c r="BU138" s="978"/>
      <c r="BV138" s="978">
        <v>0.10199999999999999</v>
      </c>
      <c r="BW138" s="978">
        <f t="shared" si="57"/>
        <v>0.13427579534245451</v>
      </c>
    </row>
    <row r="139" spans="1:75" hidden="1">
      <c r="A139" s="969">
        <v>2606</v>
      </c>
      <c r="B139" s="968" t="s">
        <v>23</v>
      </c>
      <c r="C139" s="994" t="s">
        <v>829</v>
      </c>
      <c r="D139" s="969" t="s">
        <v>330</v>
      </c>
      <c r="E139" s="955" t="s">
        <v>524</v>
      </c>
      <c r="F139" s="955"/>
      <c r="G139" s="955" t="str">
        <f>IFERROR(VLOOKUP(D139,[3]전용!E:J,6,0),"")</f>
        <v/>
      </c>
      <c r="H139" s="854">
        <v>23990</v>
      </c>
      <c r="I139" s="955">
        <v>5</v>
      </c>
      <c r="J139" s="955" t="s">
        <v>286</v>
      </c>
      <c r="K139" s="955">
        <v>6</v>
      </c>
      <c r="L139" s="970">
        <v>799</v>
      </c>
      <c r="M139" s="971">
        <f t="shared" si="49"/>
        <v>47940</v>
      </c>
      <c r="N139" s="855">
        <v>0.15</v>
      </c>
      <c r="O139" s="855"/>
      <c r="P139" s="970">
        <v>799</v>
      </c>
      <c r="Q139" s="970">
        <f t="shared" si="50"/>
        <v>0</v>
      </c>
      <c r="R139" s="971">
        <f t="shared" si="67"/>
        <v>47940</v>
      </c>
      <c r="S139" s="856">
        <f t="shared" si="58"/>
        <v>0.24316637731666577</v>
      </c>
      <c r="T139" s="971"/>
      <c r="U139" s="971"/>
      <c r="V139" s="972">
        <v>12</v>
      </c>
      <c r="W139" s="971">
        <f t="shared" si="59"/>
        <v>4794</v>
      </c>
      <c r="X139" s="971">
        <f t="shared" si="60"/>
        <v>43146</v>
      </c>
      <c r="Y139" s="858">
        <f t="shared" si="61"/>
        <v>-9.9999999999999978E-2</v>
      </c>
      <c r="Z139" s="857">
        <f t="shared" si="62"/>
        <v>1.7984993747394749</v>
      </c>
      <c r="AA139" s="856">
        <v>0.19316637731666578</v>
      </c>
      <c r="AB139" s="856">
        <v>1.5473590827790608E-3</v>
      </c>
      <c r="AC139" s="970">
        <f t="shared" si="51"/>
        <v>799</v>
      </c>
      <c r="AD139" s="970"/>
      <c r="AE139" s="970">
        <f t="shared" si="48"/>
        <v>0</v>
      </c>
      <c r="AF139" s="971">
        <f t="shared" si="63"/>
        <v>47940</v>
      </c>
      <c r="AG139" s="857">
        <f t="shared" si="64"/>
        <v>0</v>
      </c>
      <c r="AH139" s="576">
        <v>0</v>
      </c>
      <c r="AI139" s="856">
        <f t="shared" si="66"/>
        <v>0.19594415509444355</v>
      </c>
      <c r="AJ139" s="859">
        <v>0</v>
      </c>
      <c r="AK139" s="583">
        <v>6</v>
      </c>
      <c r="AL139" s="971">
        <f t="shared" si="65"/>
        <v>2397</v>
      </c>
      <c r="AM139" s="971">
        <f t="shared" si="52"/>
        <v>45543</v>
      </c>
      <c r="AN139" s="858">
        <f t="shared" si="53"/>
        <v>-5.0000000000000044E-2</v>
      </c>
      <c r="AO139" s="857">
        <f t="shared" si="54"/>
        <v>1.8984160066694455</v>
      </c>
      <c r="AP139" s="973">
        <f t="shared" si="55"/>
        <v>2397</v>
      </c>
      <c r="AQ139" s="855">
        <f t="shared" si="56"/>
        <v>5.555555555555558E-2</v>
      </c>
      <c r="AR139" s="974">
        <f t="shared" si="68"/>
        <v>0.22094415509444357</v>
      </c>
      <c r="AS139" s="975"/>
      <c r="AT139" s="976"/>
      <c r="AU139" s="971"/>
      <c r="AV139" s="976"/>
      <c r="AW139" s="970"/>
      <c r="AX139" s="971"/>
      <c r="AY139" s="971"/>
      <c r="AZ139" s="977"/>
      <c r="BA139" s="972"/>
      <c r="BB139" s="971"/>
      <c r="BC139" s="973"/>
      <c r="BD139" s="973"/>
      <c r="BE139" s="855"/>
      <c r="BF139" s="975"/>
      <c r="BG139" s="975"/>
      <c r="BH139" s="971"/>
      <c r="BI139" s="970"/>
      <c r="BJ139" s="971"/>
      <c r="BK139" s="971"/>
      <c r="BL139" s="977"/>
      <c r="BM139" s="972"/>
      <c r="BN139" s="971"/>
      <c r="BO139" s="973"/>
      <c r="BP139" s="973"/>
      <c r="BQ139" s="855"/>
      <c r="BR139" s="975"/>
      <c r="BS139" s="975"/>
      <c r="BT139" s="978"/>
      <c r="BU139" s="978"/>
      <c r="BV139" s="978">
        <v>0.14000000000000001</v>
      </c>
      <c r="BW139" s="978">
        <f t="shared" si="57"/>
        <v>0.15516637731666577</v>
      </c>
    </row>
    <row r="140" spans="1:75" hidden="1">
      <c r="A140" s="969">
        <v>2606</v>
      </c>
      <c r="B140" s="968" t="s">
        <v>23</v>
      </c>
      <c r="C140" s="994" t="s">
        <v>829</v>
      </c>
      <c r="D140" s="969" t="s">
        <v>330</v>
      </c>
      <c r="E140" s="955" t="s">
        <v>524</v>
      </c>
      <c r="F140" s="955"/>
      <c r="G140" s="955" t="str">
        <f>IFERROR(VLOOKUP(D140,[3]전용!E:J,6,0),"")</f>
        <v/>
      </c>
      <c r="H140" s="854">
        <v>23990</v>
      </c>
      <c r="I140" s="955">
        <v>5</v>
      </c>
      <c r="J140" s="955" t="s">
        <v>286</v>
      </c>
      <c r="K140" s="955">
        <v>12</v>
      </c>
      <c r="L140" s="970">
        <v>699</v>
      </c>
      <c r="M140" s="971">
        <f t="shared" si="49"/>
        <v>41940</v>
      </c>
      <c r="N140" s="855">
        <v>0.15</v>
      </c>
      <c r="O140" s="855"/>
      <c r="P140" s="970">
        <v>699</v>
      </c>
      <c r="Q140" s="970">
        <f t="shared" si="50"/>
        <v>0</v>
      </c>
      <c r="R140" s="971">
        <f t="shared" si="67"/>
        <v>41940</v>
      </c>
      <c r="S140" s="856">
        <f t="shared" si="58"/>
        <v>0.24316637731666577</v>
      </c>
      <c r="T140" s="971"/>
      <c r="U140" s="971"/>
      <c r="V140" s="972">
        <v>12</v>
      </c>
      <c r="W140" s="971">
        <f t="shared" si="59"/>
        <v>4194</v>
      </c>
      <c r="X140" s="971">
        <f t="shared" si="60"/>
        <v>37746</v>
      </c>
      <c r="Y140" s="858">
        <f t="shared" si="61"/>
        <v>-9.9999999999999978E-2</v>
      </c>
      <c r="Z140" s="857">
        <f t="shared" si="62"/>
        <v>1.5734055856606919</v>
      </c>
      <c r="AA140" s="856">
        <v>0.19316637731666578</v>
      </c>
      <c r="AB140" s="856">
        <v>1.5473590827790608E-3</v>
      </c>
      <c r="AC140" s="970">
        <f t="shared" si="51"/>
        <v>699</v>
      </c>
      <c r="AD140" s="970"/>
      <c r="AE140" s="970">
        <f t="shared" si="48"/>
        <v>0</v>
      </c>
      <c r="AF140" s="971">
        <f t="shared" si="63"/>
        <v>41940</v>
      </c>
      <c r="AG140" s="857">
        <f t="shared" si="64"/>
        <v>0</v>
      </c>
      <c r="AH140" s="576">
        <v>0</v>
      </c>
      <c r="AI140" s="856">
        <f t="shared" si="66"/>
        <v>0.19594415509444355</v>
      </c>
      <c r="AJ140" s="859">
        <v>0</v>
      </c>
      <c r="AK140" s="583">
        <v>6</v>
      </c>
      <c r="AL140" s="971">
        <f t="shared" si="65"/>
        <v>2097</v>
      </c>
      <c r="AM140" s="971">
        <f t="shared" si="52"/>
        <v>39843</v>
      </c>
      <c r="AN140" s="858">
        <f t="shared" si="53"/>
        <v>-5.0000000000000044E-2</v>
      </c>
      <c r="AO140" s="857">
        <f t="shared" si="54"/>
        <v>1.660817007086286</v>
      </c>
      <c r="AP140" s="973">
        <f t="shared" si="55"/>
        <v>2097</v>
      </c>
      <c r="AQ140" s="855">
        <f t="shared" si="56"/>
        <v>5.555555555555558E-2</v>
      </c>
      <c r="AR140" s="974">
        <f t="shared" si="68"/>
        <v>0.22094415509444357</v>
      </c>
      <c r="AS140" s="975"/>
      <c r="AT140" s="976"/>
      <c r="AU140" s="971"/>
      <c r="AV140" s="976"/>
      <c r="AW140" s="970"/>
      <c r="AX140" s="971"/>
      <c r="AY140" s="971"/>
      <c r="AZ140" s="977"/>
      <c r="BA140" s="972"/>
      <c r="BB140" s="971"/>
      <c r="BC140" s="973"/>
      <c r="BD140" s="973"/>
      <c r="BE140" s="855"/>
      <c r="BF140" s="975"/>
      <c r="BG140" s="975"/>
      <c r="BH140" s="971"/>
      <c r="BI140" s="970"/>
      <c r="BJ140" s="971"/>
      <c r="BK140" s="971"/>
      <c r="BL140" s="977"/>
      <c r="BM140" s="972"/>
      <c r="BN140" s="971"/>
      <c r="BO140" s="973"/>
      <c r="BP140" s="973"/>
      <c r="BQ140" s="855"/>
      <c r="BR140" s="975"/>
      <c r="BS140" s="975"/>
      <c r="BT140" s="978"/>
      <c r="BU140" s="978"/>
      <c r="BV140" s="978">
        <v>0.14000000000000001</v>
      </c>
      <c r="BW140" s="978">
        <f t="shared" si="57"/>
        <v>0.15516637731666577</v>
      </c>
    </row>
    <row r="141" spans="1:75" hidden="1">
      <c r="A141" s="969">
        <v>2606</v>
      </c>
      <c r="B141" s="968" t="s">
        <v>23</v>
      </c>
      <c r="C141" s="994" t="s">
        <v>829</v>
      </c>
      <c r="D141" s="969" t="s">
        <v>331</v>
      </c>
      <c r="E141" s="955" t="s">
        <v>525</v>
      </c>
      <c r="F141" s="955"/>
      <c r="G141" s="955" t="str">
        <f>IFERROR(VLOOKUP(D141,[3]전용!E:J,6,0),"")</f>
        <v/>
      </c>
      <c r="H141" s="854">
        <v>34990</v>
      </c>
      <c r="I141" s="955">
        <v>5</v>
      </c>
      <c r="J141" s="955" t="s">
        <v>286</v>
      </c>
      <c r="K141" s="955">
        <v>6</v>
      </c>
      <c r="L141" s="970">
        <v>999</v>
      </c>
      <c r="M141" s="971">
        <f t="shared" si="49"/>
        <v>59940</v>
      </c>
      <c r="N141" s="855">
        <v>0.15</v>
      </c>
      <c r="O141" s="855"/>
      <c r="P141" s="970">
        <v>999</v>
      </c>
      <c r="Q141" s="970">
        <f t="shared" si="50"/>
        <v>0</v>
      </c>
      <c r="R141" s="971">
        <f t="shared" si="67"/>
        <v>59940</v>
      </c>
      <c r="S141" s="856">
        <f t="shared" si="58"/>
        <v>0.29421251804204129</v>
      </c>
      <c r="T141" s="971"/>
      <c r="U141" s="971"/>
      <c r="V141" s="972">
        <v>12</v>
      </c>
      <c r="W141" s="971">
        <f t="shared" si="59"/>
        <v>5994</v>
      </c>
      <c r="X141" s="971">
        <f t="shared" si="60"/>
        <v>53946</v>
      </c>
      <c r="Y141" s="858">
        <f t="shared" si="61"/>
        <v>-9.9999999999999978E-2</v>
      </c>
      <c r="Z141" s="857">
        <f t="shared" si="62"/>
        <v>1.5417547870820234</v>
      </c>
      <c r="AA141" s="856">
        <v>0.24421251804204133</v>
      </c>
      <c r="AB141" s="856">
        <v>1.5106447534476897E-3</v>
      </c>
      <c r="AC141" s="970">
        <f t="shared" si="51"/>
        <v>999</v>
      </c>
      <c r="AD141" s="970"/>
      <c r="AE141" s="970">
        <f t="shared" si="48"/>
        <v>0</v>
      </c>
      <c r="AF141" s="971">
        <f t="shared" si="63"/>
        <v>59940</v>
      </c>
      <c r="AG141" s="857">
        <f t="shared" si="64"/>
        <v>0</v>
      </c>
      <c r="AH141" s="576">
        <v>0</v>
      </c>
      <c r="AI141" s="856">
        <f t="shared" si="66"/>
        <v>0.24699029581981913</v>
      </c>
      <c r="AJ141" s="859">
        <v>0</v>
      </c>
      <c r="AK141" s="583">
        <v>6</v>
      </c>
      <c r="AL141" s="971">
        <f t="shared" si="65"/>
        <v>2997</v>
      </c>
      <c r="AM141" s="971">
        <f t="shared" si="52"/>
        <v>56943</v>
      </c>
      <c r="AN141" s="858">
        <f t="shared" si="53"/>
        <v>-5.0000000000000044E-2</v>
      </c>
      <c r="AO141" s="857">
        <f t="shared" si="54"/>
        <v>1.6274078308088025</v>
      </c>
      <c r="AP141" s="973">
        <f t="shared" si="55"/>
        <v>2997</v>
      </c>
      <c r="AQ141" s="855">
        <f t="shared" si="56"/>
        <v>5.555555555555558E-2</v>
      </c>
      <c r="AR141" s="974">
        <f t="shared" si="68"/>
        <v>0.27199029581981915</v>
      </c>
      <c r="AS141" s="975"/>
      <c r="AT141" s="976"/>
      <c r="AU141" s="971"/>
      <c r="AV141" s="976"/>
      <c r="AW141" s="970"/>
      <c r="AX141" s="971"/>
      <c r="AY141" s="971"/>
      <c r="AZ141" s="977"/>
      <c r="BA141" s="972"/>
      <c r="BB141" s="971"/>
      <c r="BC141" s="973"/>
      <c r="BD141" s="973"/>
      <c r="BE141" s="855"/>
      <c r="BF141" s="975"/>
      <c r="BG141" s="975"/>
      <c r="BH141" s="971"/>
      <c r="BI141" s="970"/>
      <c r="BJ141" s="971"/>
      <c r="BK141" s="971"/>
      <c r="BL141" s="977"/>
      <c r="BM141" s="972"/>
      <c r="BN141" s="971"/>
      <c r="BO141" s="973"/>
      <c r="BP141" s="973"/>
      <c r="BQ141" s="855"/>
      <c r="BR141" s="975"/>
      <c r="BS141" s="975"/>
      <c r="BT141" s="978"/>
      <c r="BU141" s="978"/>
      <c r="BV141" s="978">
        <v>0.18</v>
      </c>
      <c r="BW141" s="978">
        <f t="shared" si="57"/>
        <v>0.20621251804204133</v>
      </c>
    </row>
    <row r="142" spans="1:75" hidden="1">
      <c r="A142" s="969">
        <v>2606</v>
      </c>
      <c r="B142" s="968" t="s">
        <v>23</v>
      </c>
      <c r="C142" s="994" t="s">
        <v>829</v>
      </c>
      <c r="D142" s="969" t="s">
        <v>331</v>
      </c>
      <c r="E142" s="955" t="s">
        <v>525</v>
      </c>
      <c r="F142" s="955"/>
      <c r="G142" s="955" t="str">
        <f>IFERROR(VLOOKUP(D142,[3]전용!E:J,6,0),"")</f>
        <v/>
      </c>
      <c r="H142" s="854">
        <v>34990</v>
      </c>
      <c r="I142" s="955">
        <v>5</v>
      </c>
      <c r="J142" s="955" t="s">
        <v>286</v>
      </c>
      <c r="K142" s="955">
        <v>12</v>
      </c>
      <c r="L142" s="970">
        <v>899</v>
      </c>
      <c r="M142" s="971">
        <f t="shared" si="49"/>
        <v>53940</v>
      </c>
      <c r="N142" s="855">
        <v>0.15</v>
      </c>
      <c r="O142" s="855"/>
      <c r="P142" s="970">
        <v>899</v>
      </c>
      <c r="Q142" s="970">
        <f t="shared" si="50"/>
        <v>0</v>
      </c>
      <c r="R142" s="971">
        <f t="shared" si="67"/>
        <v>53940</v>
      </c>
      <c r="S142" s="856">
        <f t="shared" si="58"/>
        <v>0.29421251804204129</v>
      </c>
      <c r="T142" s="971"/>
      <c r="U142" s="971"/>
      <c r="V142" s="972">
        <v>12</v>
      </c>
      <c r="W142" s="971">
        <f t="shared" si="59"/>
        <v>5394</v>
      </c>
      <c r="X142" s="971">
        <f t="shared" si="60"/>
        <v>48546</v>
      </c>
      <c r="Y142" s="858">
        <f t="shared" si="61"/>
        <v>-9.9999999999999978E-2</v>
      </c>
      <c r="Z142" s="857">
        <f t="shared" si="62"/>
        <v>1.3874249785653043</v>
      </c>
      <c r="AA142" s="856">
        <v>0.24421251804204133</v>
      </c>
      <c r="AB142" s="856">
        <v>1.5106447534476897E-3</v>
      </c>
      <c r="AC142" s="970">
        <f t="shared" si="51"/>
        <v>899</v>
      </c>
      <c r="AD142" s="970"/>
      <c r="AE142" s="970">
        <f t="shared" si="48"/>
        <v>0</v>
      </c>
      <c r="AF142" s="971">
        <f t="shared" si="63"/>
        <v>53940</v>
      </c>
      <c r="AG142" s="857">
        <f t="shared" si="64"/>
        <v>0</v>
      </c>
      <c r="AH142" s="576">
        <v>0</v>
      </c>
      <c r="AI142" s="856">
        <f t="shared" si="66"/>
        <v>0.24699029581981913</v>
      </c>
      <c r="AJ142" s="859">
        <v>0</v>
      </c>
      <c r="AK142" s="583">
        <v>6</v>
      </c>
      <c r="AL142" s="971">
        <f t="shared" si="65"/>
        <v>2697</v>
      </c>
      <c r="AM142" s="971">
        <f t="shared" si="52"/>
        <v>51243</v>
      </c>
      <c r="AN142" s="858">
        <f t="shared" si="53"/>
        <v>-5.0000000000000044E-2</v>
      </c>
      <c r="AO142" s="857">
        <f t="shared" si="54"/>
        <v>1.4645041440411546</v>
      </c>
      <c r="AP142" s="973">
        <f t="shared" si="55"/>
        <v>2697</v>
      </c>
      <c r="AQ142" s="855">
        <f t="shared" si="56"/>
        <v>5.555555555555558E-2</v>
      </c>
      <c r="AR142" s="974">
        <f t="shared" si="68"/>
        <v>0.27199029581981915</v>
      </c>
      <c r="AS142" s="975"/>
      <c r="AT142" s="976"/>
      <c r="AU142" s="971"/>
      <c r="AV142" s="976"/>
      <c r="AW142" s="970"/>
      <c r="AX142" s="971"/>
      <c r="AY142" s="971"/>
      <c r="AZ142" s="977"/>
      <c r="BA142" s="972"/>
      <c r="BB142" s="971"/>
      <c r="BC142" s="973"/>
      <c r="BD142" s="973"/>
      <c r="BE142" s="855"/>
      <c r="BF142" s="975"/>
      <c r="BG142" s="975"/>
      <c r="BH142" s="971"/>
      <c r="BI142" s="970"/>
      <c r="BJ142" s="971"/>
      <c r="BK142" s="971"/>
      <c r="BL142" s="977"/>
      <c r="BM142" s="972"/>
      <c r="BN142" s="971"/>
      <c r="BO142" s="973"/>
      <c r="BP142" s="973"/>
      <c r="BQ142" s="855"/>
      <c r="BR142" s="975"/>
      <c r="BS142" s="975"/>
      <c r="BT142" s="978"/>
      <c r="BU142" s="978"/>
      <c r="BV142" s="978">
        <v>0.18</v>
      </c>
      <c r="BW142" s="978">
        <f t="shared" si="57"/>
        <v>0.20621251804204133</v>
      </c>
    </row>
    <row r="143" spans="1:75" hidden="1">
      <c r="A143" s="969">
        <v>2606</v>
      </c>
      <c r="B143" s="968" t="s">
        <v>23</v>
      </c>
      <c r="C143" s="994" t="s">
        <v>829</v>
      </c>
      <c r="D143" s="969" t="s">
        <v>332</v>
      </c>
      <c r="E143" s="955" t="s">
        <v>526</v>
      </c>
      <c r="F143" s="955"/>
      <c r="G143" s="955" t="str">
        <f>IFERROR(VLOOKUP(D143,[3]전용!E:J,6,0),"")</f>
        <v/>
      </c>
      <c r="H143" s="854">
        <v>45990</v>
      </c>
      <c r="I143" s="955">
        <v>5</v>
      </c>
      <c r="J143" s="955" t="s">
        <v>286</v>
      </c>
      <c r="K143" s="955">
        <v>6</v>
      </c>
      <c r="L143" s="970">
        <v>1199</v>
      </c>
      <c r="M143" s="971">
        <f t="shared" si="49"/>
        <v>71940</v>
      </c>
      <c r="N143" s="855">
        <v>0.15</v>
      </c>
      <c r="O143" s="855"/>
      <c r="P143" s="970">
        <v>1199</v>
      </c>
      <c r="Q143" s="970">
        <f t="shared" si="50"/>
        <v>0</v>
      </c>
      <c r="R143" s="971">
        <f t="shared" si="67"/>
        <v>71940</v>
      </c>
      <c r="S143" s="856">
        <f t="shared" si="58"/>
        <v>0.30742983211845948</v>
      </c>
      <c r="T143" s="971"/>
      <c r="U143" s="971"/>
      <c r="V143" s="972">
        <v>12</v>
      </c>
      <c r="W143" s="971">
        <f t="shared" si="59"/>
        <v>7194</v>
      </c>
      <c r="X143" s="971">
        <f t="shared" si="60"/>
        <v>64746</v>
      </c>
      <c r="Y143" s="858">
        <f t="shared" si="61"/>
        <v>-9.9999999999999978E-2</v>
      </c>
      <c r="Z143" s="857">
        <f t="shared" si="62"/>
        <v>1.4078277886497064</v>
      </c>
      <c r="AA143" s="856">
        <v>0.25742983211845949</v>
      </c>
      <c r="AB143" s="856">
        <v>1.34271065478802E-3</v>
      </c>
      <c r="AC143" s="970">
        <f t="shared" si="51"/>
        <v>1199</v>
      </c>
      <c r="AD143" s="970"/>
      <c r="AE143" s="970">
        <f t="shared" si="48"/>
        <v>0</v>
      </c>
      <c r="AF143" s="971">
        <f t="shared" si="63"/>
        <v>71940</v>
      </c>
      <c r="AG143" s="857">
        <f t="shared" si="64"/>
        <v>0</v>
      </c>
      <c r="AH143" s="576">
        <v>0</v>
      </c>
      <c r="AI143" s="856">
        <f t="shared" si="66"/>
        <v>0.26020760989623726</v>
      </c>
      <c r="AJ143" s="859">
        <v>0</v>
      </c>
      <c r="AK143" s="583">
        <v>6</v>
      </c>
      <c r="AL143" s="971">
        <f t="shared" si="65"/>
        <v>3597</v>
      </c>
      <c r="AM143" s="971">
        <f t="shared" si="52"/>
        <v>68343</v>
      </c>
      <c r="AN143" s="858">
        <f t="shared" si="53"/>
        <v>-5.0000000000000044E-2</v>
      </c>
      <c r="AO143" s="857">
        <f t="shared" si="54"/>
        <v>1.4860404435746901</v>
      </c>
      <c r="AP143" s="973">
        <f t="shared" si="55"/>
        <v>3597</v>
      </c>
      <c r="AQ143" s="855">
        <f t="shared" si="56"/>
        <v>5.555555555555558E-2</v>
      </c>
      <c r="AR143" s="974">
        <f t="shared" si="68"/>
        <v>0.28520760989623728</v>
      </c>
      <c r="AS143" s="975"/>
      <c r="AT143" s="976"/>
      <c r="AU143" s="971"/>
      <c r="AV143" s="976"/>
      <c r="AW143" s="970"/>
      <c r="AX143" s="971"/>
      <c r="AY143" s="971"/>
      <c r="AZ143" s="977"/>
      <c r="BA143" s="972"/>
      <c r="BB143" s="971"/>
      <c r="BC143" s="973"/>
      <c r="BD143" s="973"/>
      <c r="BE143" s="855"/>
      <c r="BF143" s="975"/>
      <c r="BG143" s="975"/>
      <c r="BH143" s="971"/>
      <c r="BI143" s="970"/>
      <c r="BJ143" s="971"/>
      <c r="BK143" s="971"/>
      <c r="BL143" s="977"/>
      <c r="BM143" s="972"/>
      <c r="BN143" s="971"/>
      <c r="BO143" s="973"/>
      <c r="BP143" s="973"/>
      <c r="BQ143" s="855"/>
      <c r="BR143" s="975"/>
      <c r="BS143" s="975"/>
      <c r="BT143" s="978"/>
      <c r="BU143" s="978"/>
      <c r="BV143" s="978">
        <v>0.19</v>
      </c>
      <c r="BW143" s="978">
        <f t="shared" si="57"/>
        <v>0.21942983211845948</v>
      </c>
    </row>
    <row r="144" spans="1:75" hidden="1">
      <c r="A144" s="969">
        <v>2606</v>
      </c>
      <c r="B144" s="968" t="s">
        <v>23</v>
      </c>
      <c r="C144" s="996" t="s">
        <v>829</v>
      </c>
      <c r="D144" s="969" t="s">
        <v>332</v>
      </c>
      <c r="E144" s="998" t="s">
        <v>526</v>
      </c>
      <c r="F144" s="998"/>
      <c r="G144" s="955" t="str">
        <f>IFERROR(VLOOKUP(D144,[3]전용!E:J,6,0),"")</f>
        <v/>
      </c>
      <c r="H144" s="854">
        <v>45990</v>
      </c>
      <c r="I144" s="998">
        <v>5</v>
      </c>
      <c r="J144" s="998" t="s">
        <v>286</v>
      </c>
      <c r="K144" s="998">
        <v>12</v>
      </c>
      <c r="L144" s="999">
        <v>1099</v>
      </c>
      <c r="M144" s="1000">
        <f t="shared" si="49"/>
        <v>65940</v>
      </c>
      <c r="N144" s="855">
        <v>0.15</v>
      </c>
      <c r="O144" s="862"/>
      <c r="P144" s="999">
        <v>1099</v>
      </c>
      <c r="Q144" s="999">
        <f t="shared" si="50"/>
        <v>0</v>
      </c>
      <c r="R144" s="1000">
        <f t="shared" si="67"/>
        <v>65940</v>
      </c>
      <c r="S144" s="856">
        <f t="shared" si="58"/>
        <v>0.30742983211845948</v>
      </c>
      <c r="T144" s="1000"/>
      <c r="U144" s="1000"/>
      <c r="V144" s="1001">
        <v>12</v>
      </c>
      <c r="W144" s="1000">
        <f t="shared" si="59"/>
        <v>6594</v>
      </c>
      <c r="X144" s="1000">
        <f t="shared" si="60"/>
        <v>59346</v>
      </c>
      <c r="Y144" s="863">
        <f t="shared" si="61"/>
        <v>-9.9999999999999978E-2</v>
      </c>
      <c r="Z144" s="864">
        <f t="shared" si="62"/>
        <v>1.2904109589041095</v>
      </c>
      <c r="AA144" s="856">
        <v>0.25742983211845949</v>
      </c>
      <c r="AB144" s="856">
        <v>1.34271065478802E-3</v>
      </c>
      <c r="AC144" s="999">
        <f t="shared" si="51"/>
        <v>1099</v>
      </c>
      <c r="AD144" s="999"/>
      <c r="AE144" s="970">
        <f t="shared" si="48"/>
        <v>0</v>
      </c>
      <c r="AF144" s="1000">
        <f t="shared" si="63"/>
        <v>65940</v>
      </c>
      <c r="AG144" s="864">
        <f t="shared" si="64"/>
        <v>0</v>
      </c>
      <c r="AH144" s="576">
        <v>0</v>
      </c>
      <c r="AI144" s="856">
        <f t="shared" si="66"/>
        <v>0.26020760989623726</v>
      </c>
      <c r="AJ144" s="859">
        <v>0</v>
      </c>
      <c r="AK144" s="583">
        <v>6</v>
      </c>
      <c r="AL144" s="1000">
        <f t="shared" si="65"/>
        <v>3297</v>
      </c>
      <c r="AM144" s="1000">
        <f t="shared" si="52"/>
        <v>62643</v>
      </c>
      <c r="AN144" s="858">
        <f t="shared" si="53"/>
        <v>-5.0000000000000044E-2</v>
      </c>
      <c r="AO144" s="864">
        <f t="shared" si="54"/>
        <v>1.3621004566210047</v>
      </c>
      <c r="AP144" s="1002">
        <f t="shared" si="55"/>
        <v>3297</v>
      </c>
      <c r="AQ144" s="862">
        <f t="shared" si="56"/>
        <v>5.555555555555558E-2</v>
      </c>
      <c r="AR144" s="974">
        <f t="shared" si="68"/>
        <v>0.28520760989623728</v>
      </c>
      <c r="AS144" s="1003"/>
      <c r="AT144" s="976"/>
      <c r="AU144" s="971"/>
      <c r="AV144" s="976"/>
      <c r="AW144" s="970"/>
      <c r="AX144" s="971"/>
      <c r="AY144" s="971"/>
      <c r="AZ144" s="977"/>
      <c r="BA144" s="972"/>
      <c r="BB144" s="971"/>
      <c r="BC144" s="973"/>
      <c r="BD144" s="973"/>
      <c r="BE144" s="855"/>
      <c r="BF144" s="975"/>
      <c r="BG144" s="975"/>
      <c r="BH144" s="971"/>
      <c r="BI144" s="970"/>
      <c r="BJ144" s="971"/>
      <c r="BK144" s="971"/>
      <c r="BL144" s="977"/>
      <c r="BM144" s="972"/>
      <c r="BN144" s="971"/>
      <c r="BO144" s="973"/>
      <c r="BP144" s="973"/>
      <c r="BQ144" s="855"/>
      <c r="BR144" s="975"/>
      <c r="BS144" s="975"/>
      <c r="BT144" s="978"/>
      <c r="BU144" s="978"/>
      <c r="BV144" s="978">
        <v>0.19</v>
      </c>
      <c r="BW144" s="978">
        <f t="shared" si="57"/>
        <v>0.21942983211845948</v>
      </c>
    </row>
    <row r="145" spans="1:75">
      <c r="A145" s="1043">
        <v>2606</v>
      </c>
      <c r="B145" s="1044" t="s">
        <v>23</v>
      </c>
      <c r="C145" s="993" t="s">
        <v>833</v>
      </c>
      <c r="D145" s="1045" t="s">
        <v>333</v>
      </c>
      <c r="E145" s="955" t="s">
        <v>527</v>
      </c>
      <c r="F145" s="955"/>
      <c r="G145" s="955" t="str">
        <f>IFERROR(VLOOKUP(D145,[3]전용!E:J,6,0),"")</f>
        <v/>
      </c>
      <c r="H145" s="854">
        <v>12210</v>
      </c>
      <c r="I145" s="955">
        <v>5</v>
      </c>
      <c r="J145" s="955" t="s">
        <v>286</v>
      </c>
      <c r="K145" s="955">
        <v>6</v>
      </c>
      <c r="L145" s="970">
        <v>499</v>
      </c>
      <c r="M145" s="971">
        <f t="shared" si="49"/>
        <v>29940</v>
      </c>
      <c r="N145" s="855">
        <v>0.15</v>
      </c>
      <c r="O145" s="855"/>
      <c r="P145" s="970">
        <v>599</v>
      </c>
      <c r="Q145" s="1033">
        <f>P145-L145</f>
        <v>100</v>
      </c>
      <c r="R145" s="971">
        <f t="shared" si="67"/>
        <v>35940</v>
      </c>
      <c r="S145" s="856">
        <f t="shared" si="58"/>
        <v>0.13456097820759441</v>
      </c>
      <c r="T145" s="971"/>
      <c r="U145" s="971"/>
      <c r="V145" s="972">
        <v>0</v>
      </c>
      <c r="W145" s="971">
        <f t="shared" si="59"/>
        <v>0</v>
      </c>
      <c r="X145" s="971">
        <f t="shared" si="60"/>
        <v>35940</v>
      </c>
      <c r="Y145" s="858">
        <f t="shared" si="61"/>
        <v>0</v>
      </c>
      <c r="Z145" s="857">
        <f t="shared" si="62"/>
        <v>2.9434889434889433</v>
      </c>
      <c r="AA145" s="856">
        <v>0.13456097820759441</v>
      </c>
      <c r="AB145" s="856">
        <v>1.5331406440497409E-3</v>
      </c>
      <c r="AC145" s="1041">
        <f>P145-100</f>
        <v>499</v>
      </c>
      <c r="AD145" s="970">
        <f>AC145-P145</f>
        <v>-100</v>
      </c>
      <c r="AE145" s="970">
        <f t="shared" si="48"/>
        <v>0</v>
      </c>
      <c r="AF145" s="971">
        <f t="shared" si="63"/>
        <v>29940</v>
      </c>
      <c r="AG145" s="857">
        <f t="shared" si="64"/>
        <v>-0.1669449081803005</v>
      </c>
      <c r="AH145" s="576">
        <v>0</v>
      </c>
      <c r="AI145" s="856">
        <v>0.15</v>
      </c>
      <c r="AJ145" s="859">
        <v>0</v>
      </c>
      <c r="AK145" s="583">
        <v>0</v>
      </c>
      <c r="AL145" s="971">
        <f t="shared" si="65"/>
        <v>0</v>
      </c>
      <c r="AM145" s="971">
        <f t="shared" si="52"/>
        <v>29940</v>
      </c>
      <c r="AN145" s="858">
        <f t="shared" si="53"/>
        <v>0</v>
      </c>
      <c r="AO145" s="857">
        <f t="shared" si="54"/>
        <v>2.4520884520884523</v>
      </c>
      <c r="AP145" s="973">
        <f t="shared" si="55"/>
        <v>-6000</v>
      </c>
      <c r="AQ145" s="855">
        <f t="shared" si="56"/>
        <v>-0.1669449081803005</v>
      </c>
      <c r="AR145" s="1042">
        <f t="shared" ref="AR145:AR152" si="69">IFERROR(AA145-AG145*0.5,"")+5%</f>
        <v>0.26803343229774468</v>
      </c>
      <c r="AS145" s="975"/>
      <c r="AT145" s="976"/>
      <c r="AU145" s="971"/>
      <c r="AV145" s="976"/>
      <c r="AW145" s="970"/>
      <c r="AX145" s="971"/>
      <c r="AY145" s="971"/>
      <c r="AZ145" s="977"/>
      <c r="BA145" s="972"/>
      <c r="BB145" s="971"/>
      <c r="BC145" s="973"/>
      <c r="BD145" s="973"/>
      <c r="BE145" s="855"/>
      <c r="BF145" s="975"/>
      <c r="BG145" s="975"/>
      <c r="BH145" s="971"/>
      <c r="BI145" s="970"/>
      <c r="BJ145" s="971"/>
      <c r="BK145" s="971"/>
      <c r="BL145" s="977"/>
      <c r="BM145" s="972"/>
      <c r="BN145" s="971"/>
      <c r="BO145" s="973"/>
      <c r="BP145" s="973"/>
      <c r="BQ145" s="855"/>
      <c r="BR145" s="975"/>
      <c r="BS145" s="975"/>
      <c r="BT145" s="978"/>
      <c r="BU145" s="978"/>
      <c r="BV145" s="978">
        <v>0.10100000000000001</v>
      </c>
      <c r="BW145" s="978">
        <f t="shared" si="57"/>
        <v>0.13456097820759441</v>
      </c>
    </row>
    <row r="146" spans="1:75">
      <c r="A146" s="969">
        <v>2606</v>
      </c>
      <c r="B146" s="1046" t="s">
        <v>23</v>
      </c>
      <c r="C146" s="994" t="s">
        <v>833</v>
      </c>
      <c r="D146" s="1047" t="s">
        <v>333</v>
      </c>
      <c r="E146" s="955" t="s">
        <v>527</v>
      </c>
      <c r="F146" s="955"/>
      <c r="G146" s="955" t="str">
        <f>IFERROR(VLOOKUP(D146,[3]전용!E:J,6,0),"")</f>
        <v/>
      </c>
      <c r="H146" s="854">
        <v>12210</v>
      </c>
      <c r="I146" s="955">
        <v>5</v>
      </c>
      <c r="J146" s="955" t="s">
        <v>286</v>
      </c>
      <c r="K146" s="955">
        <v>12</v>
      </c>
      <c r="L146" s="970">
        <v>399</v>
      </c>
      <c r="M146" s="971">
        <f t="shared" si="49"/>
        <v>23940</v>
      </c>
      <c r="N146" s="855">
        <v>0.15</v>
      </c>
      <c r="O146" s="855"/>
      <c r="P146" s="970">
        <v>499</v>
      </c>
      <c r="Q146" s="1033">
        <f t="shared" ref="Q146:Q152" si="70">P146-L146</f>
        <v>100</v>
      </c>
      <c r="R146" s="971">
        <f t="shared" si="67"/>
        <v>29940</v>
      </c>
      <c r="S146" s="856">
        <f t="shared" si="58"/>
        <v>0.13456097820759441</v>
      </c>
      <c r="T146" s="971"/>
      <c r="U146" s="971"/>
      <c r="V146" s="972">
        <v>0</v>
      </c>
      <c r="W146" s="971">
        <f t="shared" si="59"/>
        <v>0</v>
      </c>
      <c r="X146" s="971">
        <f t="shared" si="60"/>
        <v>29940</v>
      </c>
      <c r="Y146" s="858">
        <f t="shared" si="61"/>
        <v>0</v>
      </c>
      <c r="Z146" s="857">
        <f t="shared" si="62"/>
        <v>2.4520884520884523</v>
      </c>
      <c r="AA146" s="856">
        <v>0.13456097820759441</v>
      </c>
      <c r="AB146" s="856">
        <v>1.5331406440497409E-3</v>
      </c>
      <c r="AC146" s="1041">
        <f t="shared" ref="AC146:AC152" si="71">P146-100</f>
        <v>399</v>
      </c>
      <c r="AD146" s="970">
        <f t="shared" ref="AD146:AD152" si="72">AC146-P146</f>
        <v>-100</v>
      </c>
      <c r="AE146" s="970">
        <f t="shared" si="48"/>
        <v>0</v>
      </c>
      <c r="AF146" s="971">
        <f t="shared" si="63"/>
        <v>23940</v>
      </c>
      <c r="AG146" s="857">
        <f t="shared" si="64"/>
        <v>-0.20040080160320639</v>
      </c>
      <c r="AH146" s="576">
        <v>0</v>
      </c>
      <c r="AI146" s="856">
        <v>0.15</v>
      </c>
      <c r="AJ146" s="859">
        <v>0</v>
      </c>
      <c r="AK146" s="583">
        <v>0</v>
      </c>
      <c r="AL146" s="971">
        <f t="shared" si="65"/>
        <v>0</v>
      </c>
      <c r="AM146" s="971">
        <f t="shared" si="52"/>
        <v>23940</v>
      </c>
      <c r="AN146" s="858">
        <f t="shared" si="53"/>
        <v>0</v>
      </c>
      <c r="AO146" s="857">
        <f t="shared" si="54"/>
        <v>1.9606879606879606</v>
      </c>
      <c r="AP146" s="973">
        <f t="shared" si="55"/>
        <v>-6000</v>
      </c>
      <c r="AQ146" s="855">
        <f t="shared" si="56"/>
        <v>-0.20040080160320639</v>
      </c>
      <c r="AR146" s="1042">
        <f t="shared" si="69"/>
        <v>0.28476137900919762</v>
      </c>
      <c r="AS146" s="975"/>
      <c r="AT146" s="976"/>
      <c r="AU146" s="971"/>
      <c r="AV146" s="976"/>
      <c r="AW146" s="970"/>
      <c r="AX146" s="971"/>
      <c r="AY146" s="971"/>
      <c r="AZ146" s="977"/>
      <c r="BA146" s="972"/>
      <c r="BB146" s="971"/>
      <c r="BC146" s="973"/>
      <c r="BD146" s="973"/>
      <c r="BE146" s="855"/>
      <c r="BF146" s="975"/>
      <c r="BG146" s="975"/>
      <c r="BH146" s="971"/>
      <c r="BI146" s="970"/>
      <c r="BJ146" s="971"/>
      <c r="BK146" s="971"/>
      <c r="BL146" s="977"/>
      <c r="BM146" s="972"/>
      <c r="BN146" s="971"/>
      <c r="BO146" s="973"/>
      <c r="BP146" s="973"/>
      <c r="BQ146" s="855"/>
      <c r="BR146" s="975"/>
      <c r="BS146" s="975"/>
      <c r="BT146" s="978"/>
      <c r="BU146" s="978"/>
      <c r="BV146" s="978">
        <v>0.10199999999999999</v>
      </c>
      <c r="BW146" s="978">
        <f t="shared" si="57"/>
        <v>0.13456097820759441</v>
      </c>
    </row>
    <row r="147" spans="1:75">
      <c r="A147" s="969">
        <v>2606</v>
      </c>
      <c r="B147" s="1046" t="s">
        <v>23</v>
      </c>
      <c r="C147" s="994" t="s">
        <v>833</v>
      </c>
      <c r="D147" s="1047" t="s">
        <v>334</v>
      </c>
      <c r="E147" s="955" t="s">
        <v>528</v>
      </c>
      <c r="F147" s="955"/>
      <c r="G147" s="955" t="str">
        <f>IFERROR(VLOOKUP(D147,[3]전용!E:J,6,0),"")</f>
        <v/>
      </c>
      <c r="H147" s="854">
        <v>13320</v>
      </c>
      <c r="I147" s="955">
        <v>5</v>
      </c>
      <c r="J147" s="955" t="s">
        <v>286</v>
      </c>
      <c r="K147" s="955">
        <v>6</v>
      </c>
      <c r="L147" s="970">
        <v>549</v>
      </c>
      <c r="M147" s="971">
        <f t="shared" si="49"/>
        <v>32940</v>
      </c>
      <c r="N147" s="855">
        <v>0.15</v>
      </c>
      <c r="O147" s="855"/>
      <c r="P147" s="970">
        <v>649</v>
      </c>
      <c r="Q147" s="1033">
        <f t="shared" si="70"/>
        <v>100</v>
      </c>
      <c r="R147" s="971">
        <f t="shared" si="67"/>
        <v>38940</v>
      </c>
      <c r="S147" s="856">
        <f t="shared" si="58"/>
        <v>0.17267774288824439</v>
      </c>
      <c r="T147" s="971"/>
      <c r="U147" s="971"/>
      <c r="V147" s="972">
        <v>0</v>
      </c>
      <c r="W147" s="971">
        <f t="shared" si="59"/>
        <v>0</v>
      </c>
      <c r="X147" s="971">
        <f t="shared" si="60"/>
        <v>38940</v>
      </c>
      <c r="Y147" s="858">
        <f t="shared" si="61"/>
        <v>0</v>
      </c>
      <c r="Z147" s="857">
        <f t="shared" si="62"/>
        <v>2.9234234234234235</v>
      </c>
      <c r="AA147" s="856">
        <v>0.17267774288824439</v>
      </c>
      <c r="AB147" s="856">
        <v>2.1388648919574409E-3</v>
      </c>
      <c r="AC147" s="1041">
        <f t="shared" si="71"/>
        <v>549</v>
      </c>
      <c r="AD147" s="970">
        <f t="shared" si="72"/>
        <v>-100</v>
      </c>
      <c r="AE147" s="970">
        <f t="shared" si="48"/>
        <v>0</v>
      </c>
      <c r="AF147" s="971">
        <f t="shared" si="63"/>
        <v>32940</v>
      </c>
      <c r="AG147" s="857">
        <f t="shared" si="64"/>
        <v>-0.15408320493066252</v>
      </c>
      <c r="AH147" s="576">
        <v>0</v>
      </c>
      <c r="AI147" s="856">
        <v>0.15</v>
      </c>
      <c r="AJ147" s="859">
        <v>0</v>
      </c>
      <c r="AK147" s="583">
        <v>0</v>
      </c>
      <c r="AL147" s="971">
        <f t="shared" si="65"/>
        <v>0</v>
      </c>
      <c r="AM147" s="971">
        <f t="shared" si="52"/>
        <v>32940</v>
      </c>
      <c r="AN147" s="858">
        <f t="shared" si="53"/>
        <v>0</v>
      </c>
      <c r="AO147" s="857">
        <f t="shared" si="54"/>
        <v>2.4729729729729728</v>
      </c>
      <c r="AP147" s="973">
        <f t="shared" si="55"/>
        <v>-6000</v>
      </c>
      <c r="AQ147" s="855">
        <f t="shared" si="56"/>
        <v>-0.15408320493066252</v>
      </c>
      <c r="AR147" s="1042">
        <f t="shared" si="69"/>
        <v>0.29971934535357564</v>
      </c>
      <c r="AS147" s="975"/>
      <c r="AT147" s="976"/>
      <c r="AU147" s="971"/>
      <c r="AV147" s="976"/>
      <c r="AW147" s="970"/>
      <c r="AX147" s="971"/>
      <c r="AY147" s="971"/>
      <c r="AZ147" s="977"/>
      <c r="BA147" s="972"/>
      <c r="BB147" s="971"/>
      <c r="BC147" s="973"/>
      <c r="BD147" s="973"/>
      <c r="BE147" s="855"/>
      <c r="BF147" s="975"/>
      <c r="BG147" s="975"/>
      <c r="BH147" s="971"/>
      <c r="BI147" s="970"/>
      <c r="BJ147" s="971"/>
      <c r="BK147" s="971"/>
      <c r="BL147" s="977"/>
      <c r="BM147" s="972"/>
      <c r="BN147" s="971"/>
      <c r="BO147" s="973"/>
      <c r="BP147" s="973"/>
      <c r="BQ147" s="855"/>
      <c r="BR147" s="975"/>
      <c r="BS147" s="975"/>
      <c r="BT147" s="978"/>
      <c r="BU147" s="978"/>
      <c r="BV147" s="978">
        <v>0.13</v>
      </c>
      <c r="BW147" s="978">
        <f t="shared" si="57"/>
        <v>0.17267774288824439</v>
      </c>
    </row>
    <row r="148" spans="1:75">
      <c r="A148" s="969">
        <v>2606</v>
      </c>
      <c r="B148" s="1046" t="s">
        <v>23</v>
      </c>
      <c r="C148" s="994" t="s">
        <v>833</v>
      </c>
      <c r="D148" s="1047" t="s">
        <v>334</v>
      </c>
      <c r="E148" s="955" t="s">
        <v>528</v>
      </c>
      <c r="F148" s="955"/>
      <c r="G148" s="955" t="str">
        <f>IFERROR(VLOOKUP(D148,[3]전용!E:J,6,0),"")</f>
        <v/>
      </c>
      <c r="H148" s="854">
        <v>13320</v>
      </c>
      <c r="I148" s="955">
        <v>5</v>
      </c>
      <c r="J148" s="955" t="s">
        <v>286</v>
      </c>
      <c r="K148" s="955">
        <v>12</v>
      </c>
      <c r="L148" s="970">
        <v>449</v>
      </c>
      <c r="M148" s="971">
        <f t="shared" si="49"/>
        <v>26940</v>
      </c>
      <c r="N148" s="855">
        <v>0.15</v>
      </c>
      <c r="O148" s="855"/>
      <c r="P148" s="970">
        <v>549</v>
      </c>
      <c r="Q148" s="1033">
        <f t="shared" si="70"/>
        <v>100</v>
      </c>
      <c r="R148" s="971">
        <f t="shared" si="67"/>
        <v>32940</v>
      </c>
      <c r="S148" s="856">
        <f t="shared" si="58"/>
        <v>0.17267774288824439</v>
      </c>
      <c r="T148" s="971"/>
      <c r="U148" s="971"/>
      <c r="V148" s="972">
        <v>0</v>
      </c>
      <c r="W148" s="971">
        <f t="shared" si="59"/>
        <v>0</v>
      </c>
      <c r="X148" s="971">
        <f t="shared" si="60"/>
        <v>32940</v>
      </c>
      <c r="Y148" s="858">
        <f t="shared" si="61"/>
        <v>0</v>
      </c>
      <c r="Z148" s="857">
        <f t="shared" si="62"/>
        <v>2.4729729729729728</v>
      </c>
      <c r="AA148" s="856">
        <v>0.17267774288824439</v>
      </c>
      <c r="AB148" s="856">
        <v>2.1388648919574409E-3</v>
      </c>
      <c r="AC148" s="1041">
        <f t="shared" si="71"/>
        <v>449</v>
      </c>
      <c r="AD148" s="970">
        <f t="shared" si="72"/>
        <v>-100</v>
      </c>
      <c r="AE148" s="970">
        <f t="shared" si="48"/>
        <v>0</v>
      </c>
      <c r="AF148" s="971">
        <f t="shared" si="63"/>
        <v>26940</v>
      </c>
      <c r="AG148" s="857">
        <f t="shared" si="64"/>
        <v>-0.18214936247723135</v>
      </c>
      <c r="AH148" s="576">
        <v>0</v>
      </c>
      <c r="AI148" s="856">
        <v>0.15</v>
      </c>
      <c r="AJ148" s="859">
        <v>0</v>
      </c>
      <c r="AK148" s="583">
        <v>0</v>
      </c>
      <c r="AL148" s="971">
        <f t="shared" si="65"/>
        <v>0</v>
      </c>
      <c r="AM148" s="971">
        <f t="shared" si="52"/>
        <v>26940</v>
      </c>
      <c r="AN148" s="858">
        <f t="shared" si="53"/>
        <v>0</v>
      </c>
      <c r="AO148" s="857">
        <f t="shared" si="54"/>
        <v>2.0225225225225225</v>
      </c>
      <c r="AP148" s="973">
        <f t="shared" si="55"/>
        <v>-6000</v>
      </c>
      <c r="AQ148" s="855">
        <f t="shared" si="56"/>
        <v>-0.18214936247723135</v>
      </c>
      <c r="AR148" s="1042">
        <f t="shared" si="69"/>
        <v>0.31375242412686005</v>
      </c>
      <c r="AS148" s="975"/>
      <c r="AT148" s="976"/>
      <c r="AU148" s="971"/>
      <c r="AV148" s="976"/>
      <c r="AW148" s="970"/>
      <c r="AX148" s="971"/>
      <c r="AY148" s="971"/>
      <c r="AZ148" s="977"/>
      <c r="BA148" s="972"/>
      <c r="BB148" s="971"/>
      <c r="BC148" s="973"/>
      <c r="BD148" s="973"/>
      <c r="BE148" s="855"/>
      <c r="BF148" s="975"/>
      <c r="BG148" s="975"/>
      <c r="BH148" s="971"/>
      <c r="BI148" s="970"/>
      <c r="BJ148" s="971"/>
      <c r="BK148" s="971"/>
      <c r="BL148" s="977"/>
      <c r="BM148" s="972"/>
      <c r="BN148" s="971"/>
      <c r="BO148" s="973"/>
      <c r="BP148" s="973"/>
      <c r="BQ148" s="855"/>
      <c r="BR148" s="975"/>
      <c r="BS148" s="975"/>
      <c r="BT148" s="978"/>
      <c r="BU148" s="978"/>
      <c r="BV148" s="978">
        <v>0.13</v>
      </c>
      <c r="BW148" s="978">
        <f t="shared" si="57"/>
        <v>0.17267774288824439</v>
      </c>
    </row>
    <row r="149" spans="1:75">
      <c r="A149" s="969">
        <v>2606</v>
      </c>
      <c r="B149" s="1046" t="s">
        <v>23</v>
      </c>
      <c r="C149" s="994" t="s">
        <v>833</v>
      </c>
      <c r="D149" s="1047" t="s">
        <v>335</v>
      </c>
      <c r="E149" s="955" t="s">
        <v>529</v>
      </c>
      <c r="F149" s="955"/>
      <c r="G149" s="955" t="str">
        <f>IFERROR(VLOOKUP(D149,[3]전용!E:J,6,0),"")</f>
        <v/>
      </c>
      <c r="H149" s="854">
        <v>18870</v>
      </c>
      <c r="I149" s="955">
        <v>5</v>
      </c>
      <c r="J149" s="955" t="s">
        <v>286</v>
      </c>
      <c r="K149" s="955">
        <v>6</v>
      </c>
      <c r="L149" s="970">
        <v>749</v>
      </c>
      <c r="M149" s="971">
        <f t="shared" si="49"/>
        <v>44940</v>
      </c>
      <c r="N149" s="855">
        <v>0.15</v>
      </c>
      <c r="O149" s="855"/>
      <c r="P149" s="970">
        <v>849</v>
      </c>
      <c r="Q149" s="1033">
        <f t="shared" si="70"/>
        <v>100</v>
      </c>
      <c r="R149" s="971">
        <f t="shared" si="67"/>
        <v>50940</v>
      </c>
      <c r="S149" s="856">
        <f t="shared" si="58"/>
        <v>0.36411055099442635</v>
      </c>
      <c r="T149" s="971"/>
      <c r="U149" s="971"/>
      <c r="V149" s="972">
        <v>0</v>
      </c>
      <c r="W149" s="971">
        <f t="shared" si="59"/>
        <v>0</v>
      </c>
      <c r="X149" s="971">
        <f t="shared" si="60"/>
        <v>50940</v>
      </c>
      <c r="Y149" s="858">
        <f t="shared" si="61"/>
        <v>0</v>
      </c>
      <c r="Z149" s="857">
        <f t="shared" si="62"/>
        <v>2.6995230524642291</v>
      </c>
      <c r="AA149" s="856">
        <v>0.36411055099442635</v>
      </c>
      <c r="AB149" s="856">
        <v>2.094114613266571E-3</v>
      </c>
      <c r="AC149" s="1041">
        <f t="shared" si="71"/>
        <v>749</v>
      </c>
      <c r="AD149" s="970">
        <f t="shared" si="72"/>
        <v>-100</v>
      </c>
      <c r="AE149" s="970">
        <f t="shared" si="48"/>
        <v>0</v>
      </c>
      <c r="AF149" s="971">
        <f t="shared" si="63"/>
        <v>44940</v>
      </c>
      <c r="AG149" s="857">
        <f t="shared" si="64"/>
        <v>-0.11778563015312127</v>
      </c>
      <c r="AH149" s="576">
        <v>0</v>
      </c>
      <c r="AI149" s="856">
        <v>0.15</v>
      </c>
      <c r="AJ149" s="859">
        <v>0</v>
      </c>
      <c r="AK149" s="583">
        <v>0</v>
      </c>
      <c r="AL149" s="971">
        <f t="shared" si="65"/>
        <v>0</v>
      </c>
      <c r="AM149" s="971">
        <f t="shared" si="52"/>
        <v>44940</v>
      </c>
      <c r="AN149" s="858">
        <f t="shared" si="53"/>
        <v>0</v>
      </c>
      <c r="AO149" s="857">
        <f t="shared" si="54"/>
        <v>2.3815580286168521</v>
      </c>
      <c r="AP149" s="973">
        <f t="shared" si="55"/>
        <v>-6000</v>
      </c>
      <c r="AQ149" s="855">
        <f t="shared" si="56"/>
        <v>-0.11778563015312127</v>
      </c>
      <c r="AR149" s="1042">
        <f t="shared" si="69"/>
        <v>0.47300336607098697</v>
      </c>
      <c r="AS149" s="975"/>
      <c r="AT149" s="976"/>
      <c r="AU149" s="971"/>
      <c r="AV149" s="976"/>
      <c r="AW149" s="970"/>
      <c r="AX149" s="971"/>
      <c r="AY149" s="971"/>
      <c r="AZ149" s="977"/>
      <c r="BA149" s="972"/>
      <c r="BB149" s="971"/>
      <c r="BC149" s="973"/>
      <c r="BD149" s="973"/>
      <c r="BE149" s="855"/>
      <c r="BF149" s="975"/>
      <c r="BG149" s="975"/>
      <c r="BH149" s="971"/>
      <c r="BI149" s="970"/>
      <c r="BJ149" s="971"/>
      <c r="BK149" s="971"/>
      <c r="BL149" s="977"/>
      <c r="BM149" s="972"/>
      <c r="BN149" s="971"/>
      <c r="BO149" s="973"/>
      <c r="BP149" s="973"/>
      <c r="BQ149" s="855"/>
      <c r="BR149" s="975"/>
      <c r="BS149" s="975"/>
      <c r="BT149" s="978"/>
      <c r="BU149" s="978"/>
      <c r="BV149" s="978">
        <v>0.19</v>
      </c>
      <c r="BW149" s="978">
        <f t="shared" si="57"/>
        <v>0.32611055099442637</v>
      </c>
    </row>
    <row r="150" spans="1:75">
      <c r="A150" s="969">
        <v>2606</v>
      </c>
      <c r="B150" s="1046" t="s">
        <v>23</v>
      </c>
      <c r="C150" s="994" t="s">
        <v>833</v>
      </c>
      <c r="D150" s="1047" t="s">
        <v>335</v>
      </c>
      <c r="E150" s="955" t="s">
        <v>529</v>
      </c>
      <c r="F150" s="955"/>
      <c r="G150" s="955" t="str">
        <f>IFERROR(VLOOKUP(D150,[3]전용!E:J,6,0),"")</f>
        <v/>
      </c>
      <c r="H150" s="854">
        <v>18870</v>
      </c>
      <c r="I150" s="955">
        <v>5</v>
      </c>
      <c r="J150" s="955" t="s">
        <v>286</v>
      </c>
      <c r="K150" s="955">
        <v>12</v>
      </c>
      <c r="L150" s="970">
        <v>649</v>
      </c>
      <c r="M150" s="971">
        <f t="shared" si="49"/>
        <v>38940</v>
      </c>
      <c r="N150" s="855">
        <v>0.15</v>
      </c>
      <c r="O150" s="855"/>
      <c r="P150" s="970">
        <v>749</v>
      </c>
      <c r="Q150" s="1033">
        <f t="shared" si="70"/>
        <v>100</v>
      </c>
      <c r="R150" s="971">
        <f t="shared" si="67"/>
        <v>44940</v>
      </c>
      <c r="S150" s="856">
        <f t="shared" si="58"/>
        <v>0.36411055099442635</v>
      </c>
      <c r="T150" s="971"/>
      <c r="U150" s="971"/>
      <c r="V150" s="972">
        <v>0</v>
      </c>
      <c r="W150" s="971">
        <f t="shared" si="59"/>
        <v>0</v>
      </c>
      <c r="X150" s="971">
        <f t="shared" si="60"/>
        <v>44940</v>
      </c>
      <c r="Y150" s="858">
        <f t="shared" si="61"/>
        <v>0</v>
      </c>
      <c r="Z150" s="857">
        <f t="shared" si="62"/>
        <v>2.3815580286168521</v>
      </c>
      <c r="AA150" s="856">
        <v>0.36411055099442635</v>
      </c>
      <c r="AB150" s="856">
        <v>2.094114613266571E-3</v>
      </c>
      <c r="AC150" s="1041">
        <f t="shared" si="71"/>
        <v>649</v>
      </c>
      <c r="AD150" s="970">
        <f t="shared" si="72"/>
        <v>-100</v>
      </c>
      <c r="AE150" s="970">
        <f t="shared" si="48"/>
        <v>0</v>
      </c>
      <c r="AF150" s="971">
        <f t="shared" si="63"/>
        <v>38940</v>
      </c>
      <c r="AG150" s="857">
        <f t="shared" si="64"/>
        <v>-0.13351134846461954</v>
      </c>
      <c r="AH150" s="576">
        <v>0</v>
      </c>
      <c r="AI150" s="856">
        <v>0.15</v>
      </c>
      <c r="AJ150" s="859">
        <v>0</v>
      </c>
      <c r="AK150" s="583">
        <v>0</v>
      </c>
      <c r="AL150" s="971">
        <f t="shared" si="65"/>
        <v>0</v>
      </c>
      <c r="AM150" s="971">
        <f t="shared" si="52"/>
        <v>38940</v>
      </c>
      <c r="AN150" s="858">
        <f t="shared" si="53"/>
        <v>0</v>
      </c>
      <c r="AO150" s="857">
        <f t="shared" si="54"/>
        <v>2.0635930047694755</v>
      </c>
      <c r="AP150" s="973">
        <f t="shared" si="55"/>
        <v>-6000</v>
      </c>
      <c r="AQ150" s="855">
        <f t="shared" si="56"/>
        <v>-0.13351134846461954</v>
      </c>
      <c r="AR150" s="1042">
        <f t="shared" si="69"/>
        <v>0.48086622522673611</v>
      </c>
      <c r="AS150" s="975"/>
      <c r="AT150" s="976"/>
      <c r="AU150" s="971"/>
      <c r="AV150" s="976"/>
      <c r="AW150" s="970"/>
      <c r="AX150" s="971"/>
      <c r="AY150" s="971"/>
      <c r="AZ150" s="977"/>
      <c r="BA150" s="972"/>
      <c r="BB150" s="971"/>
      <c r="BC150" s="973"/>
      <c r="BD150" s="973"/>
      <c r="BE150" s="855"/>
      <c r="BF150" s="975"/>
      <c r="BG150" s="975"/>
      <c r="BH150" s="971"/>
      <c r="BI150" s="970"/>
      <c r="BJ150" s="971"/>
      <c r="BK150" s="971"/>
      <c r="BL150" s="977"/>
      <c r="BM150" s="972"/>
      <c r="BN150" s="971"/>
      <c r="BO150" s="973"/>
      <c r="BP150" s="973"/>
      <c r="BQ150" s="855"/>
      <c r="BR150" s="975"/>
      <c r="BS150" s="975"/>
      <c r="BT150" s="978"/>
      <c r="BU150" s="978"/>
      <c r="BV150" s="978">
        <v>0.19</v>
      </c>
      <c r="BW150" s="978">
        <f t="shared" si="57"/>
        <v>0.32611055099442637</v>
      </c>
    </row>
    <row r="151" spans="1:75">
      <c r="A151" s="969">
        <v>2606</v>
      </c>
      <c r="B151" s="1046" t="s">
        <v>23</v>
      </c>
      <c r="C151" s="994" t="s">
        <v>833</v>
      </c>
      <c r="D151" s="1047" t="s">
        <v>336</v>
      </c>
      <c r="E151" s="955" t="s">
        <v>530</v>
      </c>
      <c r="F151" s="955"/>
      <c r="G151" s="955" t="str">
        <f>IFERROR(VLOOKUP(D151,[3]전용!E:J,6,0),"")</f>
        <v/>
      </c>
      <c r="H151" s="854">
        <v>26650</v>
      </c>
      <c r="I151" s="955">
        <v>5</v>
      </c>
      <c r="J151" s="955" t="s">
        <v>286</v>
      </c>
      <c r="K151" s="955">
        <v>6</v>
      </c>
      <c r="L151" s="970">
        <v>899</v>
      </c>
      <c r="M151" s="971">
        <f t="shared" si="49"/>
        <v>53940</v>
      </c>
      <c r="N151" s="855">
        <v>0.15</v>
      </c>
      <c r="O151" s="855"/>
      <c r="P151" s="970">
        <v>999</v>
      </c>
      <c r="Q151" s="1033">
        <f t="shared" si="70"/>
        <v>100</v>
      </c>
      <c r="R151" s="971">
        <f t="shared" si="67"/>
        <v>59940</v>
      </c>
      <c r="S151" s="856">
        <f t="shared" si="58"/>
        <v>0.28891635781067232</v>
      </c>
      <c r="T151" s="971"/>
      <c r="U151" s="971"/>
      <c r="V151" s="972">
        <v>0</v>
      </c>
      <c r="W151" s="971">
        <f t="shared" si="59"/>
        <v>0</v>
      </c>
      <c r="X151" s="971">
        <f t="shared" si="60"/>
        <v>59940</v>
      </c>
      <c r="Y151" s="858">
        <f t="shared" si="61"/>
        <v>0</v>
      </c>
      <c r="Z151" s="857">
        <f t="shared" si="62"/>
        <v>2.2491557223264542</v>
      </c>
      <c r="AA151" s="856">
        <v>0.28891635781067232</v>
      </c>
      <c r="AB151" s="856">
        <v>1.9521921515083022E-3</v>
      </c>
      <c r="AC151" s="1041">
        <f t="shared" si="71"/>
        <v>899</v>
      </c>
      <c r="AD151" s="970">
        <f t="shared" si="72"/>
        <v>-100</v>
      </c>
      <c r="AE151" s="970">
        <f t="shared" si="48"/>
        <v>0</v>
      </c>
      <c r="AF151" s="971">
        <f t="shared" si="63"/>
        <v>53940</v>
      </c>
      <c r="AG151" s="857">
        <f t="shared" si="64"/>
        <v>-0.10010010010010006</v>
      </c>
      <c r="AH151" s="576">
        <v>0</v>
      </c>
      <c r="AI151" s="856">
        <v>0.15</v>
      </c>
      <c r="AJ151" s="859">
        <v>0</v>
      </c>
      <c r="AK151" s="583">
        <v>0</v>
      </c>
      <c r="AL151" s="971">
        <f t="shared" si="65"/>
        <v>0</v>
      </c>
      <c r="AM151" s="971">
        <f t="shared" si="52"/>
        <v>53940</v>
      </c>
      <c r="AN151" s="858">
        <f t="shared" si="53"/>
        <v>0</v>
      </c>
      <c r="AO151" s="857">
        <f t="shared" si="54"/>
        <v>2.0240150093808631</v>
      </c>
      <c r="AP151" s="973">
        <f t="shared" si="55"/>
        <v>-6000</v>
      </c>
      <c r="AQ151" s="855">
        <f t="shared" si="56"/>
        <v>-0.10010010010010006</v>
      </c>
      <c r="AR151" s="1042">
        <f t="shared" si="69"/>
        <v>0.38896640786072234</v>
      </c>
      <c r="AS151" s="975"/>
      <c r="AT151" s="976"/>
      <c r="AU151" s="971"/>
      <c r="AV151" s="976"/>
      <c r="AW151" s="970"/>
      <c r="AX151" s="971"/>
      <c r="AY151" s="971"/>
      <c r="AZ151" s="977"/>
      <c r="BA151" s="972"/>
      <c r="BB151" s="971"/>
      <c r="BC151" s="973"/>
      <c r="BD151" s="973"/>
      <c r="BE151" s="855"/>
      <c r="BF151" s="975"/>
      <c r="BG151" s="975"/>
      <c r="BH151" s="971"/>
      <c r="BI151" s="970"/>
      <c r="BJ151" s="971"/>
      <c r="BK151" s="971"/>
      <c r="BL151" s="977"/>
      <c r="BM151" s="972"/>
      <c r="BN151" s="971"/>
      <c r="BO151" s="973"/>
      <c r="BP151" s="973"/>
      <c r="BQ151" s="855"/>
      <c r="BR151" s="975"/>
      <c r="BS151" s="975"/>
      <c r="BT151" s="978"/>
      <c r="BU151" s="978"/>
      <c r="BV151" s="978">
        <v>0.18</v>
      </c>
      <c r="BW151" s="978">
        <f t="shared" si="57"/>
        <v>0.25091635781067234</v>
      </c>
    </row>
    <row r="152" spans="1:75">
      <c r="A152" s="969">
        <v>2606</v>
      </c>
      <c r="B152" s="1046" t="s">
        <v>23</v>
      </c>
      <c r="C152" s="996" t="s">
        <v>833</v>
      </c>
      <c r="D152" s="1047" t="s">
        <v>336</v>
      </c>
      <c r="E152" s="998" t="s">
        <v>530</v>
      </c>
      <c r="F152" s="998"/>
      <c r="G152" s="955" t="str">
        <f>IFERROR(VLOOKUP(D152,[3]전용!E:J,6,0),"")</f>
        <v/>
      </c>
      <c r="H152" s="854">
        <v>26650</v>
      </c>
      <c r="I152" s="998">
        <v>5</v>
      </c>
      <c r="J152" s="998" t="s">
        <v>286</v>
      </c>
      <c r="K152" s="998">
        <v>12</v>
      </c>
      <c r="L152" s="999">
        <v>799</v>
      </c>
      <c r="M152" s="1000">
        <f t="shared" si="49"/>
        <v>47940</v>
      </c>
      <c r="N152" s="862">
        <v>0.15</v>
      </c>
      <c r="O152" s="862"/>
      <c r="P152" s="999">
        <v>899</v>
      </c>
      <c r="Q152" s="1033">
        <f t="shared" si="70"/>
        <v>100</v>
      </c>
      <c r="R152" s="1000">
        <f t="shared" si="67"/>
        <v>53940</v>
      </c>
      <c r="S152" s="856">
        <f t="shared" si="58"/>
        <v>0.28891635781067232</v>
      </c>
      <c r="T152" s="1000"/>
      <c r="U152" s="1000"/>
      <c r="V152" s="1001">
        <v>0</v>
      </c>
      <c r="W152" s="1000">
        <f t="shared" si="59"/>
        <v>0</v>
      </c>
      <c r="X152" s="1000">
        <f t="shared" si="60"/>
        <v>53940</v>
      </c>
      <c r="Y152" s="863">
        <f t="shared" si="61"/>
        <v>0</v>
      </c>
      <c r="Z152" s="857">
        <f t="shared" si="62"/>
        <v>2.0240150093808631</v>
      </c>
      <c r="AA152" s="856">
        <v>0.28891635781067232</v>
      </c>
      <c r="AB152" s="856">
        <v>1.9521921515083022E-3</v>
      </c>
      <c r="AC152" s="1041">
        <f t="shared" si="71"/>
        <v>799</v>
      </c>
      <c r="AD152" s="970">
        <f t="shared" si="72"/>
        <v>-100</v>
      </c>
      <c r="AE152" s="970">
        <f t="shared" si="48"/>
        <v>0</v>
      </c>
      <c r="AF152" s="1000">
        <f t="shared" si="63"/>
        <v>47940</v>
      </c>
      <c r="AG152" s="864">
        <f t="shared" si="64"/>
        <v>-0.11123470522803114</v>
      </c>
      <c r="AH152" s="576">
        <v>0</v>
      </c>
      <c r="AI152" s="856">
        <v>0.15</v>
      </c>
      <c r="AJ152" s="859">
        <v>0</v>
      </c>
      <c r="AK152" s="583">
        <v>0</v>
      </c>
      <c r="AL152" s="1000">
        <f t="shared" si="65"/>
        <v>0</v>
      </c>
      <c r="AM152" s="1000">
        <f t="shared" si="52"/>
        <v>47940</v>
      </c>
      <c r="AN152" s="858">
        <f t="shared" si="53"/>
        <v>0</v>
      </c>
      <c r="AO152" s="857">
        <f t="shared" si="54"/>
        <v>1.798874296435272</v>
      </c>
      <c r="AP152" s="1002">
        <f t="shared" si="55"/>
        <v>-6000</v>
      </c>
      <c r="AQ152" s="862">
        <f t="shared" si="56"/>
        <v>-0.11123470522803114</v>
      </c>
      <c r="AR152" s="1042">
        <f t="shared" si="69"/>
        <v>0.39453371042468788</v>
      </c>
      <c r="AS152" s="1003"/>
      <c r="AT152" s="976"/>
      <c r="AU152" s="971"/>
      <c r="AV152" s="976"/>
      <c r="AW152" s="970"/>
      <c r="AX152" s="971"/>
      <c r="AY152" s="971"/>
      <c r="AZ152" s="977"/>
      <c r="BA152" s="972"/>
      <c r="BB152" s="971"/>
      <c r="BC152" s="973"/>
      <c r="BD152" s="973"/>
      <c r="BE152" s="855"/>
      <c r="BF152" s="975"/>
      <c r="BG152" s="975"/>
      <c r="BH152" s="971"/>
      <c r="BI152" s="970"/>
      <c r="BJ152" s="971"/>
      <c r="BK152" s="971"/>
      <c r="BL152" s="977"/>
      <c r="BM152" s="972"/>
      <c r="BN152" s="971"/>
      <c r="BO152" s="973"/>
      <c r="BP152" s="973"/>
      <c r="BQ152" s="855"/>
      <c r="BR152" s="975"/>
      <c r="BS152" s="975"/>
      <c r="BT152" s="978"/>
      <c r="BU152" s="978"/>
      <c r="BV152" s="978">
        <v>0.18</v>
      </c>
      <c r="BW152" s="978">
        <f t="shared" si="57"/>
        <v>0.25091635781067234</v>
      </c>
    </row>
    <row r="153" spans="1:75" hidden="1">
      <c r="A153" s="1043">
        <v>2606</v>
      </c>
      <c r="B153" s="998" t="s">
        <v>285</v>
      </c>
      <c r="C153" s="969" t="s">
        <v>829</v>
      </c>
      <c r="D153" s="1027" t="s">
        <v>97</v>
      </c>
      <c r="E153" s="955" t="s">
        <v>97</v>
      </c>
      <c r="F153" s="955"/>
      <c r="G153" s="955" t="str">
        <f>IFERROR(VLOOKUP(D153,[3]전용!E:J,6,0),"")</f>
        <v/>
      </c>
      <c r="H153" s="854">
        <v>6650</v>
      </c>
      <c r="I153" s="955">
        <v>5</v>
      </c>
      <c r="J153" s="955" t="s">
        <v>286</v>
      </c>
      <c r="K153" s="955">
        <v>6</v>
      </c>
      <c r="L153" s="970">
        <v>599</v>
      </c>
      <c r="M153" s="971">
        <f t="shared" si="49"/>
        <v>35940</v>
      </c>
      <c r="N153" s="855">
        <v>0.2741908102637779</v>
      </c>
      <c r="O153" s="855"/>
      <c r="P153" s="970">
        <v>499</v>
      </c>
      <c r="Q153" s="970">
        <f t="shared" si="50"/>
        <v>100</v>
      </c>
      <c r="R153" s="971">
        <f t="shared" si="67"/>
        <v>29940</v>
      </c>
      <c r="S153" s="856">
        <f t="shared" si="58"/>
        <v>0.24116018515992227</v>
      </c>
      <c r="T153" s="971"/>
      <c r="U153" s="971"/>
      <c r="V153" s="972">
        <v>6</v>
      </c>
      <c r="W153" s="971">
        <f t="shared" si="59"/>
        <v>1497</v>
      </c>
      <c r="X153" s="971">
        <f t="shared" si="60"/>
        <v>28443</v>
      </c>
      <c r="Y153" s="858">
        <f t="shared" si="61"/>
        <v>-5.0000000000000044E-2</v>
      </c>
      <c r="Z153" s="857">
        <f t="shared" si="62"/>
        <v>4.2771428571428576</v>
      </c>
      <c r="AA153" s="856">
        <v>0.21616018515992225</v>
      </c>
      <c r="AB153" s="856">
        <v>3.7206945032014008E-2</v>
      </c>
      <c r="AC153" s="970">
        <f t="shared" si="51"/>
        <v>499</v>
      </c>
      <c r="AD153" s="970"/>
      <c r="AE153" s="970">
        <f t="shared" si="48"/>
        <v>0</v>
      </c>
      <c r="AF153" s="971">
        <f t="shared" si="63"/>
        <v>29940</v>
      </c>
      <c r="AG153" s="857">
        <f t="shared" si="64"/>
        <v>0</v>
      </c>
      <c r="AH153" s="576">
        <v>0</v>
      </c>
      <c r="AI153" s="856">
        <f t="shared" si="66"/>
        <v>0.19116018515992222</v>
      </c>
      <c r="AJ153" s="859">
        <v>0</v>
      </c>
      <c r="AK153" s="583">
        <v>6</v>
      </c>
      <c r="AL153" s="971">
        <f t="shared" si="65"/>
        <v>1497</v>
      </c>
      <c r="AM153" s="971">
        <f t="shared" si="52"/>
        <v>28443</v>
      </c>
      <c r="AN153" s="858">
        <f t="shared" si="53"/>
        <v>-5.0000000000000044E-2</v>
      </c>
      <c r="AO153" s="857">
        <f t="shared" si="54"/>
        <v>4.2771428571428576</v>
      </c>
      <c r="AP153" s="973">
        <f t="shared" si="55"/>
        <v>0</v>
      </c>
      <c r="AQ153" s="855">
        <f t="shared" si="56"/>
        <v>0</v>
      </c>
      <c r="AR153" s="974">
        <f t="shared" si="68"/>
        <v>0.21616018515992225</v>
      </c>
      <c r="AS153" s="975"/>
      <c r="AT153" s="976"/>
      <c r="AU153" s="971"/>
      <c r="AV153" s="976"/>
      <c r="AW153" s="970"/>
      <c r="AX153" s="971"/>
      <c r="AY153" s="971"/>
      <c r="AZ153" s="977"/>
      <c r="BA153" s="972"/>
      <c r="BB153" s="971"/>
      <c r="BC153" s="973"/>
      <c r="BD153" s="973"/>
      <c r="BE153" s="855"/>
      <c r="BF153" s="975"/>
      <c r="BG153" s="975"/>
      <c r="BH153" s="971"/>
      <c r="BI153" s="970"/>
      <c r="BJ153" s="971"/>
      <c r="BK153" s="971"/>
      <c r="BL153" s="977"/>
      <c r="BM153" s="972"/>
      <c r="BN153" s="971"/>
      <c r="BO153" s="973"/>
      <c r="BP153" s="973"/>
      <c r="BQ153" s="855"/>
      <c r="BR153" s="975"/>
      <c r="BS153" s="975"/>
      <c r="BT153" s="978"/>
      <c r="BU153" s="978"/>
      <c r="BV153" s="978">
        <v>0.21596338776373702</v>
      </c>
      <c r="BW153" s="978">
        <f t="shared" si="57"/>
        <v>0.17816018515992224</v>
      </c>
    </row>
    <row r="154" spans="1:75" hidden="1">
      <c r="A154" s="969">
        <v>2606</v>
      </c>
      <c r="B154" s="968" t="s">
        <v>285</v>
      </c>
      <c r="C154" s="969" t="s">
        <v>829</v>
      </c>
      <c r="D154" s="984" t="s">
        <v>97</v>
      </c>
      <c r="E154" s="955" t="s">
        <v>97</v>
      </c>
      <c r="F154" s="955"/>
      <c r="G154" s="955" t="str">
        <f>IFERROR(VLOOKUP(D154,[3]전용!E:J,6,0),"")</f>
        <v/>
      </c>
      <c r="H154" s="854">
        <v>6650</v>
      </c>
      <c r="I154" s="955">
        <v>5</v>
      </c>
      <c r="J154" s="955" t="s">
        <v>286</v>
      </c>
      <c r="K154" s="955">
        <v>12</v>
      </c>
      <c r="L154" s="970">
        <v>549</v>
      </c>
      <c r="M154" s="971">
        <f t="shared" si="49"/>
        <v>32940</v>
      </c>
      <c r="N154" s="855">
        <v>0.27891101003773688</v>
      </c>
      <c r="O154" s="855"/>
      <c r="P154" s="970">
        <v>449</v>
      </c>
      <c r="Q154" s="970">
        <f t="shared" si="50"/>
        <v>100</v>
      </c>
      <c r="R154" s="971">
        <f t="shared" si="67"/>
        <v>26940</v>
      </c>
      <c r="S154" s="856">
        <f t="shared" si="58"/>
        <v>0.24116018515992227</v>
      </c>
      <c r="T154" s="971"/>
      <c r="U154" s="971"/>
      <c r="V154" s="972">
        <v>6</v>
      </c>
      <c r="W154" s="971">
        <f t="shared" si="59"/>
        <v>1347</v>
      </c>
      <c r="X154" s="971">
        <f t="shared" si="60"/>
        <v>25593</v>
      </c>
      <c r="Y154" s="858">
        <f t="shared" si="61"/>
        <v>-5.0000000000000044E-2</v>
      </c>
      <c r="Z154" s="857">
        <f t="shared" si="62"/>
        <v>3.8485714285714288</v>
      </c>
      <c r="AA154" s="856">
        <v>0.21616018515992225</v>
      </c>
      <c r="AB154" s="856">
        <v>3.7206945032014008E-2</v>
      </c>
      <c r="AC154" s="970">
        <f t="shared" si="51"/>
        <v>449</v>
      </c>
      <c r="AD154" s="970"/>
      <c r="AE154" s="970">
        <f t="shared" si="48"/>
        <v>0</v>
      </c>
      <c r="AF154" s="971">
        <f t="shared" si="63"/>
        <v>26940</v>
      </c>
      <c r="AG154" s="857">
        <f t="shared" si="64"/>
        <v>0</v>
      </c>
      <c r="AH154" s="576">
        <v>0</v>
      </c>
      <c r="AI154" s="856">
        <f t="shared" si="66"/>
        <v>0.19116018515992222</v>
      </c>
      <c r="AJ154" s="859">
        <v>0</v>
      </c>
      <c r="AK154" s="583">
        <v>6</v>
      </c>
      <c r="AL154" s="971">
        <f t="shared" si="65"/>
        <v>1347</v>
      </c>
      <c r="AM154" s="971">
        <f t="shared" si="52"/>
        <v>25593</v>
      </c>
      <c r="AN154" s="858">
        <f t="shared" si="53"/>
        <v>-5.0000000000000044E-2</v>
      </c>
      <c r="AO154" s="857">
        <f t="shared" si="54"/>
        <v>3.8485714285714288</v>
      </c>
      <c r="AP154" s="973">
        <f t="shared" si="55"/>
        <v>0</v>
      </c>
      <c r="AQ154" s="855">
        <f t="shared" si="56"/>
        <v>0</v>
      </c>
      <c r="AR154" s="974">
        <f t="shared" si="68"/>
        <v>0.21616018515992225</v>
      </c>
      <c r="AS154" s="975"/>
      <c r="AT154" s="976" t="e">
        <v>#N/A</v>
      </c>
      <c r="AU154" s="971" t="e">
        <f>P154-#REF!</f>
        <v>#REF!</v>
      </c>
      <c r="AV154" s="976"/>
      <c r="AW154" s="970">
        <f t="shared" ref="AW154:AW172" si="73">AC154</f>
        <v>449</v>
      </c>
      <c r="AX154" s="971">
        <f t="shared" ref="AX154:AX172" si="74">AW154-AC154</f>
        <v>0</v>
      </c>
      <c r="AY154" s="971">
        <f t="shared" ref="AY154:AY160" si="75">AW154*LEFT(I154,1)*12</f>
        <v>26940</v>
      </c>
      <c r="AZ154" s="977"/>
      <c r="BA154" s="972">
        <v>6</v>
      </c>
      <c r="BB154" s="971">
        <f t="shared" ref="BB154:BB204" si="76">BA154*AW154*0.5</f>
        <v>1347</v>
      </c>
      <c r="BC154" s="973">
        <f t="shared" ref="BC154:BC204" si="77">AY154-BB154</f>
        <v>25593</v>
      </c>
      <c r="BD154" s="973">
        <f t="shared" ref="BD154:BD172" si="78">BC154-AM154</f>
        <v>0</v>
      </c>
      <c r="BE154" s="855">
        <f t="shared" ref="BE154:BE172" si="79">BC154/AM154-1</f>
        <v>0</v>
      </c>
      <c r="BF154" s="975">
        <f t="shared" ref="BF154:BF204" si="80">IFERROR(AR154+BE154*0.5,"")</f>
        <v>0.21616018515992225</v>
      </c>
      <c r="BG154" s="975"/>
      <c r="BH154" s="971">
        <f>AX154</f>
        <v>0</v>
      </c>
      <c r="BI154" s="970">
        <f t="shared" ref="BI154:BI204" si="81">AW154</f>
        <v>449</v>
      </c>
      <c r="BJ154" s="971">
        <f t="shared" ref="BJ154:BJ204" si="82">BI154-AW154</f>
        <v>0</v>
      </c>
      <c r="BK154" s="971">
        <f t="shared" ref="BK154:BK160" si="83">BI154*LEFT(I154,1)*12</f>
        <v>26940</v>
      </c>
      <c r="BL154" s="977"/>
      <c r="BM154" s="972">
        <v>6</v>
      </c>
      <c r="BN154" s="971">
        <f t="shared" ref="BN154:BN204" si="84">BM154*BI154*0.5</f>
        <v>1347</v>
      </c>
      <c r="BO154" s="973">
        <f t="shared" ref="BO154:BO156" si="85">BK154-BN154</f>
        <v>25593</v>
      </c>
      <c r="BP154" s="973">
        <f t="shared" ref="BP154:BP204" si="86">BO154-BC154</f>
        <v>0</v>
      </c>
      <c r="BQ154" s="855">
        <f t="shared" ref="BQ154:BQ204" si="87">BO154/BC154-1</f>
        <v>0</v>
      </c>
      <c r="BR154" s="975">
        <f t="shared" ref="BR154:BR204" si="88">IFERROR(BE154+BQ154*0.5,"")</f>
        <v>0</v>
      </c>
      <c r="BS154" s="975"/>
      <c r="BT154" s="978"/>
      <c r="BU154" s="978"/>
      <c r="BV154" s="978">
        <v>0.21596338776373702</v>
      </c>
      <c r="BW154" s="978">
        <f t="shared" si="57"/>
        <v>0.17816018515992224</v>
      </c>
    </row>
    <row r="155" spans="1:75" hidden="1">
      <c r="A155" s="969">
        <v>2606</v>
      </c>
      <c r="B155" s="968" t="s">
        <v>285</v>
      </c>
      <c r="C155" s="969" t="s">
        <v>829</v>
      </c>
      <c r="D155" s="984" t="s">
        <v>97</v>
      </c>
      <c r="E155" s="955" t="s">
        <v>97</v>
      </c>
      <c r="F155" s="955"/>
      <c r="G155" s="955" t="str">
        <f>IFERROR(VLOOKUP(D155,[3]전용!E:J,6,0),"")</f>
        <v/>
      </c>
      <c r="H155" s="854">
        <v>6650</v>
      </c>
      <c r="I155" s="955">
        <v>5</v>
      </c>
      <c r="J155" s="955" t="s">
        <v>288</v>
      </c>
      <c r="K155" s="955">
        <v>6</v>
      </c>
      <c r="L155" s="970">
        <v>549</v>
      </c>
      <c r="M155" s="971">
        <f t="shared" si="49"/>
        <v>32940</v>
      </c>
      <c r="N155" s="855">
        <v>0.27891101003773688</v>
      </c>
      <c r="O155" s="855"/>
      <c r="P155" s="970">
        <v>449</v>
      </c>
      <c r="Q155" s="970">
        <f t="shared" si="50"/>
        <v>100</v>
      </c>
      <c r="R155" s="971">
        <f t="shared" si="67"/>
        <v>26940</v>
      </c>
      <c r="S155" s="856">
        <f t="shared" si="58"/>
        <v>0.24116018515992227</v>
      </c>
      <c r="T155" s="971"/>
      <c r="U155" s="971"/>
      <c r="V155" s="972">
        <v>6</v>
      </c>
      <c r="W155" s="971">
        <f t="shared" si="59"/>
        <v>1347</v>
      </c>
      <c r="X155" s="971">
        <f t="shared" si="60"/>
        <v>25593</v>
      </c>
      <c r="Y155" s="858">
        <f t="shared" si="61"/>
        <v>-5.0000000000000044E-2</v>
      </c>
      <c r="Z155" s="857">
        <f t="shared" si="62"/>
        <v>3.8485714285714288</v>
      </c>
      <c r="AA155" s="856">
        <v>0.21616018515992225</v>
      </c>
      <c r="AB155" s="856">
        <v>3.7206945032014008E-2</v>
      </c>
      <c r="AC155" s="970">
        <f t="shared" si="51"/>
        <v>449</v>
      </c>
      <c r="AD155" s="970"/>
      <c r="AE155" s="970">
        <f t="shared" si="48"/>
        <v>0</v>
      </c>
      <c r="AF155" s="971">
        <f t="shared" si="63"/>
        <v>26940</v>
      </c>
      <c r="AG155" s="857">
        <f t="shared" si="64"/>
        <v>0</v>
      </c>
      <c r="AH155" s="576">
        <v>0</v>
      </c>
      <c r="AI155" s="856">
        <f t="shared" si="66"/>
        <v>0.19116018515992222</v>
      </c>
      <c r="AJ155" s="859">
        <v>0</v>
      </c>
      <c r="AK155" s="583">
        <v>6</v>
      </c>
      <c r="AL155" s="971">
        <f t="shared" si="65"/>
        <v>1347</v>
      </c>
      <c r="AM155" s="971">
        <f t="shared" si="52"/>
        <v>25593</v>
      </c>
      <c r="AN155" s="858">
        <f t="shared" si="53"/>
        <v>-5.0000000000000044E-2</v>
      </c>
      <c r="AO155" s="857">
        <f t="shared" si="54"/>
        <v>3.8485714285714288</v>
      </c>
      <c r="AP155" s="973">
        <f t="shared" si="55"/>
        <v>0</v>
      </c>
      <c r="AQ155" s="855">
        <f t="shared" si="56"/>
        <v>0</v>
      </c>
      <c r="AR155" s="974">
        <f t="shared" si="68"/>
        <v>0.21616018515992225</v>
      </c>
      <c r="AS155" s="975"/>
      <c r="AT155" s="976" t="e">
        <v>#N/A</v>
      </c>
      <c r="AU155" s="971" t="e">
        <f>P155-#REF!</f>
        <v>#REF!</v>
      </c>
      <c r="AV155" s="976"/>
      <c r="AW155" s="970">
        <f t="shared" si="73"/>
        <v>449</v>
      </c>
      <c r="AX155" s="971">
        <f t="shared" si="74"/>
        <v>0</v>
      </c>
      <c r="AY155" s="971">
        <f t="shared" si="75"/>
        <v>26940</v>
      </c>
      <c r="AZ155" s="977"/>
      <c r="BA155" s="972">
        <v>6</v>
      </c>
      <c r="BB155" s="971">
        <f t="shared" si="76"/>
        <v>1347</v>
      </c>
      <c r="BC155" s="973">
        <f t="shared" si="77"/>
        <v>25593</v>
      </c>
      <c r="BD155" s="973">
        <f t="shared" si="78"/>
        <v>0</v>
      </c>
      <c r="BE155" s="855">
        <f t="shared" si="79"/>
        <v>0</v>
      </c>
      <c r="BF155" s="975">
        <f t="shared" si="80"/>
        <v>0.21616018515992225</v>
      </c>
      <c r="BG155" s="975"/>
      <c r="BH155" s="971"/>
      <c r="BI155" s="970">
        <f t="shared" si="81"/>
        <v>449</v>
      </c>
      <c r="BJ155" s="971">
        <f t="shared" si="82"/>
        <v>0</v>
      </c>
      <c r="BK155" s="971">
        <f t="shared" si="83"/>
        <v>26940</v>
      </c>
      <c r="BL155" s="977"/>
      <c r="BM155" s="972">
        <v>6</v>
      </c>
      <c r="BN155" s="971">
        <f t="shared" si="84"/>
        <v>1347</v>
      </c>
      <c r="BO155" s="973">
        <f t="shared" si="85"/>
        <v>25593</v>
      </c>
      <c r="BP155" s="973">
        <f t="shared" si="86"/>
        <v>0</v>
      </c>
      <c r="BQ155" s="855">
        <f t="shared" si="87"/>
        <v>0</v>
      </c>
      <c r="BR155" s="975">
        <f t="shared" si="88"/>
        <v>0</v>
      </c>
      <c r="BS155" s="975"/>
      <c r="BT155" s="978"/>
      <c r="BU155" s="978"/>
      <c r="BV155" s="978">
        <v>0.21596338776373702</v>
      </c>
      <c r="BW155" s="978">
        <f t="shared" si="57"/>
        <v>0.17816018515992224</v>
      </c>
    </row>
    <row r="156" spans="1:75" hidden="1">
      <c r="A156" s="980">
        <v>2606</v>
      </c>
      <c r="B156" s="979" t="s">
        <v>285</v>
      </c>
      <c r="C156" s="980" t="s">
        <v>829</v>
      </c>
      <c r="D156" s="985" t="s">
        <v>97</v>
      </c>
      <c r="E156" s="955" t="s">
        <v>97</v>
      </c>
      <c r="F156" s="955"/>
      <c r="G156" s="955" t="str">
        <f>IFERROR(VLOOKUP(D156,[3]전용!E:J,6,0),"")</f>
        <v/>
      </c>
      <c r="H156" s="854">
        <v>6650</v>
      </c>
      <c r="I156" s="955">
        <v>5</v>
      </c>
      <c r="J156" s="955" t="s">
        <v>288</v>
      </c>
      <c r="K156" s="955">
        <v>12</v>
      </c>
      <c r="L156" s="970">
        <v>499</v>
      </c>
      <c r="M156" s="971">
        <f t="shared" si="49"/>
        <v>29940</v>
      </c>
      <c r="N156" s="855">
        <v>0.28468247924910339</v>
      </c>
      <c r="O156" s="855"/>
      <c r="P156" s="970">
        <v>399</v>
      </c>
      <c r="Q156" s="970">
        <f t="shared" si="50"/>
        <v>100</v>
      </c>
      <c r="R156" s="971">
        <f t="shared" si="67"/>
        <v>23940</v>
      </c>
      <c r="S156" s="856">
        <f t="shared" si="58"/>
        <v>0.24116018515992227</v>
      </c>
      <c r="T156" s="971"/>
      <c r="U156" s="971"/>
      <c r="V156" s="972">
        <v>6</v>
      </c>
      <c r="W156" s="971">
        <f t="shared" si="59"/>
        <v>1197</v>
      </c>
      <c r="X156" s="971">
        <f t="shared" si="60"/>
        <v>22743</v>
      </c>
      <c r="Y156" s="858">
        <f t="shared" si="61"/>
        <v>-5.0000000000000044E-2</v>
      </c>
      <c r="Z156" s="857">
        <f t="shared" si="62"/>
        <v>3.42</v>
      </c>
      <c r="AA156" s="856">
        <v>0.21616018515992225</v>
      </c>
      <c r="AB156" s="856">
        <v>3.7206945032014008E-2</v>
      </c>
      <c r="AC156" s="970">
        <f t="shared" si="51"/>
        <v>399</v>
      </c>
      <c r="AD156" s="970"/>
      <c r="AE156" s="970">
        <f t="shared" si="48"/>
        <v>0</v>
      </c>
      <c r="AF156" s="971">
        <f t="shared" si="63"/>
        <v>23940</v>
      </c>
      <c r="AG156" s="857">
        <f t="shared" si="64"/>
        <v>0</v>
      </c>
      <c r="AH156" s="576">
        <v>0</v>
      </c>
      <c r="AI156" s="856">
        <f t="shared" si="66"/>
        <v>0.19116018515992222</v>
      </c>
      <c r="AJ156" s="859">
        <v>0</v>
      </c>
      <c r="AK156" s="583">
        <v>6</v>
      </c>
      <c r="AL156" s="971">
        <f t="shared" si="65"/>
        <v>1197</v>
      </c>
      <c r="AM156" s="971">
        <f t="shared" si="52"/>
        <v>22743</v>
      </c>
      <c r="AN156" s="858">
        <f t="shared" si="53"/>
        <v>-5.0000000000000044E-2</v>
      </c>
      <c r="AO156" s="857">
        <f t="shared" si="54"/>
        <v>3.42</v>
      </c>
      <c r="AP156" s="973">
        <f t="shared" si="55"/>
        <v>0</v>
      </c>
      <c r="AQ156" s="855">
        <f t="shared" si="56"/>
        <v>0</v>
      </c>
      <c r="AR156" s="974">
        <f t="shared" si="68"/>
        <v>0.21616018515992225</v>
      </c>
      <c r="AS156" s="975"/>
      <c r="AT156" s="976" t="e">
        <v>#N/A</v>
      </c>
      <c r="AU156" s="971" t="e">
        <f>P156-#REF!</f>
        <v>#REF!</v>
      </c>
      <c r="AV156" s="976"/>
      <c r="AW156" s="970">
        <f t="shared" si="73"/>
        <v>399</v>
      </c>
      <c r="AX156" s="971">
        <f t="shared" si="74"/>
        <v>0</v>
      </c>
      <c r="AY156" s="971">
        <f t="shared" si="75"/>
        <v>23940</v>
      </c>
      <c r="AZ156" s="977"/>
      <c r="BA156" s="972">
        <v>6</v>
      </c>
      <c r="BB156" s="971">
        <f t="shared" si="76"/>
        <v>1197</v>
      </c>
      <c r="BC156" s="973">
        <f t="shared" si="77"/>
        <v>22743</v>
      </c>
      <c r="BD156" s="973">
        <f t="shared" si="78"/>
        <v>0</v>
      </c>
      <c r="BE156" s="855">
        <f t="shared" si="79"/>
        <v>0</v>
      </c>
      <c r="BF156" s="975">
        <f t="shared" si="80"/>
        <v>0.21616018515992225</v>
      </c>
      <c r="BG156" s="975"/>
      <c r="BH156" s="971"/>
      <c r="BI156" s="970">
        <f t="shared" si="81"/>
        <v>399</v>
      </c>
      <c r="BJ156" s="971">
        <f t="shared" si="82"/>
        <v>0</v>
      </c>
      <c r="BK156" s="971">
        <f t="shared" si="83"/>
        <v>23940</v>
      </c>
      <c r="BL156" s="977"/>
      <c r="BM156" s="972">
        <v>6</v>
      </c>
      <c r="BN156" s="971">
        <f t="shared" si="84"/>
        <v>1197</v>
      </c>
      <c r="BO156" s="973">
        <f t="shared" si="85"/>
        <v>22743</v>
      </c>
      <c r="BP156" s="973">
        <f t="shared" si="86"/>
        <v>0</v>
      </c>
      <c r="BQ156" s="855">
        <f t="shared" si="87"/>
        <v>0</v>
      </c>
      <c r="BR156" s="975">
        <f t="shared" si="88"/>
        <v>0</v>
      </c>
      <c r="BS156" s="975"/>
      <c r="BT156" s="978"/>
      <c r="BU156" s="978"/>
      <c r="BV156" s="978">
        <v>0.21596338776373702</v>
      </c>
      <c r="BW156" s="978">
        <f t="shared" si="57"/>
        <v>0.17816018515992224</v>
      </c>
    </row>
    <row r="157" spans="1:75" hidden="1">
      <c r="A157" s="969">
        <v>2606</v>
      </c>
      <c r="B157" s="968" t="s">
        <v>285</v>
      </c>
      <c r="C157" s="969" t="s">
        <v>829</v>
      </c>
      <c r="D157" s="984" t="s">
        <v>72</v>
      </c>
      <c r="E157" s="955" t="s">
        <v>72</v>
      </c>
      <c r="F157" s="955"/>
      <c r="G157" s="955" t="str">
        <f>IFERROR(VLOOKUP(D157,[3]전용!E:J,6,0),"")</f>
        <v/>
      </c>
      <c r="H157" s="854">
        <v>19880</v>
      </c>
      <c r="I157" s="955">
        <v>5</v>
      </c>
      <c r="J157" s="955" t="s">
        <v>286</v>
      </c>
      <c r="K157" s="955">
        <v>6</v>
      </c>
      <c r="L157" s="970">
        <v>899</v>
      </c>
      <c r="M157" s="971">
        <f t="shared" si="49"/>
        <v>53940</v>
      </c>
      <c r="N157" s="855">
        <v>0.36516840680282137</v>
      </c>
      <c r="O157" s="855"/>
      <c r="P157" s="970">
        <v>799</v>
      </c>
      <c r="Q157" s="970">
        <f t="shared" si="50"/>
        <v>100</v>
      </c>
      <c r="R157" s="576">
        <f>(P157*((I157*12)-U157))</f>
        <v>45543</v>
      </c>
      <c r="S157" s="856">
        <f t="shared" si="58"/>
        <v>0.20115198767194403</v>
      </c>
      <c r="T157" s="580">
        <v>149</v>
      </c>
      <c r="U157" s="583">
        <v>3</v>
      </c>
      <c r="V157" s="583">
        <v>0</v>
      </c>
      <c r="W157" s="971">
        <f t="shared" si="59"/>
        <v>1950</v>
      </c>
      <c r="X157" s="971">
        <f t="shared" si="60"/>
        <v>43593</v>
      </c>
      <c r="Y157" s="858">
        <f t="shared" si="61"/>
        <v>-4.2816678743165748E-2</v>
      </c>
      <c r="Z157" s="857">
        <f t="shared" si="62"/>
        <v>2.1928068410462775</v>
      </c>
      <c r="AA157" s="856">
        <v>0.17974364830036116</v>
      </c>
      <c r="AB157" s="856">
        <v>2.3814954063519949E-2</v>
      </c>
      <c r="AC157" s="970">
        <f t="shared" si="51"/>
        <v>799</v>
      </c>
      <c r="AD157" s="970"/>
      <c r="AE157" s="970">
        <f t="shared" si="48"/>
        <v>0</v>
      </c>
      <c r="AF157" s="971">
        <f t="shared" si="63"/>
        <v>47940</v>
      </c>
      <c r="AG157" s="857">
        <f t="shared" si="64"/>
        <v>5.2631578947368363E-2</v>
      </c>
      <c r="AH157" s="576">
        <v>149</v>
      </c>
      <c r="AI157" s="856">
        <f t="shared" si="66"/>
        <v>0.18689867201255944</v>
      </c>
      <c r="AJ157" s="859">
        <v>3</v>
      </c>
      <c r="AK157" s="583">
        <v>0</v>
      </c>
      <c r="AL157" s="971">
        <f t="shared" si="65"/>
        <v>1950</v>
      </c>
      <c r="AM157" s="971">
        <f t="shared" si="52"/>
        <v>45990</v>
      </c>
      <c r="AN157" s="858">
        <f t="shared" si="53"/>
        <v>-4.06758448060075E-2</v>
      </c>
      <c r="AO157" s="857">
        <f t="shared" si="54"/>
        <v>2.313380281690141</v>
      </c>
      <c r="AP157" s="973">
        <f t="shared" si="55"/>
        <v>2397</v>
      </c>
      <c r="AQ157" s="855">
        <f t="shared" si="56"/>
        <v>5.4985892230404065E-2</v>
      </c>
      <c r="AR157" s="974">
        <f t="shared" si="68"/>
        <v>0.20723659441556319</v>
      </c>
      <c r="AS157" s="975"/>
      <c r="AT157" s="976" t="e">
        <v>#N/A</v>
      </c>
      <c r="AU157" s="971" t="e">
        <f>P157-#REF!</f>
        <v>#REF!</v>
      </c>
      <c r="AV157" s="976"/>
      <c r="AW157" s="970">
        <f t="shared" si="73"/>
        <v>799</v>
      </c>
      <c r="AX157" s="971">
        <f t="shared" si="74"/>
        <v>0</v>
      </c>
      <c r="AY157" s="971">
        <f t="shared" si="75"/>
        <v>47940</v>
      </c>
      <c r="AZ157" s="580">
        <v>149</v>
      </c>
      <c r="BA157" s="583">
        <v>3</v>
      </c>
      <c r="BB157" s="971">
        <f t="shared" si="76"/>
        <v>1198.5</v>
      </c>
      <c r="BC157" s="973">
        <f t="shared" si="77"/>
        <v>46741.5</v>
      </c>
      <c r="BD157" s="973">
        <f t="shared" si="78"/>
        <v>751.5</v>
      </c>
      <c r="BE157" s="855">
        <f t="shared" si="79"/>
        <v>1.6340508806262255E-2</v>
      </c>
      <c r="BF157" s="975">
        <f t="shared" si="80"/>
        <v>0.21540684881869432</v>
      </c>
      <c r="BG157" s="975"/>
      <c r="BH157" s="971">
        <f t="shared" ref="BH157:BH158" si="89">AX157</f>
        <v>0</v>
      </c>
      <c r="BI157" s="970">
        <f t="shared" si="81"/>
        <v>799</v>
      </c>
      <c r="BJ157" s="971">
        <f t="shared" si="82"/>
        <v>0</v>
      </c>
      <c r="BK157" s="971">
        <f t="shared" si="83"/>
        <v>47940</v>
      </c>
      <c r="BL157" s="580">
        <v>149</v>
      </c>
      <c r="BM157" s="583">
        <v>3</v>
      </c>
      <c r="BN157" s="971">
        <f t="shared" si="84"/>
        <v>1198.5</v>
      </c>
      <c r="BO157" s="709">
        <f>BK157+BN157</f>
        <v>49138.5</v>
      </c>
      <c r="BP157" s="973">
        <f t="shared" si="86"/>
        <v>2397</v>
      </c>
      <c r="BQ157" s="855">
        <f t="shared" si="87"/>
        <v>5.1282051282051322E-2</v>
      </c>
      <c r="BR157" s="975">
        <f t="shared" si="88"/>
        <v>4.1981534447287916E-2</v>
      </c>
      <c r="BS157" s="975"/>
      <c r="BT157" s="978"/>
      <c r="BU157" s="978"/>
      <c r="BV157" s="978">
        <v>0.18034875742982576</v>
      </c>
      <c r="BW157" s="978">
        <f t="shared" si="57"/>
        <v>0.17974364830036116</v>
      </c>
    </row>
    <row r="158" spans="1:75" hidden="1">
      <c r="A158" s="969">
        <v>2606</v>
      </c>
      <c r="B158" s="968" t="s">
        <v>285</v>
      </c>
      <c r="C158" s="969" t="s">
        <v>829</v>
      </c>
      <c r="D158" s="984" t="s">
        <v>72</v>
      </c>
      <c r="E158" s="955" t="s">
        <v>72</v>
      </c>
      <c r="F158" s="955"/>
      <c r="G158" s="955" t="str">
        <f>IFERROR(VLOOKUP(D158,[3]전용!E:J,6,0),"")</f>
        <v/>
      </c>
      <c r="H158" s="854">
        <v>19880</v>
      </c>
      <c r="I158" s="955">
        <v>5</v>
      </c>
      <c r="J158" s="955" t="s">
        <v>286</v>
      </c>
      <c r="K158" s="955">
        <v>12</v>
      </c>
      <c r="L158" s="970">
        <v>849</v>
      </c>
      <c r="M158" s="971">
        <f t="shared" si="49"/>
        <v>50940</v>
      </c>
      <c r="N158" s="855">
        <v>0.36707465216587953</v>
      </c>
      <c r="O158" s="855"/>
      <c r="P158" s="970">
        <v>749</v>
      </c>
      <c r="Q158" s="970">
        <f t="shared" si="50"/>
        <v>100</v>
      </c>
      <c r="R158" s="576">
        <f>(P158*((I158*12)-U158))</f>
        <v>42693</v>
      </c>
      <c r="S158" s="856">
        <f t="shared" si="58"/>
        <v>0.20082438753161685</v>
      </c>
      <c r="T158" s="580">
        <v>149</v>
      </c>
      <c r="U158" s="583">
        <v>3</v>
      </c>
      <c r="V158" s="583">
        <v>0</v>
      </c>
      <c r="W158" s="971">
        <f t="shared" si="59"/>
        <v>1800</v>
      </c>
      <c r="X158" s="971">
        <f t="shared" si="60"/>
        <v>40893</v>
      </c>
      <c r="Y158" s="858">
        <f t="shared" si="61"/>
        <v>-4.2161478462511393E-2</v>
      </c>
      <c r="Z158" s="857">
        <f t="shared" si="62"/>
        <v>2.0569919517102617</v>
      </c>
      <c r="AA158" s="856">
        <v>0.17974364830036116</v>
      </c>
      <c r="AB158" s="856">
        <v>2.3814954063519949E-2</v>
      </c>
      <c r="AC158" s="970">
        <f t="shared" si="51"/>
        <v>749</v>
      </c>
      <c r="AD158" s="970"/>
      <c r="AE158" s="970">
        <f t="shared" si="48"/>
        <v>0</v>
      </c>
      <c r="AF158" s="971">
        <f t="shared" si="63"/>
        <v>44940</v>
      </c>
      <c r="AG158" s="857">
        <f t="shared" si="64"/>
        <v>5.2631578947368363E-2</v>
      </c>
      <c r="AH158" s="576">
        <v>149</v>
      </c>
      <c r="AI158" s="856">
        <f t="shared" si="66"/>
        <v>0.18719108585900068</v>
      </c>
      <c r="AJ158" s="859">
        <v>3</v>
      </c>
      <c r="AK158" s="583">
        <v>0</v>
      </c>
      <c r="AL158" s="971">
        <f t="shared" si="65"/>
        <v>1800</v>
      </c>
      <c r="AM158" s="971">
        <f t="shared" si="52"/>
        <v>43140</v>
      </c>
      <c r="AN158" s="858">
        <f t="shared" si="53"/>
        <v>-4.0053404539385884E-2</v>
      </c>
      <c r="AO158" s="857">
        <f t="shared" si="54"/>
        <v>2.1700201207243461</v>
      </c>
      <c r="AP158" s="973">
        <f t="shared" si="55"/>
        <v>2247</v>
      </c>
      <c r="AQ158" s="855">
        <f t="shared" si="56"/>
        <v>5.4948279656664933E-2</v>
      </c>
      <c r="AR158" s="974">
        <f t="shared" si="68"/>
        <v>0.20721778812869363</v>
      </c>
      <c r="AS158" s="975"/>
      <c r="AT158" s="976" t="e">
        <v>#N/A</v>
      </c>
      <c r="AU158" s="971" t="e">
        <f>P158-#REF!</f>
        <v>#REF!</v>
      </c>
      <c r="AV158" s="976"/>
      <c r="AW158" s="970">
        <f t="shared" si="73"/>
        <v>749</v>
      </c>
      <c r="AX158" s="971">
        <f t="shared" si="74"/>
        <v>0</v>
      </c>
      <c r="AY158" s="971">
        <f t="shared" si="75"/>
        <v>44940</v>
      </c>
      <c r="AZ158" s="580">
        <v>149</v>
      </c>
      <c r="BA158" s="583">
        <v>3</v>
      </c>
      <c r="BB158" s="971">
        <f t="shared" si="76"/>
        <v>1123.5</v>
      </c>
      <c r="BC158" s="973">
        <f t="shared" si="77"/>
        <v>43816.5</v>
      </c>
      <c r="BD158" s="973">
        <f t="shared" si="78"/>
        <v>676.5</v>
      </c>
      <c r="BE158" s="855">
        <f t="shared" si="79"/>
        <v>1.568150208623087E-2</v>
      </c>
      <c r="BF158" s="975">
        <f t="shared" si="80"/>
        <v>0.21505853917180906</v>
      </c>
      <c r="BG158" s="975"/>
      <c r="BH158" s="971">
        <f t="shared" si="89"/>
        <v>0</v>
      </c>
      <c r="BI158" s="970">
        <f t="shared" si="81"/>
        <v>749</v>
      </c>
      <c r="BJ158" s="971">
        <f t="shared" si="82"/>
        <v>0</v>
      </c>
      <c r="BK158" s="971">
        <f t="shared" si="83"/>
        <v>44940</v>
      </c>
      <c r="BL158" s="580">
        <v>149</v>
      </c>
      <c r="BM158" s="583">
        <v>3</v>
      </c>
      <c r="BN158" s="971">
        <f t="shared" si="84"/>
        <v>1123.5</v>
      </c>
      <c r="BO158" s="709">
        <f>BK158+BN158</f>
        <v>46063.5</v>
      </c>
      <c r="BP158" s="973">
        <f t="shared" si="86"/>
        <v>2247</v>
      </c>
      <c r="BQ158" s="855">
        <f t="shared" si="87"/>
        <v>5.1282051282051322E-2</v>
      </c>
      <c r="BR158" s="975">
        <f t="shared" si="88"/>
        <v>4.1322527727256531E-2</v>
      </c>
      <c r="BS158" s="975"/>
      <c r="BT158" s="978"/>
      <c r="BU158" s="978"/>
      <c r="BV158" s="978">
        <v>0.18034875742982576</v>
      </c>
      <c r="BW158" s="978">
        <f t="shared" si="57"/>
        <v>0.17974364830036116</v>
      </c>
    </row>
    <row r="159" spans="1:75" hidden="1">
      <c r="A159" s="969">
        <v>2606</v>
      </c>
      <c r="B159" s="968" t="s">
        <v>285</v>
      </c>
      <c r="C159" s="969" t="s">
        <v>829</v>
      </c>
      <c r="D159" s="984" t="s">
        <v>72</v>
      </c>
      <c r="E159" s="955" t="s">
        <v>72</v>
      </c>
      <c r="F159" s="955"/>
      <c r="G159" s="955" t="str">
        <f>IFERROR(VLOOKUP(D159,[3]전용!E:J,6,0),"")</f>
        <v/>
      </c>
      <c r="H159" s="854">
        <v>19880</v>
      </c>
      <c r="I159" s="955">
        <v>5</v>
      </c>
      <c r="J159" s="955" t="s">
        <v>288</v>
      </c>
      <c r="K159" s="955">
        <v>6</v>
      </c>
      <c r="L159" s="970">
        <v>849</v>
      </c>
      <c r="M159" s="971">
        <f t="shared" si="49"/>
        <v>50940</v>
      </c>
      <c r="N159" s="855">
        <v>0.36707465216587953</v>
      </c>
      <c r="O159" s="855"/>
      <c r="P159" s="970">
        <v>749</v>
      </c>
      <c r="Q159" s="970">
        <f t="shared" si="50"/>
        <v>100</v>
      </c>
      <c r="R159" s="971">
        <f>P159*LEFT(I159,1)*12</f>
        <v>44940</v>
      </c>
      <c r="S159" s="856">
        <f t="shared" si="58"/>
        <v>0.1997703505700541</v>
      </c>
      <c r="T159" s="976">
        <v>149</v>
      </c>
      <c r="U159" s="976">
        <v>3</v>
      </c>
      <c r="V159" s="583">
        <v>0</v>
      </c>
      <c r="W159" s="971">
        <f t="shared" si="59"/>
        <v>1800</v>
      </c>
      <c r="X159" s="971">
        <f t="shared" si="60"/>
        <v>43140</v>
      </c>
      <c r="Y159" s="858">
        <f t="shared" si="61"/>
        <v>-4.0053404539385884E-2</v>
      </c>
      <c r="Z159" s="857">
        <f t="shared" si="62"/>
        <v>2.1700201207243461</v>
      </c>
      <c r="AA159" s="856">
        <v>0.17974364830036116</v>
      </c>
      <c r="AB159" s="856">
        <v>2.3814954063519949E-2</v>
      </c>
      <c r="AC159" s="970">
        <f t="shared" si="51"/>
        <v>749</v>
      </c>
      <c r="AD159" s="970"/>
      <c r="AE159" s="970">
        <f t="shared" si="48"/>
        <v>0</v>
      </c>
      <c r="AF159" s="971">
        <f t="shared" si="63"/>
        <v>44940</v>
      </c>
      <c r="AG159" s="857">
        <f t="shared" si="64"/>
        <v>0</v>
      </c>
      <c r="AH159" s="576">
        <v>149</v>
      </c>
      <c r="AI159" s="856">
        <f t="shared" si="66"/>
        <v>0.15971694603066822</v>
      </c>
      <c r="AJ159" s="859">
        <v>3</v>
      </c>
      <c r="AK159" s="583">
        <v>0</v>
      </c>
      <c r="AL159" s="971">
        <f t="shared" si="65"/>
        <v>1800</v>
      </c>
      <c r="AM159" s="971">
        <f t="shared" si="52"/>
        <v>43140</v>
      </c>
      <c r="AN159" s="858">
        <f t="shared" si="53"/>
        <v>-4.0053404539385884E-2</v>
      </c>
      <c r="AO159" s="857">
        <f t="shared" si="54"/>
        <v>2.1700201207243461</v>
      </c>
      <c r="AP159" s="973">
        <f t="shared" si="55"/>
        <v>0</v>
      </c>
      <c r="AQ159" s="855">
        <f t="shared" si="56"/>
        <v>0</v>
      </c>
      <c r="AR159" s="974">
        <f t="shared" si="68"/>
        <v>0.17974364830036116</v>
      </c>
      <c r="AS159" s="975"/>
      <c r="AT159" s="976" t="e">
        <v>#N/A</v>
      </c>
      <c r="AU159" s="971" t="e">
        <f>P159-#REF!</f>
        <v>#REF!</v>
      </c>
      <c r="AV159" s="976"/>
      <c r="AW159" s="970">
        <f t="shared" si="73"/>
        <v>749</v>
      </c>
      <c r="AX159" s="971">
        <f t="shared" si="74"/>
        <v>0</v>
      </c>
      <c r="AY159" s="971">
        <f t="shared" si="75"/>
        <v>44940</v>
      </c>
      <c r="AZ159" s="977"/>
      <c r="BA159" s="972">
        <v>6</v>
      </c>
      <c r="BB159" s="971">
        <f t="shared" si="76"/>
        <v>2247</v>
      </c>
      <c r="BC159" s="973">
        <f t="shared" si="77"/>
        <v>42693</v>
      </c>
      <c r="BD159" s="973">
        <f t="shared" si="78"/>
        <v>-447</v>
      </c>
      <c r="BE159" s="855">
        <f t="shared" si="79"/>
        <v>-1.0361613351877574E-2</v>
      </c>
      <c r="BF159" s="975">
        <f t="shared" si="80"/>
        <v>0.17456284162442237</v>
      </c>
      <c r="BG159" s="975"/>
      <c r="BH159" s="971"/>
      <c r="BI159" s="970">
        <f t="shared" si="81"/>
        <v>749</v>
      </c>
      <c r="BJ159" s="971">
        <f t="shared" si="82"/>
        <v>0</v>
      </c>
      <c r="BK159" s="971">
        <f t="shared" si="83"/>
        <v>44940</v>
      </c>
      <c r="BL159" s="977"/>
      <c r="BM159" s="972">
        <v>6</v>
      </c>
      <c r="BN159" s="971">
        <f t="shared" si="84"/>
        <v>2247</v>
      </c>
      <c r="BO159" s="973">
        <f t="shared" ref="BO159:BO160" si="90">BK159-BN159</f>
        <v>42693</v>
      </c>
      <c r="BP159" s="973">
        <f t="shared" si="86"/>
        <v>0</v>
      </c>
      <c r="BQ159" s="855">
        <f t="shared" si="87"/>
        <v>0</v>
      </c>
      <c r="BR159" s="975">
        <f t="shared" si="88"/>
        <v>-1.0361613351877574E-2</v>
      </c>
      <c r="BS159" s="975"/>
      <c r="BT159" s="978"/>
      <c r="BU159" s="978"/>
      <c r="BV159" s="978">
        <v>0.18034875742982576</v>
      </c>
      <c r="BW159" s="978">
        <f t="shared" si="57"/>
        <v>0.17974364830036116</v>
      </c>
    </row>
    <row r="160" spans="1:75" hidden="1">
      <c r="A160" s="980">
        <v>2606</v>
      </c>
      <c r="B160" s="979" t="s">
        <v>285</v>
      </c>
      <c r="C160" s="980" t="s">
        <v>829</v>
      </c>
      <c r="D160" s="985" t="s">
        <v>72</v>
      </c>
      <c r="E160" s="955" t="s">
        <v>72</v>
      </c>
      <c r="F160" s="955"/>
      <c r="G160" s="955" t="str">
        <f>IFERROR(VLOOKUP(D160,[3]전용!E:J,6,0),"")</f>
        <v/>
      </c>
      <c r="H160" s="854">
        <v>19880</v>
      </c>
      <c r="I160" s="955">
        <v>5</v>
      </c>
      <c r="J160" s="955" t="s">
        <v>288</v>
      </c>
      <c r="K160" s="955">
        <v>12</v>
      </c>
      <c r="L160" s="970">
        <v>799</v>
      </c>
      <c r="M160" s="971">
        <f t="shared" si="49"/>
        <v>47940</v>
      </c>
      <c r="N160" s="855">
        <v>0.36923540291786394</v>
      </c>
      <c r="O160" s="855"/>
      <c r="P160" s="970">
        <v>699</v>
      </c>
      <c r="Q160" s="970">
        <f t="shared" si="50"/>
        <v>100</v>
      </c>
      <c r="R160" s="971">
        <f>P160*LEFT(I160,1)*12</f>
        <v>41940</v>
      </c>
      <c r="S160" s="856">
        <f t="shared" si="58"/>
        <v>0.19941460681252138</v>
      </c>
      <c r="T160" s="976">
        <v>149</v>
      </c>
      <c r="U160" s="976">
        <v>3</v>
      </c>
      <c r="V160" s="583">
        <v>0</v>
      </c>
      <c r="W160" s="971">
        <f t="shared" si="59"/>
        <v>1650</v>
      </c>
      <c r="X160" s="971">
        <f t="shared" si="60"/>
        <v>40290</v>
      </c>
      <c r="Y160" s="858">
        <f t="shared" si="61"/>
        <v>-3.9341917024320439E-2</v>
      </c>
      <c r="Z160" s="857">
        <f t="shared" si="62"/>
        <v>2.0266599597585513</v>
      </c>
      <c r="AA160" s="856">
        <v>0.17974364830036116</v>
      </c>
      <c r="AB160" s="856">
        <v>2.3814954063519949E-2</v>
      </c>
      <c r="AC160" s="970">
        <f t="shared" si="51"/>
        <v>699</v>
      </c>
      <c r="AD160" s="970"/>
      <c r="AE160" s="970">
        <f t="shared" si="48"/>
        <v>0</v>
      </c>
      <c r="AF160" s="971">
        <f t="shared" si="63"/>
        <v>41940</v>
      </c>
      <c r="AG160" s="857">
        <f t="shared" si="64"/>
        <v>0</v>
      </c>
      <c r="AH160" s="576">
        <v>149</v>
      </c>
      <c r="AI160" s="856">
        <f t="shared" si="66"/>
        <v>0.16007268978820094</v>
      </c>
      <c r="AJ160" s="859">
        <v>3</v>
      </c>
      <c r="AK160" s="583">
        <v>0</v>
      </c>
      <c r="AL160" s="971">
        <f t="shared" si="65"/>
        <v>1650</v>
      </c>
      <c r="AM160" s="971">
        <f t="shared" si="52"/>
        <v>40290</v>
      </c>
      <c r="AN160" s="858">
        <f t="shared" si="53"/>
        <v>-3.9341917024320439E-2</v>
      </c>
      <c r="AO160" s="857">
        <f t="shared" si="54"/>
        <v>2.0266599597585513</v>
      </c>
      <c r="AP160" s="973">
        <f t="shared" si="55"/>
        <v>0</v>
      </c>
      <c r="AQ160" s="855">
        <f t="shared" si="56"/>
        <v>0</v>
      </c>
      <c r="AR160" s="974">
        <f t="shared" si="68"/>
        <v>0.17974364830036116</v>
      </c>
      <c r="AS160" s="975"/>
      <c r="AT160" s="976" t="e">
        <v>#N/A</v>
      </c>
      <c r="AU160" s="971" t="e">
        <f>P160-#REF!</f>
        <v>#REF!</v>
      </c>
      <c r="AV160" s="976"/>
      <c r="AW160" s="970">
        <f t="shared" si="73"/>
        <v>699</v>
      </c>
      <c r="AX160" s="971">
        <f t="shared" si="74"/>
        <v>0</v>
      </c>
      <c r="AY160" s="971">
        <f t="shared" si="75"/>
        <v>41940</v>
      </c>
      <c r="AZ160" s="977"/>
      <c r="BA160" s="972">
        <v>6</v>
      </c>
      <c r="BB160" s="971">
        <f t="shared" si="76"/>
        <v>2097</v>
      </c>
      <c r="BC160" s="973">
        <f t="shared" si="77"/>
        <v>39843</v>
      </c>
      <c r="BD160" s="973">
        <f t="shared" si="78"/>
        <v>-447</v>
      </c>
      <c r="BE160" s="855">
        <f t="shared" si="79"/>
        <v>-1.1094564408041685E-2</v>
      </c>
      <c r="BF160" s="975">
        <f t="shared" si="80"/>
        <v>0.17419636609634032</v>
      </c>
      <c r="BG160" s="975"/>
      <c r="BH160" s="971"/>
      <c r="BI160" s="970">
        <f t="shared" si="81"/>
        <v>699</v>
      </c>
      <c r="BJ160" s="971">
        <f t="shared" si="82"/>
        <v>0</v>
      </c>
      <c r="BK160" s="971">
        <f t="shared" si="83"/>
        <v>41940</v>
      </c>
      <c r="BL160" s="977"/>
      <c r="BM160" s="972">
        <v>6</v>
      </c>
      <c r="BN160" s="971">
        <f t="shared" si="84"/>
        <v>2097</v>
      </c>
      <c r="BO160" s="973">
        <f t="shared" si="90"/>
        <v>39843</v>
      </c>
      <c r="BP160" s="973">
        <f t="shared" si="86"/>
        <v>0</v>
      </c>
      <c r="BQ160" s="855">
        <f t="shared" si="87"/>
        <v>0</v>
      </c>
      <c r="BR160" s="975">
        <f t="shared" si="88"/>
        <v>-1.1094564408041685E-2</v>
      </c>
      <c r="BS160" s="975"/>
      <c r="BT160" s="978"/>
      <c r="BU160" s="978"/>
      <c r="BV160" s="978">
        <v>0.18034875742982576</v>
      </c>
      <c r="BW160" s="978">
        <f t="shared" si="57"/>
        <v>0.17974364830036116</v>
      </c>
    </row>
    <row r="161" spans="1:75" hidden="1">
      <c r="A161" s="969">
        <v>2606</v>
      </c>
      <c r="B161" s="968" t="s">
        <v>285</v>
      </c>
      <c r="C161" s="969" t="s">
        <v>829</v>
      </c>
      <c r="D161" s="984" t="s">
        <v>73</v>
      </c>
      <c r="E161" s="955" t="s">
        <v>73</v>
      </c>
      <c r="F161" s="955"/>
      <c r="G161" s="955" t="str">
        <f>IFERROR(VLOOKUP(D161,[3]전용!E:J,6,0),"")</f>
        <v/>
      </c>
      <c r="H161" s="854">
        <v>32110</v>
      </c>
      <c r="I161" s="955">
        <v>5</v>
      </c>
      <c r="J161" s="955" t="s">
        <v>286</v>
      </c>
      <c r="K161" s="955">
        <v>6</v>
      </c>
      <c r="L161" s="970">
        <v>1349</v>
      </c>
      <c r="M161" s="971">
        <f t="shared" si="49"/>
        <v>80940</v>
      </c>
      <c r="N161" s="855">
        <v>0.31016121238676014</v>
      </c>
      <c r="O161" s="855"/>
      <c r="P161" s="970">
        <v>1199</v>
      </c>
      <c r="Q161" s="970">
        <f t="shared" si="50"/>
        <v>150</v>
      </c>
      <c r="R161" s="576">
        <f>(P161*((I161*12)-U161))</f>
        <v>68343</v>
      </c>
      <c r="S161" s="856">
        <f t="shared" si="58"/>
        <v>0.23294646297902871</v>
      </c>
      <c r="T161" s="580">
        <v>149</v>
      </c>
      <c r="U161" s="583">
        <v>3</v>
      </c>
      <c r="V161" s="583">
        <v>0</v>
      </c>
      <c r="W161" s="971">
        <f t="shared" si="59"/>
        <v>3150</v>
      </c>
      <c r="X161" s="971">
        <f t="shared" si="60"/>
        <v>65193</v>
      </c>
      <c r="Y161" s="858">
        <f t="shared" si="61"/>
        <v>-4.6091040779597026E-2</v>
      </c>
      <c r="Z161" s="857">
        <f t="shared" si="62"/>
        <v>2.0303020865773904</v>
      </c>
      <c r="AA161" s="856">
        <v>0.2099009425892302</v>
      </c>
      <c r="AB161" s="856">
        <v>2.7354894302206265E-2</v>
      </c>
      <c r="AC161" s="970">
        <f t="shared" si="51"/>
        <v>1199</v>
      </c>
      <c r="AD161" s="970"/>
      <c r="AE161" s="970">
        <f t="shared" si="48"/>
        <v>0</v>
      </c>
      <c r="AF161" s="971">
        <f t="shared" si="63"/>
        <v>71940</v>
      </c>
      <c r="AG161" s="857">
        <f t="shared" si="64"/>
        <v>5.2631578947368363E-2</v>
      </c>
      <c r="AH161" s="576">
        <v>149</v>
      </c>
      <c r="AI161" s="856">
        <f t="shared" si="66"/>
        <v>0.21559501587572527</v>
      </c>
      <c r="AJ161" s="859">
        <v>3</v>
      </c>
      <c r="AK161" s="583">
        <v>0</v>
      </c>
      <c r="AL161" s="971">
        <f t="shared" si="65"/>
        <v>3150</v>
      </c>
      <c r="AM161" s="971">
        <f t="shared" si="52"/>
        <v>68790</v>
      </c>
      <c r="AN161" s="858">
        <f t="shared" si="53"/>
        <v>-4.3786488740617191E-2</v>
      </c>
      <c r="AO161" s="857">
        <f t="shared" si="54"/>
        <v>2.1423232637807534</v>
      </c>
      <c r="AP161" s="973">
        <f t="shared" si="55"/>
        <v>3597</v>
      </c>
      <c r="AQ161" s="855">
        <f t="shared" si="56"/>
        <v>5.5174635313607334E-2</v>
      </c>
      <c r="AR161" s="974">
        <f t="shared" si="68"/>
        <v>0.23748826024603387</v>
      </c>
      <c r="AS161" s="975"/>
      <c r="AT161" s="976" t="e">
        <v>#N/A</v>
      </c>
      <c r="AU161" s="971" t="e">
        <f>P161-#REF!</f>
        <v>#REF!</v>
      </c>
      <c r="AV161" s="976"/>
      <c r="AW161" s="970">
        <f t="shared" si="73"/>
        <v>1199</v>
      </c>
      <c r="AX161" s="971">
        <f t="shared" si="74"/>
        <v>0</v>
      </c>
      <c r="AY161" s="576">
        <f>(AW161*((I$161*12)-BA161))</f>
        <v>64746</v>
      </c>
      <c r="AZ161" s="580">
        <v>149</v>
      </c>
      <c r="BA161" s="583">
        <v>6</v>
      </c>
      <c r="BB161" s="576">
        <f t="shared" ref="BB161:BB162" si="91">AZ161*BA161</f>
        <v>894</v>
      </c>
      <c r="BC161" s="709">
        <f t="shared" ref="BC161:BC162" si="92">AY161+BB161</f>
        <v>65640</v>
      </c>
      <c r="BD161" s="973">
        <f t="shared" si="78"/>
        <v>-3150</v>
      </c>
      <c r="BE161" s="855">
        <f t="shared" si="79"/>
        <v>-4.5791539467945896E-2</v>
      </c>
      <c r="BF161" s="975">
        <f t="shared" si="80"/>
        <v>0.21459249051206092</v>
      </c>
      <c r="BG161" s="975"/>
      <c r="BH161" s="971">
        <f t="shared" ref="BH161:BH162" si="93">AX161</f>
        <v>0</v>
      </c>
      <c r="BI161" s="970">
        <f t="shared" si="81"/>
        <v>1199</v>
      </c>
      <c r="BJ161" s="971">
        <f t="shared" si="82"/>
        <v>0</v>
      </c>
      <c r="BK161" s="576">
        <f>(BI161*((I$161*12)-BM161))</f>
        <v>64746</v>
      </c>
      <c r="BL161" s="580">
        <v>149</v>
      </c>
      <c r="BM161" s="583">
        <v>6</v>
      </c>
      <c r="BN161" s="576">
        <f t="shared" ref="BN161:BN162" si="94">BL161*BM161</f>
        <v>894</v>
      </c>
      <c r="BO161" s="709">
        <f t="shared" ref="BO161:BO162" si="95">BK161+BN161</f>
        <v>65640</v>
      </c>
      <c r="BP161" s="973">
        <f t="shared" si="86"/>
        <v>0</v>
      </c>
      <c r="BQ161" s="855">
        <f t="shared" si="87"/>
        <v>0</v>
      </c>
      <c r="BR161" s="975">
        <f t="shared" si="88"/>
        <v>-4.5791539467945896E-2</v>
      </c>
      <c r="BS161" s="975"/>
      <c r="BT161" s="978"/>
      <c r="BU161" s="978"/>
      <c r="BV161" s="978">
        <v>0.2034266125739061</v>
      </c>
      <c r="BW161" s="978">
        <f t="shared" si="57"/>
        <v>0.17190094258923019</v>
      </c>
    </row>
    <row r="162" spans="1:75" hidden="1">
      <c r="A162" s="969">
        <v>2606</v>
      </c>
      <c r="B162" s="968" t="s">
        <v>285</v>
      </c>
      <c r="C162" s="969" t="s">
        <v>829</v>
      </c>
      <c r="D162" s="984" t="s">
        <v>73</v>
      </c>
      <c r="E162" s="955" t="s">
        <v>73</v>
      </c>
      <c r="F162" s="955"/>
      <c r="G162" s="955" t="str">
        <f>IFERROR(VLOOKUP(D162,[3]전용!E:J,6,0),"")</f>
        <v/>
      </c>
      <c r="H162" s="854">
        <v>32110</v>
      </c>
      <c r="I162" s="955">
        <v>5</v>
      </c>
      <c r="J162" s="955" t="s">
        <v>286</v>
      </c>
      <c r="K162" s="955">
        <v>12</v>
      </c>
      <c r="L162" s="970">
        <v>1299</v>
      </c>
      <c r="M162" s="971">
        <f t="shared" si="49"/>
        <v>77940</v>
      </c>
      <c r="N162" s="855">
        <v>0.31095821855106093</v>
      </c>
      <c r="O162" s="855"/>
      <c r="P162" s="970">
        <v>1149</v>
      </c>
      <c r="Q162" s="970">
        <f t="shared" si="50"/>
        <v>150</v>
      </c>
      <c r="R162" s="576">
        <f>(P162*((I162*12)-U162))</f>
        <v>65493</v>
      </c>
      <c r="S162" s="856">
        <f t="shared" si="58"/>
        <v>0.23280415361941664</v>
      </c>
      <c r="T162" s="580">
        <v>149</v>
      </c>
      <c r="U162" s="583">
        <v>3</v>
      </c>
      <c r="V162" s="583">
        <v>0</v>
      </c>
      <c r="W162" s="971">
        <f t="shared" si="59"/>
        <v>3000</v>
      </c>
      <c r="X162" s="971">
        <f t="shared" si="60"/>
        <v>62493</v>
      </c>
      <c r="Y162" s="858">
        <f t="shared" si="61"/>
        <v>-4.5806422060372887E-2</v>
      </c>
      <c r="Z162" s="857">
        <f t="shared" si="62"/>
        <v>1.9462161320460916</v>
      </c>
      <c r="AA162" s="856">
        <v>0.2099009425892302</v>
      </c>
      <c r="AB162" s="856">
        <v>2.7354894302206265E-2</v>
      </c>
      <c r="AC162" s="970">
        <f t="shared" si="51"/>
        <v>1149</v>
      </c>
      <c r="AD162" s="970"/>
      <c r="AE162" s="970">
        <f t="shared" si="48"/>
        <v>0</v>
      </c>
      <c r="AF162" s="971">
        <f t="shared" si="63"/>
        <v>68940</v>
      </c>
      <c r="AG162" s="857">
        <f t="shared" si="64"/>
        <v>5.2631578947368363E-2</v>
      </c>
      <c r="AH162" s="576">
        <v>149</v>
      </c>
      <c r="AI162" s="856">
        <f t="shared" si="66"/>
        <v>0.2157219809685052</v>
      </c>
      <c r="AJ162" s="859">
        <v>3</v>
      </c>
      <c r="AK162" s="583">
        <v>0</v>
      </c>
      <c r="AL162" s="971">
        <f t="shared" si="65"/>
        <v>3000</v>
      </c>
      <c r="AM162" s="971">
        <f t="shared" si="52"/>
        <v>65940</v>
      </c>
      <c r="AN162" s="858">
        <f t="shared" si="53"/>
        <v>-4.3516100957354253E-2</v>
      </c>
      <c r="AO162" s="857">
        <f t="shared" si="54"/>
        <v>2.0535658673310495</v>
      </c>
      <c r="AP162" s="973">
        <f t="shared" si="55"/>
        <v>3447</v>
      </c>
      <c r="AQ162" s="855">
        <f t="shared" si="56"/>
        <v>5.5158177715904255E-2</v>
      </c>
      <c r="AR162" s="974">
        <f t="shared" si="68"/>
        <v>0.23748003144718233</v>
      </c>
      <c r="AS162" s="975"/>
      <c r="AT162" s="976" t="e">
        <v>#N/A</v>
      </c>
      <c r="AU162" s="971" t="e">
        <f>P162-#REF!</f>
        <v>#REF!</v>
      </c>
      <c r="AV162" s="976"/>
      <c r="AW162" s="970">
        <f t="shared" si="73"/>
        <v>1149</v>
      </c>
      <c r="AX162" s="971">
        <f t="shared" si="74"/>
        <v>0</v>
      </c>
      <c r="AY162" s="576">
        <f>(AW162*((I$161*12)-BA162))</f>
        <v>62046</v>
      </c>
      <c r="AZ162" s="580">
        <v>149</v>
      </c>
      <c r="BA162" s="583">
        <v>6</v>
      </c>
      <c r="BB162" s="576">
        <f t="shared" si="91"/>
        <v>894</v>
      </c>
      <c r="BC162" s="709">
        <f t="shared" si="92"/>
        <v>62940</v>
      </c>
      <c r="BD162" s="973">
        <f t="shared" si="78"/>
        <v>-3000</v>
      </c>
      <c r="BE162" s="855">
        <f t="shared" si="79"/>
        <v>-4.5495905368516887E-2</v>
      </c>
      <c r="BF162" s="975">
        <f t="shared" si="80"/>
        <v>0.21473207876292388</v>
      </c>
      <c r="BG162" s="975"/>
      <c r="BH162" s="971">
        <f t="shared" si="93"/>
        <v>0</v>
      </c>
      <c r="BI162" s="970">
        <f t="shared" si="81"/>
        <v>1149</v>
      </c>
      <c r="BJ162" s="971">
        <f t="shared" si="82"/>
        <v>0</v>
      </c>
      <c r="BK162" s="576">
        <f>(BI162*((I$161*12)-BM162))</f>
        <v>62046</v>
      </c>
      <c r="BL162" s="580">
        <v>149</v>
      </c>
      <c r="BM162" s="583">
        <v>6</v>
      </c>
      <c r="BN162" s="576">
        <f t="shared" si="94"/>
        <v>894</v>
      </c>
      <c r="BO162" s="709">
        <f t="shared" si="95"/>
        <v>62940</v>
      </c>
      <c r="BP162" s="973">
        <f t="shared" si="86"/>
        <v>0</v>
      </c>
      <c r="BQ162" s="855">
        <f t="shared" si="87"/>
        <v>0</v>
      </c>
      <c r="BR162" s="975">
        <f t="shared" si="88"/>
        <v>-4.5495905368516887E-2</v>
      </c>
      <c r="BS162" s="975"/>
      <c r="BT162" s="978"/>
      <c r="BU162" s="978"/>
      <c r="BV162" s="978">
        <v>0.2034266125739061</v>
      </c>
      <c r="BW162" s="978">
        <f t="shared" si="57"/>
        <v>0.17190094258923019</v>
      </c>
    </row>
    <row r="163" spans="1:75" hidden="1">
      <c r="A163" s="969">
        <v>2606</v>
      </c>
      <c r="B163" s="968" t="s">
        <v>285</v>
      </c>
      <c r="C163" s="969" t="s">
        <v>829</v>
      </c>
      <c r="D163" s="984" t="s">
        <v>73</v>
      </c>
      <c r="E163" s="955" t="s">
        <v>73</v>
      </c>
      <c r="F163" s="955"/>
      <c r="G163" s="955" t="str">
        <f>IFERROR(VLOOKUP(D163,[3]전용!E:J,6,0),"")</f>
        <v/>
      </c>
      <c r="H163" s="854">
        <v>32110</v>
      </c>
      <c r="I163" s="955">
        <v>5</v>
      </c>
      <c r="J163" s="955" t="s">
        <v>288</v>
      </c>
      <c r="K163" s="955">
        <v>6</v>
      </c>
      <c r="L163" s="970">
        <v>1299</v>
      </c>
      <c r="M163" s="971">
        <f t="shared" si="49"/>
        <v>77940</v>
      </c>
      <c r="N163" s="855">
        <v>0.31095821855106093</v>
      </c>
      <c r="O163" s="855"/>
      <c r="P163" s="970">
        <v>1149</v>
      </c>
      <c r="Q163" s="970">
        <f t="shared" si="50"/>
        <v>150</v>
      </c>
      <c r="R163" s="971">
        <f t="shared" ref="R163:R168" si="96">P163*LEFT(I163,1)*12</f>
        <v>68940</v>
      </c>
      <c r="S163" s="856">
        <f t="shared" si="58"/>
        <v>0.23165899306790733</v>
      </c>
      <c r="T163" s="976">
        <v>149</v>
      </c>
      <c r="U163" s="976">
        <v>3</v>
      </c>
      <c r="V163" s="583">
        <v>0</v>
      </c>
      <c r="W163" s="971">
        <f t="shared" si="59"/>
        <v>3000</v>
      </c>
      <c r="X163" s="971">
        <f t="shared" si="60"/>
        <v>65940</v>
      </c>
      <c r="Y163" s="858">
        <f t="shared" si="61"/>
        <v>-4.3516100957354253E-2</v>
      </c>
      <c r="Z163" s="857">
        <f t="shared" si="62"/>
        <v>2.0535658673310495</v>
      </c>
      <c r="AA163" s="856">
        <v>0.2099009425892302</v>
      </c>
      <c r="AB163" s="856">
        <v>2.7354894302206265E-2</v>
      </c>
      <c r="AC163" s="970">
        <f t="shared" si="51"/>
        <v>1149</v>
      </c>
      <c r="AD163" s="970"/>
      <c r="AE163" s="970">
        <f t="shared" si="48"/>
        <v>0</v>
      </c>
      <c r="AF163" s="971">
        <f t="shared" si="63"/>
        <v>68940</v>
      </c>
      <c r="AG163" s="857">
        <f t="shared" si="64"/>
        <v>0</v>
      </c>
      <c r="AH163" s="576">
        <v>149</v>
      </c>
      <c r="AI163" s="856">
        <f t="shared" si="66"/>
        <v>0.18814289211055307</v>
      </c>
      <c r="AJ163" s="859">
        <v>3</v>
      </c>
      <c r="AK163" s="583">
        <v>0</v>
      </c>
      <c r="AL163" s="971">
        <f t="shared" si="65"/>
        <v>3000</v>
      </c>
      <c r="AM163" s="971">
        <f t="shared" si="52"/>
        <v>65940</v>
      </c>
      <c r="AN163" s="858">
        <f t="shared" si="53"/>
        <v>-4.3516100957354253E-2</v>
      </c>
      <c r="AO163" s="857">
        <f t="shared" si="54"/>
        <v>2.0535658673310495</v>
      </c>
      <c r="AP163" s="973">
        <f t="shared" si="55"/>
        <v>0</v>
      </c>
      <c r="AQ163" s="855">
        <f t="shared" si="56"/>
        <v>0</v>
      </c>
      <c r="AR163" s="974">
        <f t="shared" si="68"/>
        <v>0.2099009425892302</v>
      </c>
      <c r="AS163" s="975"/>
      <c r="AT163" s="976" t="e">
        <v>#N/A</v>
      </c>
      <c r="AU163" s="971" t="e">
        <f>P163-#REF!</f>
        <v>#REF!</v>
      </c>
      <c r="AV163" s="976"/>
      <c r="AW163" s="970">
        <f t="shared" si="73"/>
        <v>1149</v>
      </c>
      <c r="AX163" s="971">
        <f t="shared" si="74"/>
        <v>0</v>
      </c>
      <c r="AY163" s="971">
        <f t="shared" ref="AY163:AY172" si="97">AW163*LEFT(I163,1)*12</f>
        <v>68940</v>
      </c>
      <c r="AZ163" s="977"/>
      <c r="BA163" s="972">
        <v>6</v>
      </c>
      <c r="BB163" s="971">
        <f t="shared" si="76"/>
        <v>3447</v>
      </c>
      <c r="BC163" s="973">
        <f t="shared" si="77"/>
        <v>65493</v>
      </c>
      <c r="BD163" s="973">
        <f t="shared" si="78"/>
        <v>-447</v>
      </c>
      <c r="BE163" s="855">
        <f t="shared" si="79"/>
        <v>-6.7788898999090463E-3</v>
      </c>
      <c r="BF163" s="975">
        <f t="shared" si="80"/>
        <v>0.20651149763927568</v>
      </c>
      <c r="BG163" s="975"/>
      <c r="BH163" s="971"/>
      <c r="BI163" s="970">
        <f t="shared" si="81"/>
        <v>1149</v>
      </c>
      <c r="BJ163" s="971">
        <f t="shared" si="82"/>
        <v>0</v>
      </c>
      <c r="BK163" s="971">
        <f t="shared" ref="BK163:BK172" si="98">BI163*LEFT(I163,1)*12</f>
        <v>68940</v>
      </c>
      <c r="BL163" s="977"/>
      <c r="BM163" s="972">
        <v>6</v>
      </c>
      <c r="BN163" s="971">
        <f t="shared" si="84"/>
        <v>3447</v>
      </c>
      <c r="BO163" s="973">
        <f t="shared" ref="BO163:BO168" si="99">BK163-BN163</f>
        <v>65493</v>
      </c>
      <c r="BP163" s="973">
        <f t="shared" si="86"/>
        <v>0</v>
      </c>
      <c r="BQ163" s="855">
        <f t="shared" si="87"/>
        <v>0</v>
      </c>
      <c r="BR163" s="975">
        <f t="shared" si="88"/>
        <v>-6.7788898999090463E-3</v>
      </c>
      <c r="BS163" s="975"/>
      <c r="BT163" s="978"/>
      <c r="BU163" s="978"/>
      <c r="BV163" s="978">
        <v>0.2034266125739061</v>
      </c>
      <c r="BW163" s="978">
        <f t="shared" si="57"/>
        <v>0.17190094258923019</v>
      </c>
    </row>
    <row r="164" spans="1:75" hidden="1">
      <c r="A164" s="980">
        <v>2606</v>
      </c>
      <c r="B164" s="979" t="s">
        <v>285</v>
      </c>
      <c r="C164" s="980" t="s">
        <v>829</v>
      </c>
      <c r="D164" s="985" t="s">
        <v>73</v>
      </c>
      <c r="E164" s="955" t="s">
        <v>73</v>
      </c>
      <c r="F164" s="955"/>
      <c r="G164" s="955" t="str">
        <f>IFERROR(VLOOKUP(D164,[3]전용!E:J,6,0),"")</f>
        <v/>
      </c>
      <c r="H164" s="854">
        <v>32110</v>
      </c>
      <c r="I164" s="955">
        <v>5</v>
      </c>
      <c r="J164" s="955" t="s">
        <v>288</v>
      </c>
      <c r="K164" s="955">
        <v>12</v>
      </c>
      <c r="L164" s="970">
        <v>1249</v>
      </c>
      <c r="M164" s="971">
        <f t="shared" si="49"/>
        <v>74940</v>
      </c>
      <c r="N164" s="855">
        <v>0.31182169728953185</v>
      </c>
      <c r="O164" s="855"/>
      <c r="P164" s="970">
        <v>1099</v>
      </c>
      <c r="Q164" s="970">
        <f t="shared" si="50"/>
        <v>150</v>
      </c>
      <c r="R164" s="971">
        <f t="shared" si="96"/>
        <v>65940</v>
      </c>
      <c r="S164" s="856">
        <f t="shared" si="58"/>
        <v>0.2315114976392757</v>
      </c>
      <c r="T164" s="976">
        <v>149</v>
      </c>
      <c r="U164" s="976">
        <v>3</v>
      </c>
      <c r="V164" s="583">
        <v>0</v>
      </c>
      <c r="W164" s="971">
        <f t="shared" si="59"/>
        <v>2850</v>
      </c>
      <c r="X164" s="971">
        <f t="shared" si="60"/>
        <v>63090</v>
      </c>
      <c r="Y164" s="858">
        <f t="shared" si="61"/>
        <v>-4.3221110100090998E-2</v>
      </c>
      <c r="Z164" s="857">
        <f t="shared" si="62"/>
        <v>1.9648084708813454</v>
      </c>
      <c r="AA164" s="856">
        <v>0.2099009425892302</v>
      </c>
      <c r="AB164" s="856">
        <v>2.7354894302206265E-2</v>
      </c>
      <c r="AC164" s="970">
        <f t="shared" si="51"/>
        <v>1099</v>
      </c>
      <c r="AD164" s="970"/>
      <c r="AE164" s="970">
        <f t="shared" si="48"/>
        <v>0</v>
      </c>
      <c r="AF164" s="971">
        <f t="shared" si="63"/>
        <v>65940</v>
      </c>
      <c r="AG164" s="857">
        <f t="shared" si="64"/>
        <v>0</v>
      </c>
      <c r="AH164" s="576">
        <v>149</v>
      </c>
      <c r="AI164" s="856">
        <f t="shared" si="66"/>
        <v>0.1882903875391847</v>
      </c>
      <c r="AJ164" s="859">
        <v>3</v>
      </c>
      <c r="AK164" s="583">
        <v>0</v>
      </c>
      <c r="AL164" s="971">
        <f t="shared" si="65"/>
        <v>2850</v>
      </c>
      <c r="AM164" s="971">
        <f t="shared" si="52"/>
        <v>63090</v>
      </c>
      <c r="AN164" s="858">
        <f t="shared" si="53"/>
        <v>-4.3221110100090998E-2</v>
      </c>
      <c r="AO164" s="857">
        <f t="shared" si="54"/>
        <v>1.9648084708813454</v>
      </c>
      <c r="AP164" s="973">
        <f t="shared" si="55"/>
        <v>0</v>
      </c>
      <c r="AQ164" s="855">
        <f t="shared" si="56"/>
        <v>0</v>
      </c>
      <c r="AR164" s="974">
        <f t="shared" si="68"/>
        <v>0.2099009425892302</v>
      </c>
      <c r="AS164" s="975"/>
      <c r="AT164" s="976" t="e">
        <v>#N/A</v>
      </c>
      <c r="AU164" s="971" t="e">
        <f>P164-#REF!</f>
        <v>#REF!</v>
      </c>
      <c r="AV164" s="976"/>
      <c r="AW164" s="970">
        <f t="shared" si="73"/>
        <v>1099</v>
      </c>
      <c r="AX164" s="971">
        <f t="shared" si="74"/>
        <v>0</v>
      </c>
      <c r="AY164" s="971">
        <f t="shared" si="97"/>
        <v>65940</v>
      </c>
      <c r="AZ164" s="977"/>
      <c r="BA164" s="972">
        <v>6</v>
      </c>
      <c r="BB164" s="971">
        <f t="shared" si="76"/>
        <v>3297</v>
      </c>
      <c r="BC164" s="973">
        <f t="shared" si="77"/>
        <v>62643</v>
      </c>
      <c r="BD164" s="973">
        <f t="shared" si="78"/>
        <v>-447</v>
      </c>
      <c r="BE164" s="855">
        <f t="shared" si="79"/>
        <v>-7.085116500237798E-3</v>
      </c>
      <c r="BF164" s="975">
        <f t="shared" si="80"/>
        <v>0.2063583843391113</v>
      </c>
      <c r="BG164" s="975"/>
      <c r="BH164" s="971"/>
      <c r="BI164" s="970">
        <f t="shared" si="81"/>
        <v>1099</v>
      </c>
      <c r="BJ164" s="971">
        <f t="shared" si="82"/>
        <v>0</v>
      </c>
      <c r="BK164" s="971">
        <f t="shared" si="98"/>
        <v>65940</v>
      </c>
      <c r="BL164" s="977"/>
      <c r="BM164" s="972">
        <v>6</v>
      </c>
      <c r="BN164" s="971">
        <f t="shared" si="84"/>
        <v>3297</v>
      </c>
      <c r="BO164" s="973">
        <f t="shared" si="99"/>
        <v>62643</v>
      </c>
      <c r="BP164" s="973">
        <f t="shared" si="86"/>
        <v>0</v>
      </c>
      <c r="BQ164" s="855">
        <f t="shared" si="87"/>
        <v>0</v>
      </c>
      <c r="BR164" s="975">
        <f t="shared" si="88"/>
        <v>-7.085116500237798E-3</v>
      </c>
      <c r="BS164" s="975"/>
      <c r="BT164" s="978"/>
      <c r="BU164" s="978"/>
      <c r="BV164" s="978">
        <v>0.2034266125739061</v>
      </c>
      <c r="BW164" s="978">
        <f t="shared" si="57"/>
        <v>0.17190094258923019</v>
      </c>
    </row>
    <row r="165" spans="1:75" hidden="1">
      <c r="A165" s="969">
        <v>2606</v>
      </c>
      <c r="B165" s="968" t="s">
        <v>285</v>
      </c>
      <c r="C165" s="969" t="s">
        <v>829</v>
      </c>
      <c r="D165" s="984" t="s">
        <v>337</v>
      </c>
      <c r="E165" s="955" t="s">
        <v>337</v>
      </c>
      <c r="F165" s="955"/>
      <c r="G165" s="955" t="str">
        <f>IFERROR(VLOOKUP(D165,[3]전용!E:J,6,0),"")</f>
        <v/>
      </c>
      <c r="H165" s="854">
        <v>15440</v>
      </c>
      <c r="I165" s="955">
        <v>5</v>
      </c>
      <c r="J165" s="955" t="s">
        <v>286</v>
      </c>
      <c r="K165" s="955">
        <v>12</v>
      </c>
      <c r="L165" s="970">
        <v>599</v>
      </c>
      <c r="M165" s="971">
        <f t="shared" si="49"/>
        <v>35940</v>
      </c>
      <c r="N165" s="855" t="e">
        <f>_xlfn.XLOOKUP(D165,#REF!,#REF!)</f>
        <v>#REF!</v>
      </c>
      <c r="O165" s="855"/>
      <c r="P165" s="970">
        <v>599</v>
      </c>
      <c r="Q165" s="970">
        <f t="shared" si="50"/>
        <v>0</v>
      </c>
      <c r="R165" s="971">
        <f t="shared" si="96"/>
        <v>35940</v>
      </c>
      <c r="S165" s="856">
        <f t="shared" si="58"/>
        <v>0.15949198135137646</v>
      </c>
      <c r="T165" s="971"/>
      <c r="U165" s="971"/>
      <c r="V165" s="972">
        <v>6</v>
      </c>
      <c r="W165" s="971">
        <f t="shared" si="59"/>
        <v>1797</v>
      </c>
      <c r="X165" s="971">
        <f t="shared" si="60"/>
        <v>34143</v>
      </c>
      <c r="Y165" s="858">
        <f t="shared" si="61"/>
        <v>-5.0000000000000044E-2</v>
      </c>
      <c r="Z165" s="857">
        <f t="shared" si="62"/>
        <v>2.2113341968911917</v>
      </c>
      <c r="AA165" s="856">
        <v>0.13449198135137644</v>
      </c>
      <c r="AB165" s="856">
        <v>3.1367308253935538E-3</v>
      </c>
      <c r="AC165" s="970">
        <f t="shared" si="51"/>
        <v>599</v>
      </c>
      <c r="AD165" s="970"/>
      <c r="AE165" s="970">
        <f t="shared" si="48"/>
        <v>0</v>
      </c>
      <c r="AF165" s="971">
        <f t="shared" si="63"/>
        <v>35940</v>
      </c>
      <c r="AG165" s="857">
        <f t="shared" si="64"/>
        <v>0</v>
      </c>
      <c r="AH165" s="576">
        <v>0</v>
      </c>
      <c r="AI165" s="856">
        <f t="shared" si="66"/>
        <v>0.10949198135137642</v>
      </c>
      <c r="AJ165" s="859">
        <v>0</v>
      </c>
      <c r="AK165" s="583">
        <v>6</v>
      </c>
      <c r="AL165" s="971">
        <f t="shared" si="65"/>
        <v>1797</v>
      </c>
      <c r="AM165" s="971">
        <f t="shared" si="52"/>
        <v>34143</v>
      </c>
      <c r="AN165" s="858">
        <f t="shared" si="53"/>
        <v>-5.0000000000000044E-2</v>
      </c>
      <c r="AO165" s="857">
        <f t="shared" si="54"/>
        <v>2.2113341968911917</v>
      </c>
      <c r="AP165" s="973">
        <f t="shared" si="55"/>
        <v>0</v>
      </c>
      <c r="AQ165" s="855">
        <f t="shared" si="56"/>
        <v>0</v>
      </c>
      <c r="AR165" s="974">
        <f t="shared" si="68"/>
        <v>0.13449198135137644</v>
      </c>
      <c r="AS165" s="975"/>
      <c r="AT165" s="976"/>
      <c r="AU165" s="971" t="e">
        <f>P165-#REF!</f>
        <v>#REF!</v>
      </c>
      <c r="AV165" s="976"/>
      <c r="AW165" s="970">
        <f t="shared" si="73"/>
        <v>599</v>
      </c>
      <c r="AX165" s="971">
        <f t="shared" si="74"/>
        <v>0</v>
      </c>
      <c r="AY165" s="971">
        <f t="shared" si="97"/>
        <v>35940</v>
      </c>
      <c r="AZ165" s="977"/>
      <c r="BA165" s="972">
        <v>6</v>
      </c>
      <c r="BB165" s="971">
        <f t="shared" si="76"/>
        <v>1797</v>
      </c>
      <c r="BC165" s="973">
        <f t="shared" si="77"/>
        <v>34143</v>
      </c>
      <c r="BD165" s="973">
        <f t="shared" si="78"/>
        <v>0</v>
      </c>
      <c r="BE165" s="855">
        <f t="shared" si="79"/>
        <v>0</v>
      </c>
      <c r="BF165" s="975">
        <f t="shared" si="80"/>
        <v>0.13449198135137644</v>
      </c>
      <c r="BG165" s="975"/>
      <c r="BH165" s="971">
        <f t="shared" ref="BH165:BH168" si="100">AX165*1.1</f>
        <v>0</v>
      </c>
      <c r="BI165" s="970">
        <f t="shared" si="81"/>
        <v>599</v>
      </c>
      <c r="BJ165" s="971">
        <f t="shared" si="82"/>
        <v>0</v>
      </c>
      <c r="BK165" s="971">
        <f t="shared" si="98"/>
        <v>35940</v>
      </c>
      <c r="BL165" s="977"/>
      <c r="BM165" s="972">
        <v>6</v>
      </c>
      <c r="BN165" s="971">
        <f t="shared" si="84"/>
        <v>1797</v>
      </c>
      <c r="BO165" s="973">
        <f t="shared" si="99"/>
        <v>34143</v>
      </c>
      <c r="BP165" s="973">
        <f t="shared" si="86"/>
        <v>0</v>
      </c>
      <c r="BQ165" s="855">
        <f t="shared" si="87"/>
        <v>0</v>
      </c>
      <c r="BR165" s="975">
        <f t="shared" si="88"/>
        <v>0</v>
      </c>
      <c r="BS165" s="975"/>
      <c r="BT165" s="978"/>
      <c r="BU165" s="978"/>
      <c r="BV165" s="978">
        <v>0.13449198135137644</v>
      </c>
      <c r="BW165" s="978">
        <f t="shared" si="57"/>
        <v>0.13449198135137644</v>
      </c>
    </row>
    <row r="166" spans="1:75" hidden="1">
      <c r="A166" s="969">
        <v>2606</v>
      </c>
      <c r="B166" s="968" t="s">
        <v>285</v>
      </c>
      <c r="C166" s="969" t="s">
        <v>829</v>
      </c>
      <c r="D166" s="984" t="s">
        <v>337</v>
      </c>
      <c r="E166" s="955" t="s">
        <v>337</v>
      </c>
      <c r="F166" s="955"/>
      <c r="G166" s="955" t="str">
        <f>IFERROR(VLOOKUP(D166,[3]전용!E:J,6,0),"")</f>
        <v/>
      </c>
      <c r="H166" s="854">
        <v>15440</v>
      </c>
      <c r="I166" s="955">
        <v>5</v>
      </c>
      <c r="J166" s="955" t="s">
        <v>288</v>
      </c>
      <c r="K166" s="955">
        <v>12</v>
      </c>
      <c r="L166" s="970">
        <v>549</v>
      </c>
      <c r="M166" s="971">
        <f t="shared" si="49"/>
        <v>32940</v>
      </c>
      <c r="N166" s="855" t="e">
        <f>_xlfn.XLOOKUP(D166,#REF!,#REF!)</f>
        <v>#REF!</v>
      </c>
      <c r="O166" s="855"/>
      <c r="P166" s="970">
        <v>549</v>
      </c>
      <c r="Q166" s="970">
        <f t="shared" si="50"/>
        <v>0</v>
      </c>
      <c r="R166" s="971">
        <f t="shared" si="96"/>
        <v>32940</v>
      </c>
      <c r="S166" s="856">
        <f t="shared" si="58"/>
        <v>0.15949198135137646</v>
      </c>
      <c r="T166" s="971"/>
      <c r="U166" s="971"/>
      <c r="V166" s="972">
        <v>6</v>
      </c>
      <c r="W166" s="971">
        <f t="shared" si="59"/>
        <v>1647</v>
      </c>
      <c r="X166" s="971">
        <f t="shared" si="60"/>
        <v>31293</v>
      </c>
      <c r="Y166" s="858">
        <f t="shared" si="61"/>
        <v>-5.0000000000000044E-2</v>
      </c>
      <c r="Z166" s="857">
        <f t="shared" si="62"/>
        <v>2.0267487046632122</v>
      </c>
      <c r="AA166" s="856">
        <v>0.13449198135137644</v>
      </c>
      <c r="AB166" s="856">
        <v>3.1367308253935538E-3</v>
      </c>
      <c r="AC166" s="970">
        <f t="shared" si="51"/>
        <v>549</v>
      </c>
      <c r="AD166" s="970"/>
      <c r="AE166" s="970">
        <f t="shared" si="48"/>
        <v>0</v>
      </c>
      <c r="AF166" s="971">
        <f t="shared" si="63"/>
        <v>32940</v>
      </c>
      <c r="AG166" s="857">
        <f t="shared" si="64"/>
        <v>0</v>
      </c>
      <c r="AH166" s="576">
        <v>0</v>
      </c>
      <c r="AI166" s="856">
        <f t="shared" si="66"/>
        <v>0.10949198135137642</v>
      </c>
      <c r="AJ166" s="859">
        <v>0</v>
      </c>
      <c r="AK166" s="583">
        <v>6</v>
      </c>
      <c r="AL166" s="971">
        <f t="shared" si="65"/>
        <v>1647</v>
      </c>
      <c r="AM166" s="971">
        <f t="shared" si="52"/>
        <v>31293</v>
      </c>
      <c r="AN166" s="858">
        <f t="shared" si="53"/>
        <v>-5.0000000000000044E-2</v>
      </c>
      <c r="AO166" s="857">
        <f t="shared" si="54"/>
        <v>2.0267487046632122</v>
      </c>
      <c r="AP166" s="973">
        <f t="shared" si="55"/>
        <v>0</v>
      </c>
      <c r="AQ166" s="855">
        <f t="shared" si="56"/>
        <v>0</v>
      </c>
      <c r="AR166" s="974">
        <f t="shared" si="68"/>
        <v>0.13449198135137644</v>
      </c>
      <c r="AS166" s="975"/>
      <c r="AT166" s="976"/>
      <c r="AU166" s="971" t="e">
        <f>P166-#REF!</f>
        <v>#REF!</v>
      </c>
      <c r="AV166" s="976"/>
      <c r="AW166" s="970">
        <f t="shared" si="73"/>
        <v>549</v>
      </c>
      <c r="AX166" s="971">
        <f t="shared" si="74"/>
        <v>0</v>
      </c>
      <c r="AY166" s="971">
        <f t="shared" si="97"/>
        <v>32940</v>
      </c>
      <c r="AZ166" s="977"/>
      <c r="BA166" s="972">
        <v>6</v>
      </c>
      <c r="BB166" s="971">
        <f t="shared" si="76"/>
        <v>1647</v>
      </c>
      <c r="BC166" s="973">
        <f t="shared" si="77"/>
        <v>31293</v>
      </c>
      <c r="BD166" s="973">
        <f t="shared" si="78"/>
        <v>0</v>
      </c>
      <c r="BE166" s="855">
        <f t="shared" si="79"/>
        <v>0</v>
      </c>
      <c r="BF166" s="975">
        <f t="shared" si="80"/>
        <v>0.13449198135137644</v>
      </c>
      <c r="BG166" s="975"/>
      <c r="BH166" s="971">
        <f t="shared" si="100"/>
        <v>0</v>
      </c>
      <c r="BI166" s="970">
        <f t="shared" si="81"/>
        <v>549</v>
      </c>
      <c r="BJ166" s="971">
        <f t="shared" si="82"/>
        <v>0</v>
      </c>
      <c r="BK166" s="971">
        <f t="shared" si="98"/>
        <v>32940</v>
      </c>
      <c r="BL166" s="977"/>
      <c r="BM166" s="972">
        <v>6</v>
      </c>
      <c r="BN166" s="971">
        <f t="shared" si="84"/>
        <v>1647</v>
      </c>
      <c r="BO166" s="973">
        <f t="shared" si="99"/>
        <v>31293</v>
      </c>
      <c r="BP166" s="973">
        <f t="shared" si="86"/>
        <v>0</v>
      </c>
      <c r="BQ166" s="855">
        <f t="shared" si="87"/>
        <v>0</v>
      </c>
      <c r="BR166" s="975">
        <f t="shared" si="88"/>
        <v>0</v>
      </c>
      <c r="BS166" s="975"/>
      <c r="BT166" s="978"/>
      <c r="BU166" s="978"/>
      <c r="BV166" s="978">
        <v>0.13449198135137644</v>
      </c>
      <c r="BW166" s="978">
        <f t="shared" si="57"/>
        <v>0.13449198135137644</v>
      </c>
    </row>
    <row r="167" spans="1:75">
      <c r="A167" s="993">
        <v>2606</v>
      </c>
      <c r="B167" s="1048" t="s">
        <v>285</v>
      </c>
      <c r="C167" s="954" t="s">
        <v>833</v>
      </c>
      <c r="D167" s="1049" t="s">
        <v>173</v>
      </c>
      <c r="E167" s="995" t="s">
        <v>173</v>
      </c>
      <c r="F167" s="955"/>
      <c r="G167" s="955" t="str">
        <f>IFERROR(VLOOKUP(D167,[3]전용!E:J,6,0),"")</f>
        <v/>
      </c>
      <c r="H167" s="854">
        <v>4980</v>
      </c>
      <c r="I167" s="955">
        <v>5</v>
      </c>
      <c r="J167" s="955" t="s">
        <v>286</v>
      </c>
      <c r="K167" s="955">
        <v>6</v>
      </c>
      <c r="L167" s="970">
        <v>349</v>
      </c>
      <c r="M167" s="971">
        <f t="shared" si="49"/>
        <v>20940</v>
      </c>
      <c r="N167" s="855">
        <v>0.23697521988233267</v>
      </c>
      <c r="O167" s="855"/>
      <c r="P167" s="970">
        <v>299</v>
      </c>
      <c r="Q167" s="1033">
        <f>P167-L167</f>
        <v>-50</v>
      </c>
      <c r="R167" s="971">
        <f t="shared" si="96"/>
        <v>17940</v>
      </c>
      <c r="S167" s="856">
        <f t="shared" si="58"/>
        <v>8.5893731775881568E-2</v>
      </c>
      <c r="T167" s="971"/>
      <c r="U167" s="971"/>
      <c r="V167" s="972">
        <v>0</v>
      </c>
      <c r="W167" s="971">
        <f t="shared" si="59"/>
        <v>0</v>
      </c>
      <c r="X167" s="971">
        <f t="shared" si="60"/>
        <v>17940</v>
      </c>
      <c r="Y167" s="858">
        <f t="shared" si="61"/>
        <v>0</v>
      </c>
      <c r="Z167" s="857">
        <f t="shared" si="62"/>
        <v>3.6024096385542168</v>
      </c>
      <c r="AA167" s="856">
        <v>8.5893731775881568E-2</v>
      </c>
      <c r="AB167" s="856">
        <v>2.5592074305224803E-2</v>
      </c>
      <c r="AC167" s="1041">
        <f t="shared" si="51"/>
        <v>299</v>
      </c>
      <c r="AD167" s="970">
        <v>0</v>
      </c>
      <c r="AE167" s="970">
        <f t="shared" si="48"/>
        <v>11.96</v>
      </c>
      <c r="AF167" s="971">
        <f t="shared" si="63"/>
        <v>17940</v>
      </c>
      <c r="AG167" s="857">
        <f t="shared" si="64"/>
        <v>0</v>
      </c>
      <c r="AH167" s="576">
        <v>0</v>
      </c>
      <c r="AI167" s="856">
        <v>0.16800000000000001</v>
      </c>
      <c r="AJ167" s="859">
        <v>0</v>
      </c>
      <c r="AK167" s="583">
        <v>0</v>
      </c>
      <c r="AL167" s="971">
        <f t="shared" si="65"/>
        <v>0</v>
      </c>
      <c r="AM167" s="971">
        <f t="shared" si="52"/>
        <v>17940</v>
      </c>
      <c r="AN167" s="858">
        <f t="shared" si="53"/>
        <v>0</v>
      </c>
      <c r="AO167" s="857">
        <f t="shared" si="54"/>
        <v>3.6024096385542168</v>
      </c>
      <c r="AP167" s="973">
        <f t="shared" si="55"/>
        <v>0</v>
      </c>
      <c r="AQ167" s="855">
        <f t="shared" si="56"/>
        <v>0</v>
      </c>
      <c r="AR167" s="1042">
        <f>IFERROR(AA167-AG167*0.5,"")+5%</f>
        <v>0.13589373177588157</v>
      </c>
      <c r="AS167" s="975"/>
      <c r="AT167" s="976" t="e">
        <v>#N/A</v>
      </c>
      <c r="AU167" s="971" t="e">
        <f>P167-#REF!</f>
        <v>#REF!</v>
      </c>
      <c r="AV167" s="976"/>
      <c r="AW167" s="970">
        <f t="shared" si="73"/>
        <v>299</v>
      </c>
      <c r="AX167" s="971">
        <f t="shared" si="74"/>
        <v>0</v>
      </c>
      <c r="AY167" s="971">
        <f t="shared" si="97"/>
        <v>17940</v>
      </c>
      <c r="AZ167" s="977"/>
      <c r="BA167" s="972">
        <v>0</v>
      </c>
      <c r="BB167" s="971">
        <f t="shared" si="76"/>
        <v>0</v>
      </c>
      <c r="BC167" s="973">
        <f t="shared" si="77"/>
        <v>17940</v>
      </c>
      <c r="BD167" s="973">
        <f t="shared" si="78"/>
        <v>0</v>
      </c>
      <c r="BE167" s="855">
        <f t="shared" si="79"/>
        <v>0</v>
      </c>
      <c r="BF167" s="975">
        <f t="shared" si="80"/>
        <v>0.13589373177588157</v>
      </c>
      <c r="BG167" s="975"/>
      <c r="BH167" s="971">
        <f t="shared" si="100"/>
        <v>0</v>
      </c>
      <c r="BI167" s="970">
        <f t="shared" si="81"/>
        <v>299</v>
      </c>
      <c r="BJ167" s="971">
        <f t="shared" si="82"/>
        <v>0</v>
      </c>
      <c r="BK167" s="971">
        <f t="shared" si="98"/>
        <v>17940</v>
      </c>
      <c r="BL167" s="977"/>
      <c r="BM167" s="972">
        <v>0</v>
      </c>
      <c r="BN167" s="971">
        <f t="shared" si="84"/>
        <v>0</v>
      </c>
      <c r="BO167" s="973">
        <f t="shared" si="99"/>
        <v>17940</v>
      </c>
      <c r="BP167" s="973">
        <f t="shared" si="86"/>
        <v>0</v>
      </c>
      <c r="BQ167" s="855">
        <f t="shared" si="87"/>
        <v>0</v>
      </c>
      <c r="BR167" s="975">
        <f t="shared" si="88"/>
        <v>0</v>
      </c>
      <c r="BS167" s="975"/>
      <c r="BT167" s="978"/>
      <c r="BU167" s="978"/>
      <c r="BV167" s="978">
        <v>0.14000000000000001</v>
      </c>
      <c r="BW167" s="978">
        <f t="shared" si="57"/>
        <v>8.5893731775881568E-2</v>
      </c>
    </row>
    <row r="168" spans="1:75">
      <c r="A168" s="996">
        <v>2606</v>
      </c>
      <c r="B168" s="1050" t="s">
        <v>285</v>
      </c>
      <c r="C168" s="1051" t="s">
        <v>833</v>
      </c>
      <c r="D168" s="1052" t="s">
        <v>173</v>
      </c>
      <c r="E168" s="995" t="s">
        <v>173</v>
      </c>
      <c r="F168" s="955"/>
      <c r="G168" s="955" t="str">
        <f>IFERROR(VLOOKUP(D168,[3]전용!E:J,6,0),"")</f>
        <v/>
      </c>
      <c r="H168" s="854">
        <v>4980</v>
      </c>
      <c r="I168" s="955">
        <v>5</v>
      </c>
      <c r="J168" s="955" t="s">
        <v>288</v>
      </c>
      <c r="K168" s="955">
        <v>6</v>
      </c>
      <c r="L168" s="970">
        <v>299</v>
      </c>
      <c r="M168" s="971">
        <f t="shared" si="49"/>
        <v>17940</v>
      </c>
      <c r="N168" s="855">
        <v>0.23697521988233267</v>
      </c>
      <c r="O168" s="855"/>
      <c r="P168" s="970">
        <v>249</v>
      </c>
      <c r="Q168" s="1033">
        <f>P168-L168</f>
        <v>-50</v>
      </c>
      <c r="R168" s="971">
        <f t="shared" si="96"/>
        <v>14940</v>
      </c>
      <c r="S168" s="856">
        <f t="shared" si="58"/>
        <v>8.5893731775881568E-2</v>
      </c>
      <c r="T168" s="971"/>
      <c r="U168" s="971"/>
      <c r="V168" s="972">
        <v>0</v>
      </c>
      <c r="W168" s="971">
        <f t="shared" si="59"/>
        <v>0</v>
      </c>
      <c r="X168" s="971">
        <f t="shared" si="60"/>
        <v>14940</v>
      </c>
      <c r="Y168" s="858">
        <f t="shared" si="61"/>
        <v>0</v>
      </c>
      <c r="Z168" s="857">
        <f t="shared" si="62"/>
        <v>3</v>
      </c>
      <c r="AA168" s="856">
        <v>8.5893731775881568E-2</v>
      </c>
      <c r="AB168" s="856">
        <v>2.5592074305224803E-2</v>
      </c>
      <c r="AC168" s="1041">
        <v>249</v>
      </c>
      <c r="AD168" s="970">
        <v>0</v>
      </c>
      <c r="AE168" s="970">
        <f t="shared" si="48"/>
        <v>9.9600000000000009</v>
      </c>
      <c r="AF168" s="971">
        <f t="shared" si="63"/>
        <v>14940</v>
      </c>
      <c r="AG168" s="857">
        <f t="shared" si="64"/>
        <v>0</v>
      </c>
      <c r="AH168" s="576">
        <v>0</v>
      </c>
      <c r="AI168" s="856">
        <v>0.27200000000000002</v>
      </c>
      <c r="AJ168" s="859">
        <v>0</v>
      </c>
      <c r="AK168" s="583">
        <v>0</v>
      </c>
      <c r="AL168" s="971">
        <f t="shared" si="65"/>
        <v>0</v>
      </c>
      <c r="AM168" s="971">
        <f t="shared" si="52"/>
        <v>14940</v>
      </c>
      <c r="AN168" s="858">
        <f t="shared" si="53"/>
        <v>0</v>
      </c>
      <c r="AO168" s="857">
        <f t="shared" si="54"/>
        <v>3</v>
      </c>
      <c r="AP168" s="973">
        <f t="shared" si="55"/>
        <v>0</v>
      </c>
      <c r="AQ168" s="855">
        <f t="shared" si="56"/>
        <v>0</v>
      </c>
      <c r="AR168" s="1042">
        <f>IFERROR(AA168-AG168*0.5,"")+5%</f>
        <v>0.13589373177588157</v>
      </c>
      <c r="AS168" s="975"/>
      <c r="AT168" s="976" t="e">
        <v>#N/A</v>
      </c>
      <c r="AU168" s="971" t="e">
        <f>P168-#REF!</f>
        <v>#REF!</v>
      </c>
      <c r="AV168" s="976"/>
      <c r="AW168" s="970">
        <f t="shared" si="73"/>
        <v>249</v>
      </c>
      <c r="AX168" s="971">
        <f t="shared" si="74"/>
        <v>0</v>
      </c>
      <c r="AY168" s="971">
        <f t="shared" si="97"/>
        <v>14940</v>
      </c>
      <c r="AZ168" s="977"/>
      <c r="BA168" s="972">
        <v>0</v>
      </c>
      <c r="BB168" s="971">
        <f t="shared" si="76"/>
        <v>0</v>
      </c>
      <c r="BC168" s="973">
        <f t="shared" si="77"/>
        <v>14940</v>
      </c>
      <c r="BD168" s="973">
        <f t="shared" si="78"/>
        <v>0</v>
      </c>
      <c r="BE168" s="855">
        <f t="shared" si="79"/>
        <v>0</v>
      </c>
      <c r="BF168" s="975">
        <f t="shared" si="80"/>
        <v>0.13589373177588157</v>
      </c>
      <c r="BG168" s="975"/>
      <c r="BH168" s="971">
        <f t="shared" si="100"/>
        <v>0</v>
      </c>
      <c r="BI168" s="970">
        <f t="shared" si="81"/>
        <v>249</v>
      </c>
      <c r="BJ168" s="971">
        <f t="shared" si="82"/>
        <v>0</v>
      </c>
      <c r="BK168" s="971">
        <f t="shared" si="98"/>
        <v>14940</v>
      </c>
      <c r="BL168" s="977"/>
      <c r="BM168" s="972">
        <v>0</v>
      </c>
      <c r="BN168" s="971">
        <f t="shared" si="84"/>
        <v>0</v>
      </c>
      <c r="BO168" s="973">
        <f t="shared" si="99"/>
        <v>14940</v>
      </c>
      <c r="BP168" s="973">
        <f t="shared" si="86"/>
        <v>0</v>
      </c>
      <c r="BQ168" s="855">
        <f t="shared" si="87"/>
        <v>0</v>
      </c>
      <c r="BR168" s="975">
        <f t="shared" si="88"/>
        <v>0</v>
      </c>
      <c r="BS168" s="975"/>
      <c r="BT168" s="978"/>
      <c r="BU168" s="978"/>
      <c r="BV168" s="978">
        <v>0.14000000000000001</v>
      </c>
      <c r="BW168" s="978">
        <f t="shared" si="57"/>
        <v>8.5893731775881568E-2</v>
      </c>
    </row>
    <row r="169" spans="1:75" ht="17" hidden="1">
      <c r="A169" s="969">
        <v>2606</v>
      </c>
      <c r="B169" s="968" t="s">
        <v>285</v>
      </c>
      <c r="C169" s="969" t="s">
        <v>829</v>
      </c>
      <c r="D169" s="984" t="s">
        <v>322</v>
      </c>
      <c r="E169" s="955" t="s">
        <v>517</v>
      </c>
      <c r="F169" s="955"/>
      <c r="G169" s="955" t="str">
        <f>IFERROR(VLOOKUP(D169,[3]전용!E:J,6,0),"")</f>
        <v/>
      </c>
      <c r="H169" s="854">
        <v>15880</v>
      </c>
      <c r="I169" s="955">
        <v>5</v>
      </c>
      <c r="J169" s="955" t="s">
        <v>286</v>
      </c>
      <c r="K169" s="955">
        <v>12</v>
      </c>
      <c r="L169" s="970">
        <v>599</v>
      </c>
      <c r="M169" s="971">
        <f t="shared" si="49"/>
        <v>35940</v>
      </c>
      <c r="N169" s="855">
        <v>0.23697521988233267</v>
      </c>
      <c r="O169" s="855"/>
      <c r="P169" s="970">
        <v>599</v>
      </c>
      <c r="Q169" s="970">
        <f t="shared" si="50"/>
        <v>0</v>
      </c>
      <c r="R169" s="576">
        <f>(P169*((I169*12)-U169))</f>
        <v>32346</v>
      </c>
      <c r="S169" s="856">
        <f t="shared" si="58"/>
        <v>0.18990700037568076</v>
      </c>
      <c r="T169" s="580">
        <v>149</v>
      </c>
      <c r="U169" s="583">
        <v>6</v>
      </c>
      <c r="V169" s="972">
        <v>0</v>
      </c>
      <c r="W169" s="971">
        <f t="shared" si="59"/>
        <v>2700</v>
      </c>
      <c r="X169" s="971">
        <f t="shared" si="60"/>
        <v>29646</v>
      </c>
      <c r="Y169" s="858">
        <f t="shared" si="61"/>
        <v>-8.347245409015025E-2</v>
      </c>
      <c r="Z169" s="857">
        <f t="shared" si="62"/>
        <v>1.8668765743073048</v>
      </c>
      <c r="AA169" s="856">
        <v>0.14817077333060563</v>
      </c>
      <c r="AB169" s="856">
        <v>3.0928482853770779E-3</v>
      </c>
      <c r="AC169" s="970">
        <f t="shared" si="51"/>
        <v>599</v>
      </c>
      <c r="AD169" s="970"/>
      <c r="AE169" s="970">
        <f t="shared" si="48"/>
        <v>0</v>
      </c>
      <c r="AF169" s="971">
        <f t="shared" si="63"/>
        <v>35940</v>
      </c>
      <c r="AG169" s="857">
        <f t="shared" si="64"/>
        <v>0.11111111111111116</v>
      </c>
      <c r="AH169" s="576">
        <v>0</v>
      </c>
      <c r="AI169" s="856">
        <f t="shared" si="66"/>
        <v>0.25432337401872546</v>
      </c>
      <c r="AJ169" s="859">
        <v>0</v>
      </c>
      <c r="AK169" s="583">
        <v>0</v>
      </c>
      <c r="AL169" s="971">
        <f t="shared" si="65"/>
        <v>0</v>
      </c>
      <c r="AM169" s="971">
        <f t="shared" si="52"/>
        <v>35940</v>
      </c>
      <c r="AN169" s="858">
        <f t="shared" si="53"/>
        <v>0</v>
      </c>
      <c r="AO169" s="857">
        <f t="shared" si="54"/>
        <v>2.2632241813602016</v>
      </c>
      <c r="AP169" s="973">
        <f t="shared" si="55"/>
        <v>6294</v>
      </c>
      <c r="AQ169" s="855">
        <f t="shared" si="56"/>
        <v>0.21230520137623965</v>
      </c>
      <c r="AR169" s="974">
        <f t="shared" si="68"/>
        <v>0.25432337401872546</v>
      </c>
      <c r="AS169" s="975" t="s">
        <v>836</v>
      </c>
      <c r="AT169" s="976"/>
      <c r="AU169" s="971" t="e">
        <f>P169-#REF!</f>
        <v>#REF!</v>
      </c>
      <c r="AV169" s="976"/>
      <c r="AW169" s="970">
        <f t="shared" si="73"/>
        <v>599</v>
      </c>
      <c r="AX169" s="971">
        <f t="shared" si="74"/>
        <v>0</v>
      </c>
      <c r="AY169" s="971">
        <f t="shared" si="97"/>
        <v>35940</v>
      </c>
      <c r="AZ169" s="580">
        <v>149</v>
      </c>
      <c r="BA169" s="583">
        <v>6</v>
      </c>
      <c r="BB169" s="971">
        <f t="shared" si="76"/>
        <v>1797</v>
      </c>
      <c r="BC169" s="973">
        <f t="shared" si="77"/>
        <v>34143</v>
      </c>
      <c r="BD169" s="973">
        <f t="shared" si="78"/>
        <v>-1797</v>
      </c>
      <c r="BE169" s="855">
        <f t="shared" si="79"/>
        <v>-5.0000000000000044E-2</v>
      </c>
      <c r="BF169" s="975">
        <f t="shared" si="80"/>
        <v>0.22932337401872543</v>
      </c>
      <c r="BG169" s="975"/>
      <c r="BH169" s="971">
        <f>AX169*1.1</f>
        <v>0</v>
      </c>
      <c r="BI169" s="970">
        <f t="shared" si="81"/>
        <v>599</v>
      </c>
      <c r="BJ169" s="971">
        <f t="shared" si="82"/>
        <v>0</v>
      </c>
      <c r="BK169" s="971">
        <f t="shared" si="98"/>
        <v>35940</v>
      </c>
      <c r="BL169" s="580">
        <v>149</v>
      </c>
      <c r="BM169" s="583">
        <v>6</v>
      </c>
      <c r="BN169" s="971">
        <f t="shared" si="84"/>
        <v>1797</v>
      </c>
      <c r="BO169" s="709">
        <f>BK169+BN169</f>
        <v>37737</v>
      </c>
      <c r="BP169" s="973">
        <f t="shared" si="86"/>
        <v>3594</v>
      </c>
      <c r="BQ169" s="855">
        <f t="shared" si="87"/>
        <v>0.10526315789473695</v>
      </c>
      <c r="BR169" s="975">
        <f t="shared" si="88"/>
        <v>2.6315789473684292E-3</v>
      </c>
      <c r="BS169" s="975"/>
      <c r="BT169" s="978"/>
      <c r="BU169" s="978"/>
      <c r="BV169" s="978">
        <v>0.14918726126461643</v>
      </c>
      <c r="BW169" s="978">
        <f t="shared" si="57"/>
        <v>0.14817077333060563</v>
      </c>
    </row>
    <row r="170" spans="1:75" ht="17" hidden="1">
      <c r="A170" s="980">
        <v>2606</v>
      </c>
      <c r="B170" s="979" t="s">
        <v>285</v>
      </c>
      <c r="C170" s="980" t="s">
        <v>829</v>
      </c>
      <c r="D170" s="984" t="s">
        <v>322</v>
      </c>
      <c r="E170" s="955" t="s">
        <v>518</v>
      </c>
      <c r="F170" s="955"/>
      <c r="G170" s="955" t="str">
        <f>IFERROR(VLOOKUP(D170,[3]전용!E:J,6,0),"")</f>
        <v/>
      </c>
      <c r="H170" s="854">
        <v>15880</v>
      </c>
      <c r="I170" s="955">
        <v>5</v>
      </c>
      <c r="J170" s="955" t="s">
        <v>288</v>
      </c>
      <c r="K170" s="955">
        <v>12</v>
      </c>
      <c r="L170" s="970">
        <v>549</v>
      </c>
      <c r="M170" s="971">
        <f t="shared" si="49"/>
        <v>32940</v>
      </c>
      <c r="N170" s="855">
        <v>0.23697521988233267</v>
      </c>
      <c r="O170" s="855"/>
      <c r="P170" s="970">
        <v>549</v>
      </c>
      <c r="Q170" s="970">
        <f t="shared" si="50"/>
        <v>0</v>
      </c>
      <c r="R170" s="971">
        <f>P170*LEFT(I170,1)*12</f>
        <v>32940</v>
      </c>
      <c r="S170" s="856">
        <f t="shared" si="58"/>
        <v>0.1846006458260519</v>
      </c>
      <c r="T170" s="976">
        <v>149</v>
      </c>
      <c r="U170" s="972">
        <v>6</v>
      </c>
      <c r="V170" s="972">
        <v>0</v>
      </c>
      <c r="W170" s="971">
        <f t="shared" si="59"/>
        <v>2400</v>
      </c>
      <c r="X170" s="971">
        <f t="shared" si="60"/>
        <v>30540</v>
      </c>
      <c r="Y170" s="858">
        <f t="shared" si="61"/>
        <v>-7.2859744990892539E-2</v>
      </c>
      <c r="Z170" s="857">
        <f t="shared" si="62"/>
        <v>1.9231738035264483</v>
      </c>
      <c r="AA170" s="856">
        <v>0.14817077333060563</v>
      </c>
      <c r="AB170" s="856">
        <v>3.0928482853770779E-3</v>
      </c>
      <c r="AC170" s="970">
        <f t="shared" si="51"/>
        <v>549</v>
      </c>
      <c r="AD170" s="970"/>
      <c r="AE170" s="970">
        <f t="shared" si="48"/>
        <v>0</v>
      </c>
      <c r="AF170" s="971">
        <f t="shared" si="63"/>
        <v>32940</v>
      </c>
      <c r="AG170" s="857">
        <f t="shared" si="64"/>
        <v>0</v>
      </c>
      <c r="AH170" s="576">
        <v>0</v>
      </c>
      <c r="AI170" s="856">
        <f t="shared" si="66"/>
        <v>0.18746350417539931</v>
      </c>
      <c r="AJ170" s="859">
        <v>0</v>
      </c>
      <c r="AK170" s="583">
        <v>0</v>
      </c>
      <c r="AL170" s="971">
        <f t="shared" si="65"/>
        <v>0</v>
      </c>
      <c r="AM170" s="971">
        <f t="shared" si="52"/>
        <v>32940</v>
      </c>
      <c r="AN170" s="858">
        <f t="shared" si="53"/>
        <v>0</v>
      </c>
      <c r="AO170" s="857">
        <f t="shared" si="54"/>
        <v>2.0743073047858944</v>
      </c>
      <c r="AP170" s="973">
        <f t="shared" si="55"/>
        <v>2400</v>
      </c>
      <c r="AQ170" s="855">
        <f t="shared" si="56"/>
        <v>7.8585461689587355E-2</v>
      </c>
      <c r="AR170" s="974">
        <f t="shared" si="68"/>
        <v>0.18746350417539931</v>
      </c>
      <c r="AS170" s="975" t="s">
        <v>836</v>
      </c>
      <c r="AT170" s="976"/>
      <c r="AU170" s="971" t="e">
        <f>P170-#REF!</f>
        <v>#REF!</v>
      </c>
      <c r="AV170" s="976"/>
      <c r="AW170" s="970">
        <f t="shared" si="73"/>
        <v>549</v>
      </c>
      <c r="AX170" s="971">
        <f t="shared" si="74"/>
        <v>0</v>
      </c>
      <c r="AY170" s="971">
        <f t="shared" si="97"/>
        <v>32940</v>
      </c>
      <c r="AZ170" s="976"/>
      <c r="BA170" s="972">
        <v>6</v>
      </c>
      <c r="BB170" s="971">
        <f t="shared" si="76"/>
        <v>1647</v>
      </c>
      <c r="BC170" s="973">
        <f t="shared" si="77"/>
        <v>31293</v>
      </c>
      <c r="BD170" s="973">
        <f t="shared" si="78"/>
        <v>-1647</v>
      </c>
      <c r="BE170" s="855">
        <f t="shared" si="79"/>
        <v>-5.0000000000000044E-2</v>
      </c>
      <c r="BF170" s="975">
        <f t="shared" si="80"/>
        <v>0.16246350417539929</v>
      </c>
      <c r="BG170" s="975"/>
      <c r="BH170" s="971">
        <f>AX170*1.1</f>
        <v>0</v>
      </c>
      <c r="BI170" s="970">
        <f t="shared" si="81"/>
        <v>549</v>
      </c>
      <c r="BJ170" s="971">
        <f t="shared" si="82"/>
        <v>0</v>
      </c>
      <c r="BK170" s="971">
        <f t="shared" si="98"/>
        <v>32940</v>
      </c>
      <c r="BL170" s="976"/>
      <c r="BM170" s="972">
        <v>6</v>
      </c>
      <c r="BN170" s="971">
        <f t="shared" si="84"/>
        <v>1647</v>
      </c>
      <c r="BO170" s="973">
        <f>BK170-BN170</f>
        <v>31293</v>
      </c>
      <c r="BP170" s="973">
        <f t="shared" si="86"/>
        <v>0</v>
      </c>
      <c r="BQ170" s="855">
        <f t="shared" si="87"/>
        <v>0</v>
      </c>
      <c r="BR170" s="975">
        <f t="shared" si="88"/>
        <v>-5.0000000000000044E-2</v>
      </c>
      <c r="BS170" s="975"/>
      <c r="BT170" s="978"/>
      <c r="BU170" s="978"/>
      <c r="BV170" s="978">
        <v>0.14918726126461643</v>
      </c>
      <c r="BW170" s="978">
        <f t="shared" si="57"/>
        <v>0.14817077333060563</v>
      </c>
    </row>
    <row r="171" spans="1:75" ht="17">
      <c r="A171" s="969">
        <v>2606</v>
      </c>
      <c r="B171" s="968" t="s">
        <v>285</v>
      </c>
      <c r="C171" s="1053" t="s">
        <v>833</v>
      </c>
      <c r="D171" s="1049" t="s">
        <v>372</v>
      </c>
      <c r="E171" s="995" t="s">
        <v>517</v>
      </c>
      <c r="F171" s="955"/>
      <c r="G171" s="955" t="str">
        <f>IFERROR(VLOOKUP(D171,[3]전용!E:J,6,0),"")</f>
        <v/>
      </c>
      <c r="H171" s="854">
        <v>15440</v>
      </c>
      <c r="I171" s="955">
        <v>5</v>
      </c>
      <c r="J171" s="955" t="s">
        <v>286</v>
      </c>
      <c r="K171" s="955">
        <v>12</v>
      </c>
      <c r="L171" s="970">
        <v>549</v>
      </c>
      <c r="M171" s="971">
        <f t="shared" si="49"/>
        <v>32940</v>
      </c>
      <c r="N171" s="855">
        <v>0.23697521988233267</v>
      </c>
      <c r="O171" s="855"/>
      <c r="P171" s="970">
        <v>549</v>
      </c>
      <c r="Q171" s="1033">
        <f>P171-L171</f>
        <v>0</v>
      </c>
      <c r="R171" s="576">
        <f>(P171*((I171*12)-U171))</f>
        <v>29646</v>
      </c>
      <c r="S171" s="856">
        <f t="shared" si="58"/>
        <v>0.21473638633348813</v>
      </c>
      <c r="T171" s="580">
        <v>149</v>
      </c>
      <c r="U171" s="583">
        <v>6</v>
      </c>
      <c r="V171" s="972">
        <v>0</v>
      </c>
      <c r="W171" s="971">
        <f t="shared" si="59"/>
        <v>2400</v>
      </c>
      <c r="X171" s="971">
        <f t="shared" si="60"/>
        <v>27246</v>
      </c>
      <c r="Y171" s="858">
        <f t="shared" si="61"/>
        <v>-8.0955272212102858E-2</v>
      </c>
      <c r="Z171" s="857">
        <f t="shared" si="62"/>
        <v>1.764637305699482</v>
      </c>
      <c r="AA171" s="856">
        <v>0.1742587502274367</v>
      </c>
      <c r="AB171" s="856">
        <v>0.11980583215681116</v>
      </c>
      <c r="AC171" s="1041">
        <v>499</v>
      </c>
      <c r="AD171" s="970">
        <f>AC171-P171</f>
        <v>-50</v>
      </c>
      <c r="AE171" s="970">
        <f t="shared" si="48"/>
        <v>0</v>
      </c>
      <c r="AF171" s="971">
        <f t="shared" si="63"/>
        <v>29940</v>
      </c>
      <c r="AG171" s="857">
        <f t="shared" si="64"/>
        <v>9.9170208459826714E-3</v>
      </c>
      <c r="AH171" s="576">
        <v>0</v>
      </c>
      <c r="AI171" s="856">
        <v>0.36899999999999999</v>
      </c>
      <c r="AJ171" s="859">
        <v>0</v>
      </c>
      <c r="AK171" s="583">
        <v>0</v>
      </c>
      <c r="AL171" s="971">
        <f t="shared" si="65"/>
        <v>0</v>
      </c>
      <c r="AM171" s="971">
        <f t="shared" si="52"/>
        <v>29940</v>
      </c>
      <c r="AN171" s="858">
        <f t="shared" si="53"/>
        <v>0</v>
      </c>
      <c r="AO171" s="857">
        <f t="shared" si="54"/>
        <v>1.939119170984456</v>
      </c>
      <c r="AP171" s="973">
        <f t="shared" si="55"/>
        <v>2694</v>
      </c>
      <c r="AQ171" s="855">
        <f t="shared" si="56"/>
        <v>9.8876899361374226E-2</v>
      </c>
      <c r="AR171" s="1042">
        <f>IFERROR(AA171-AG171*0.5,"")+5%</f>
        <v>0.21930023980444535</v>
      </c>
      <c r="AS171" s="975" t="s">
        <v>836</v>
      </c>
      <c r="AT171" s="976"/>
      <c r="AU171" s="971" t="e">
        <f>P171-#REF!</f>
        <v>#REF!</v>
      </c>
      <c r="AV171" s="976"/>
      <c r="AW171" s="970">
        <f t="shared" si="73"/>
        <v>499</v>
      </c>
      <c r="AX171" s="971">
        <f t="shared" si="74"/>
        <v>0</v>
      </c>
      <c r="AY171" s="971">
        <f t="shared" si="97"/>
        <v>29940</v>
      </c>
      <c r="AZ171" s="580">
        <v>149</v>
      </c>
      <c r="BA171" s="583">
        <v>6</v>
      </c>
      <c r="BB171" s="971">
        <f t="shared" si="76"/>
        <v>1497</v>
      </c>
      <c r="BC171" s="973">
        <f t="shared" si="77"/>
        <v>28443</v>
      </c>
      <c r="BD171" s="973">
        <f t="shared" si="78"/>
        <v>-1497</v>
      </c>
      <c r="BE171" s="855">
        <f t="shared" si="79"/>
        <v>-5.0000000000000044E-2</v>
      </c>
      <c r="BF171" s="975">
        <f t="shared" si="80"/>
        <v>0.19430023980444533</v>
      </c>
      <c r="BG171" s="975"/>
      <c r="BH171" s="971">
        <f>AX171*1.1</f>
        <v>0</v>
      </c>
      <c r="BI171" s="970">
        <f t="shared" si="81"/>
        <v>499</v>
      </c>
      <c r="BJ171" s="971">
        <f t="shared" si="82"/>
        <v>0</v>
      </c>
      <c r="BK171" s="971">
        <f t="shared" si="98"/>
        <v>29940</v>
      </c>
      <c r="BL171" s="580">
        <v>149</v>
      </c>
      <c r="BM171" s="583">
        <v>6</v>
      </c>
      <c r="BN171" s="971">
        <f t="shared" si="84"/>
        <v>1497</v>
      </c>
      <c r="BO171" s="709">
        <f>BK171+BN171</f>
        <v>31437</v>
      </c>
      <c r="BP171" s="973">
        <f t="shared" si="86"/>
        <v>2994</v>
      </c>
      <c r="BQ171" s="855">
        <f t="shared" si="87"/>
        <v>0.10526315789473695</v>
      </c>
      <c r="BR171" s="975">
        <f t="shared" si="88"/>
        <v>2.6315789473684292E-3</v>
      </c>
      <c r="BS171" s="975"/>
      <c r="BT171" s="978"/>
      <c r="BU171" s="978"/>
      <c r="BV171" s="978">
        <v>0.17423919188527712</v>
      </c>
      <c r="BW171" s="978">
        <f t="shared" si="57"/>
        <v>0.1742587502274367</v>
      </c>
    </row>
    <row r="172" spans="1:75" ht="17">
      <c r="A172" s="980">
        <v>2606</v>
      </c>
      <c r="B172" s="979" t="s">
        <v>285</v>
      </c>
      <c r="C172" s="1054" t="s">
        <v>833</v>
      </c>
      <c r="D172" s="1052" t="s">
        <v>372</v>
      </c>
      <c r="E172" s="995" t="s">
        <v>518</v>
      </c>
      <c r="F172" s="955"/>
      <c r="G172" s="955" t="str">
        <f>IFERROR(VLOOKUP(D172,[3]전용!E:J,6,0),"")</f>
        <v/>
      </c>
      <c r="H172" s="854">
        <v>15440</v>
      </c>
      <c r="I172" s="955">
        <v>5</v>
      </c>
      <c r="J172" s="955" t="s">
        <v>288</v>
      </c>
      <c r="K172" s="955">
        <v>12</v>
      </c>
      <c r="L172" s="970">
        <v>499</v>
      </c>
      <c r="M172" s="971">
        <f t="shared" si="49"/>
        <v>29940</v>
      </c>
      <c r="N172" s="855">
        <v>0.23697521988233267</v>
      </c>
      <c r="O172" s="855"/>
      <c r="P172" s="970">
        <v>499</v>
      </c>
      <c r="Q172" s="1033">
        <f>P172-L172</f>
        <v>0</v>
      </c>
      <c r="R172" s="971">
        <f t="shared" ref="R172:R206" si="101">P172*LEFT(I172,1)*12</f>
        <v>29940</v>
      </c>
      <c r="S172" s="856">
        <f t="shared" si="58"/>
        <v>0.2093288905079978</v>
      </c>
      <c r="T172" s="976">
        <v>149</v>
      </c>
      <c r="U172" s="972">
        <v>6</v>
      </c>
      <c r="V172" s="972">
        <v>0</v>
      </c>
      <c r="W172" s="971">
        <f t="shared" si="59"/>
        <v>2100</v>
      </c>
      <c r="X172" s="971">
        <f t="shared" si="60"/>
        <v>27840</v>
      </c>
      <c r="Y172" s="858">
        <f t="shared" si="61"/>
        <v>-7.0140280561122204E-2</v>
      </c>
      <c r="Z172" s="857">
        <f t="shared" si="62"/>
        <v>1.8031088082901554</v>
      </c>
      <c r="AA172" s="856">
        <v>0.1742587502274367</v>
      </c>
      <c r="AB172" s="856">
        <v>0.11980583215681116</v>
      </c>
      <c r="AC172" s="1041">
        <v>449</v>
      </c>
      <c r="AD172" s="970">
        <f>AC172-P172</f>
        <v>-50</v>
      </c>
      <c r="AE172" s="970">
        <f t="shared" si="48"/>
        <v>0</v>
      </c>
      <c r="AF172" s="971">
        <f t="shared" si="63"/>
        <v>26940</v>
      </c>
      <c r="AG172" s="857">
        <f t="shared" si="64"/>
        <v>-0.1002004008016032</v>
      </c>
      <c r="AH172" s="576">
        <v>0</v>
      </c>
      <c r="AI172" s="856">
        <v>0.36399999999999999</v>
      </c>
      <c r="AJ172" s="859">
        <v>0</v>
      </c>
      <c r="AK172" s="583">
        <v>0</v>
      </c>
      <c r="AL172" s="971">
        <f t="shared" si="65"/>
        <v>0</v>
      </c>
      <c r="AM172" s="971">
        <f t="shared" si="52"/>
        <v>26940</v>
      </c>
      <c r="AN172" s="858">
        <f t="shared" si="53"/>
        <v>0</v>
      </c>
      <c r="AO172" s="857">
        <f t="shared" si="54"/>
        <v>1.7448186528497409</v>
      </c>
      <c r="AP172" s="973">
        <f t="shared" si="55"/>
        <v>-900</v>
      </c>
      <c r="AQ172" s="855">
        <f t="shared" si="56"/>
        <v>-3.2327586206896575E-2</v>
      </c>
      <c r="AR172" s="1042">
        <f>IFERROR(AA172-AG172*0.5,"")+5%</f>
        <v>0.27435895062823829</v>
      </c>
      <c r="AS172" s="975" t="s">
        <v>836</v>
      </c>
      <c r="AT172" s="976"/>
      <c r="AU172" s="971" t="e">
        <f>P172-#REF!</f>
        <v>#REF!</v>
      </c>
      <c r="AV172" s="976"/>
      <c r="AW172" s="970">
        <f t="shared" si="73"/>
        <v>449</v>
      </c>
      <c r="AX172" s="971">
        <f t="shared" si="74"/>
        <v>0</v>
      </c>
      <c r="AY172" s="971">
        <f t="shared" si="97"/>
        <v>26940</v>
      </c>
      <c r="AZ172" s="976"/>
      <c r="BA172" s="972">
        <v>6</v>
      </c>
      <c r="BB172" s="971">
        <f t="shared" si="76"/>
        <v>1347</v>
      </c>
      <c r="BC172" s="973">
        <f t="shared" si="77"/>
        <v>25593</v>
      </c>
      <c r="BD172" s="973">
        <f t="shared" si="78"/>
        <v>-1347</v>
      </c>
      <c r="BE172" s="855">
        <f t="shared" si="79"/>
        <v>-5.0000000000000044E-2</v>
      </c>
      <c r="BF172" s="975">
        <f t="shared" si="80"/>
        <v>0.24935895062823826</v>
      </c>
      <c r="BG172" s="975"/>
      <c r="BH172" s="971">
        <f>AX172*1.1</f>
        <v>0</v>
      </c>
      <c r="BI172" s="970">
        <f t="shared" si="81"/>
        <v>449</v>
      </c>
      <c r="BJ172" s="971">
        <f t="shared" si="82"/>
        <v>0</v>
      </c>
      <c r="BK172" s="971">
        <f t="shared" si="98"/>
        <v>26940</v>
      </c>
      <c r="BL172" s="976"/>
      <c r="BM172" s="972">
        <v>6</v>
      </c>
      <c r="BN172" s="971">
        <f t="shared" si="84"/>
        <v>1347</v>
      </c>
      <c r="BO172" s="973">
        <f t="shared" ref="BO172:BO204" si="102">BK172-BN172</f>
        <v>25593</v>
      </c>
      <c r="BP172" s="973">
        <f t="shared" si="86"/>
        <v>0</v>
      </c>
      <c r="BQ172" s="855">
        <f t="shared" si="87"/>
        <v>0</v>
      </c>
      <c r="BR172" s="975">
        <f t="shared" si="88"/>
        <v>-5.0000000000000044E-2</v>
      </c>
      <c r="BS172" s="975"/>
      <c r="BT172" s="978"/>
      <c r="BU172" s="978"/>
      <c r="BV172" s="978">
        <v>0.17423919188527712</v>
      </c>
      <c r="BW172" s="978">
        <f t="shared" si="57"/>
        <v>0.1742587502274367</v>
      </c>
    </row>
    <row r="173" spans="1:75" hidden="1">
      <c r="A173" s="980">
        <v>2606</v>
      </c>
      <c r="B173" s="979" t="s">
        <v>114</v>
      </c>
      <c r="C173" s="980" t="s">
        <v>831</v>
      </c>
      <c r="D173" s="980" t="s">
        <v>109</v>
      </c>
      <c r="E173" s="955"/>
      <c r="F173" s="955"/>
      <c r="G173" s="955" t="str">
        <f>IFERROR(VLOOKUP(D173,[3]전용!E:J,6,0),"")</f>
        <v/>
      </c>
      <c r="H173" s="854">
        <v>35700</v>
      </c>
      <c r="I173" s="955">
        <v>5</v>
      </c>
      <c r="J173" s="955" t="s">
        <v>286</v>
      </c>
      <c r="K173" s="955">
        <v>4</v>
      </c>
      <c r="L173" s="970">
        <v>1499</v>
      </c>
      <c r="M173" s="971">
        <f t="shared" si="49"/>
        <v>89940</v>
      </c>
      <c r="N173" s="855">
        <v>0.16449114703618173</v>
      </c>
      <c r="O173" s="855"/>
      <c r="P173" s="970">
        <v>1499</v>
      </c>
      <c r="Q173" s="970">
        <f t="shared" si="50"/>
        <v>0</v>
      </c>
      <c r="R173" s="971">
        <f t="shared" si="101"/>
        <v>89940</v>
      </c>
      <c r="S173" s="856">
        <f t="shared" si="58"/>
        <v>0.26696596354187629</v>
      </c>
      <c r="T173" s="971"/>
      <c r="U173" s="971"/>
      <c r="V173" s="972">
        <v>0</v>
      </c>
      <c r="W173" s="971">
        <f t="shared" si="59"/>
        <v>0</v>
      </c>
      <c r="X173" s="971">
        <f t="shared" si="60"/>
        <v>89940</v>
      </c>
      <c r="Y173" s="858">
        <f t="shared" si="61"/>
        <v>0</v>
      </c>
      <c r="Z173" s="857">
        <f t="shared" si="62"/>
        <v>2.5193277310924369</v>
      </c>
      <c r="AA173" s="856">
        <v>0.26696596354187629</v>
      </c>
      <c r="AB173" s="856">
        <v>5.0881020877391013E-3</v>
      </c>
      <c r="AC173" s="970">
        <f t="shared" si="51"/>
        <v>1499</v>
      </c>
      <c r="AD173" s="970"/>
      <c r="AE173" s="970">
        <f t="shared" si="48"/>
        <v>0</v>
      </c>
      <c r="AF173" s="971">
        <f t="shared" si="63"/>
        <v>89940</v>
      </c>
      <c r="AG173" s="857">
        <f t="shared" si="64"/>
        <v>0</v>
      </c>
      <c r="AH173" s="576">
        <v>0</v>
      </c>
      <c r="AI173" s="856">
        <f t="shared" si="66"/>
        <v>0.26696596354187629</v>
      </c>
      <c r="AJ173" s="859">
        <v>0</v>
      </c>
      <c r="AK173" s="583">
        <v>0</v>
      </c>
      <c r="AL173" s="971">
        <f t="shared" si="65"/>
        <v>0</v>
      </c>
      <c r="AM173" s="971">
        <f t="shared" si="52"/>
        <v>89940</v>
      </c>
      <c r="AN173" s="858">
        <f t="shared" si="53"/>
        <v>0</v>
      </c>
      <c r="AO173" s="857">
        <f t="shared" si="54"/>
        <v>2.5193277310924369</v>
      </c>
      <c r="AP173" s="973">
        <f t="shared" si="55"/>
        <v>0</v>
      </c>
      <c r="AQ173" s="855">
        <f t="shared" si="56"/>
        <v>0</v>
      </c>
      <c r="AR173" s="974">
        <f t="shared" si="68"/>
        <v>0.26696596354187629</v>
      </c>
      <c r="AS173" s="975"/>
      <c r="AT173" s="976"/>
      <c r="AU173" s="971"/>
      <c r="AV173" s="976"/>
      <c r="AW173" s="970"/>
      <c r="AX173" s="971"/>
      <c r="AY173" s="971"/>
      <c r="AZ173" s="976"/>
      <c r="BA173" s="972"/>
      <c r="BB173" s="971"/>
      <c r="BC173" s="973"/>
      <c r="BD173" s="973"/>
      <c r="BE173" s="855"/>
      <c r="BF173" s="975"/>
      <c r="BG173" s="975"/>
      <c r="BH173" s="971"/>
      <c r="BI173" s="970"/>
      <c r="BJ173" s="971"/>
      <c r="BK173" s="971"/>
      <c r="BL173" s="976"/>
      <c r="BM173" s="972"/>
      <c r="BN173" s="971"/>
      <c r="BO173" s="973"/>
      <c r="BP173" s="973"/>
      <c r="BQ173" s="855"/>
      <c r="BR173" s="975"/>
      <c r="BS173" s="975"/>
      <c r="BT173" s="978"/>
      <c r="BU173" s="978"/>
      <c r="BV173" s="978">
        <v>0.2</v>
      </c>
      <c r="BW173" s="978">
        <f t="shared" si="57"/>
        <v>0.22896596354187629</v>
      </c>
    </row>
    <row r="174" spans="1:75" hidden="1">
      <c r="A174" s="980">
        <v>2606</v>
      </c>
      <c r="B174" s="979" t="s">
        <v>114</v>
      </c>
      <c r="C174" s="980" t="s">
        <v>831</v>
      </c>
      <c r="D174" s="980" t="s">
        <v>912</v>
      </c>
      <c r="E174" s="955"/>
      <c r="F174" s="955"/>
      <c r="G174" s="955" t="str">
        <f>IFERROR(VLOOKUP(D174,[3]전용!E:J,6,0),"")</f>
        <v/>
      </c>
      <c r="H174" s="854">
        <v>43798</v>
      </c>
      <c r="I174" s="955">
        <v>5</v>
      </c>
      <c r="J174" s="955" t="s">
        <v>286</v>
      </c>
      <c r="K174" s="955">
        <v>4</v>
      </c>
      <c r="L174" s="970">
        <v>1849</v>
      </c>
      <c r="M174" s="971">
        <f t="shared" si="49"/>
        <v>110940</v>
      </c>
      <c r="N174" s="855">
        <v>0.14932140691328077</v>
      </c>
      <c r="O174" s="855"/>
      <c r="P174" s="970">
        <v>1849</v>
      </c>
      <c r="Q174" s="970">
        <f t="shared" si="50"/>
        <v>0</v>
      </c>
      <c r="R174" s="971">
        <f t="shared" si="101"/>
        <v>110940</v>
      </c>
      <c r="S174" s="856">
        <f t="shared" si="58"/>
        <v>-2.0461939017560597E-2</v>
      </c>
      <c r="T174" s="971"/>
      <c r="U174" s="971"/>
      <c r="V174" s="972">
        <v>0</v>
      </c>
      <c r="W174" s="971">
        <f t="shared" si="59"/>
        <v>0</v>
      </c>
      <c r="X174" s="971">
        <f t="shared" si="60"/>
        <v>110940</v>
      </c>
      <c r="Y174" s="858">
        <f t="shared" si="61"/>
        <v>0</v>
      </c>
      <c r="Z174" s="857">
        <f t="shared" si="62"/>
        <v>2.5329923740810081</v>
      </c>
      <c r="AA174" s="856">
        <v>-2.0461939017560597E-2</v>
      </c>
      <c r="AB174" s="856">
        <v>4.8512527041428381E-3</v>
      </c>
      <c r="AC174" s="970">
        <f t="shared" si="51"/>
        <v>1949</v>
      </c>
      <c r="AD174" s="970">
        <v>100</v>
      </c>
      <c r="AE174" s="970">
        <f t="shared" si="48"/>
        <v>184.9</v>
      </c>
      <c r="AF174" s="971">
        <f t="shared" si="63"/>
        <v>116940</v>
      </c>
      <c r="AG174" s="857">
        <f t="shared" si="64"/>
        <v>5.4083288263926388E-2</v>
      </c>
      <c r="AH174" s="576">
        <v>0</v>
      </c>
      <c r="AI174" s="856">
        <f t="shared" si="66"/>
        <v>4.8213020419973149E-2</v>
      </c>
      <c r="AJ174" s="859">
        <v>0</v>
      </c>
      <c r="AK174" s="583">
        <v>0</v>
      </c>
      <c r="AL174" s="971">
        <f t="shared" si="65"/>
        <v>0</v>
      </c>
      <c r="AM174" s="971">
        <f t="shared" si="52"/>
        <v>116940</v>
      </c>
      <c r="AN174" s="858">
        <f t="shared" si="53"/>
        <v>0</v>
      </c>
      <c r="AO174" s="857">
        <f t="shared" si="54"/>
        <v>2.6699849308187589</v>
      </c>
      <c r="AP174" s="973">
        <f t="shared" si="55"/>
        <v>6000</v>
      </c>
      <c r="AQ174" s="855">
        <f t="shared" si="56"/>
        <v>5.4083288263926388E-2</v>
      </c>
      <c r="AR174" s="974">
        <f>IFERROR(AA174+AQ174*0.9,"")+2%</f>
        <v>4.8213020419973149E-2</v>
      </c>
      <c r="AS174" s="975"/>
      <c r="AT174" s="976"/>
      <c r="AU174" s="971"/>
      <c r="AV174" s="976"/>
      <c r="AW174" s="970"/>
      <c r="AX174" s="971"/>
      <c r="AY174" s="971"/>
      <c r="AZ174" s="976"/>
      <c r="BA174" s="972"/>
      <c r="BB174" s="971"/>
      <c r="BC174" s="973"/>
      <c r="BD174" s="973"/>
      <c r="BE174" s="855"/>
      <c r="BF174" s="975"/>
      <c r="BG174" s="975"/>
      <c r="BH174" s="971"/>
      <c r="BI174" s="970"/>
      <c r="BJ174" s="971"/>
      <c r="BK174" s="971"/>
      <c r="BL174" s="976"/>
      <c r="BM174" s="972"/>
      <c r="BN174" s="971"/>
      <c r="BO174" s="973"/>
      <c r="BP174" s="973"/>
      <c r="BQ174" s="855"/>
      <c r="BR174" s="975"/>
      <c r="BS174" s="975"/>
      <c r="BT174" s="978"/>
      <c r="BU174" s="978"/>
      <c r="BV174" s="978">
        <v>0.25</v>
      </c>
      <c r="BW174" s="978">
        <f t="shared" si="57"/>
        <v>-2.0461939017560597E-2</v>
      </c>
    </row>
    <row r="175" spans="1:75" hidden="1">
      <c r="A175" s="980">
        <v>2606</v>
      </c>
      <c r="B175" s="979" t="s">
        <v>114</v>
      </c>
      <c r="C175" s="980" t="s">
        <v>831</v>
      </c>
      <c r="D175" s="980" t="s">
        <v>110</v>
      </c>
      <c r="E175" s="955"/>
      <c r="F175" s="955"/>
      <c r="G175" s="955" t="str">
        <f>IFERROR(VLOOKUP(D175,[3]전용!E:J,6,0),"")</f>
        <v/>
      </c>
      <c r="H175" s="854">
        <v>40525</v>
      </c>
      <c r="I175" s="955">
        <v>5</v>
      </c>
      <c r="J175" s="955" t="s">
        <v>286</v>
      </c>
      <c r="K175" s="955">
        <v>4</v>
      </c>
      <c r="L175" s="970">
        <v>1599</v>
      </c>
      <c r="M175" s="971">
        <f t="shared" si="49"/>
        <v>95940</v>
      </c>
      <c r="N175" s="855">
        <v>0.15473981415296645</v>
      </c>
      <c r="O175" s="855"/>
      <c r="P175" s="970">
        <v>1599</v>
      </c>
      <c r="Q175" s="970">
        <f t="shared" si="50"/>
        <v>0</v>
      </c>
      <c r="R175" s="971">
        <f t="shared" si="101"/>
        <v>95940</v>
      </c>
      <c r="S175" s="856">
        <f t="shared" si="58"/>
        <v>0.15650023750499689</v>
      </c>
      <c r="T175" s="971"/>
      <c r="U175" s="971"/>
      <c r="V175" s="972">
        <v>0</v>
      </c>
      <c r="W175" s="971">
        <f t="shared" si="59"/>
        <v>0</v>
      </c>
      <c r="X175" s="971">
        <f t="shared" si="60"/>
        <v>95940</v>
      </c>
      <c r="Y175" s="858">
        <f t="shared" si="61"/>
        <v>0</v>
      </c>
      <c r="Z175" s="857">
        <f t="shared" si="62"/>
        <v>2.3674275138803207</v>
      </c>
      <c r="AA175" s="856">
        <v>0.15650023750499689</v>
      </c>
      <c r="AB175" s="856">
        <v>5.7558019581718739E-3</v>
      </c>
      <c r="AC175" s="970">
        <f t="shared" si="51"/>
        <v>1599</v>
      </c>
      <c r="AD175" s="970"/>
      <c r="AE175" s="970">
        <f t="shared" si="48"/>
        <v>0</v>
      </c>
      <c r="AF175" s="971">
        <f t="shared" si="63"/>
        <v>95940</v>
      </c>
      <c r="AG175" s="857">
        <f t="shared" si="64"/>
        <v>0</v>
      </c>
      <c r="AH175" s="576">
        <v>0</v>
      </c>
      <c r="AI175" s="856">
        <f t="shared" si="66"/>
        <v>0.15650023750499689</v>
      </c>
      <c r="AJ175" s="859">
        <v>0</v>
      </c>
      <c r="AK175" s="583">
        <v>0</v>
      </c>
      <c r="AL175" s="971">
        <f t="shared" si="65"/>
        <v>0</v>
      </c>
      <c r="AM175" s="971">
        <f t="shared" si="52"/>
        <v>95940</v>
      </c>
      <c r="AN175" s="858">
        <f t="shared" si="53"/>
        <v>0</v>
      </c>
      <c r="AO175" s="857">
        <f t="shared" si="54"/>
        <v>2.3674275138803207</v>
      </c>
      <c r="AP175" s="973">
        <f t="shared" si="55"/>
        <v>0</v>
      </c>
      <c r="AQ175" s="855">
        <f t="shared" si="56"/>
        <v>0</v>
      </c>
      <c r="AR175" s="974">
        <f t="shared" si="68"/>
        <v>0.15650023750499689</v>
      </c>
      <c r="AS175" s="975"/>
      <c r="AT175" s="976"/>
      <c r="AU175" s="971"/>
      <c r="AV175" s="976"/>
      <c r="AW175" s="970"/>
      <c r="AX175" s="971"/>
      <c r="AY175" s="971"/>
      <c r="AZ175" s="976"/>
      <c r="BA175" s="972"/>
      <c r="BB175" s="971"/>
      <c r="BC175" s="973"/>
      <c r="BD175" s="973"/>
      <c r="BE175" s="855"/>
      <c r="BF175" s="975"/>
      <c r="BG175" s="975"/>
      <c r="BH175" s="971"/>
      <c r="BI175" s="970"/>
      <c r="BJ175" s="971"/>
      <c r="BK175" s="971"/>
      <c r="BL175" s="976"/>
      <c r="BM175" s="972"/>
      <c r="BN175" s="971"/>
      <c r="BO175" s="973"/>
      <c r="BP175" s="973"/>
      <c r="BQ175" s="855"/>
      <c r="BR175" s="975"/>
      <c r="BS175" s="975"/>
      <c r="BT175" s="978"/>
      <c r="BU175" s="978"/>
      <c r="BV175" s="978">
        <v>0.16</v>
      </c>
      <c r="BW175" s="978">
        <f t="shared" si="57"/>
        <v>0.15650023750499689</v>
      </c>
    </row>
    <row r="176" spans="1:75" hidden="1">
      <c r="A176" s="980">
        <v>2606</v>
      </c>
      <c r="B176" s="979" t="s">
        <v>114</v>
      </c>
      <c r="C176" s="980" t="s">
        <v>831</v>
      </c>
      <c r="D176" s="980" t="s">
        <v>913</v>
      </c>
      <c r="E176" s="955"/>
      <c r="F176" s="955"/>
      <c r="G176" s="955" t="str">
        <f>IFERROR(VLOOKUP(D176,[3]전용!E:J,6,0),"")</f>
        <v/>
      </c>
      <c r="H176" s="854"/>
      <c r="I176" s="955">
        <v>5</v>
      </c>
      <c r="J176" s="955" t="s">
        <v>286</v>
      </c>
      <c r="K176" s="955">
        <v>4</v>
      </c>
      <c r="L176" s="970">
        <v>1899</v>
      </c>
      <c r="M176" s="971">
        <f t="shared" si="49"/>
        <v>113940</v>
      </c>
      <c r="N176" s="855">
        <v>4.9429075927015939E-2</v>
      </c>
      <c r="O176" s="855"/>
      <c r="P176" s="970">
        <v>1899</v>
      </c>
      <c r="Q176" s="970">
        <f t="shared" si="50"/>
        <v>0</v>
      </c>
      <c r="R176" s="971">
        <f t="shared" si="101"/>
        <v>113940</v>
      </c>
      <c r="S176" s="856">
        <f t="shared" si="58"/>
        <v>0.12598946619889798</v>
      </c>
      <c r="T176" s="971"/>
      <c r="U176" s="971"/>
      <c r="V176" s="972">
        <v>0</v>
      </c>
      <c r="W176" s="971">
        <f t="shared" si="59"/>
        <v>0</v>
      </c>
      <c r="X176" s="971">
        <f t="shared" si="60"/>
        <v>113940</v>
      </c>
      <c r="Y176" s="858">
        <f t="shared" si="61"/>
        <v>0</v>
      </c>
      <c r="Z176" s="857" t="str">
        <f t="shared" si="62"/>
        <v/>
      </c>
      <c r="AA176" s="856">
        <v>0.12598946619889798</v>
      </c>
      <c r="AB176" s="856">
        <v>1.6010707856494513E-2</v>
      </c>
      <c r="AC176" s="970">
        <f t="shared" si="51"/>
        <v>1899</v>
      </c>
      <c r="AD176" s="970"/>
      <c r="AE176" s="970">
        <f t="shared" si="48"/>
        <v>0</v>
      </c>
      <c r="AF176" s="971">
        <f t="shared" si="63"/>
        <v>113940</v>
      </c>
      <c r="AG176" s="857">
        <f t="shared" si="64"/>
        <v>0</v>
      </c>
      <c r="AH176" s="576">
        <v>0</v>
      </c>
      <c r="AI176" s="856">
        <f t="shared" si="66"/>
        <v>0.12598946619889798</v>
      </c>
      <c r="AJ176" s="859">
        <v>0</v>
      </c>
      <c r="AK176" s="583">
        <v>0</v>
      </c>
      <c r="AL176" s="971">
        <f t="shared" si="65"/>
        <v>0</v>
      </c>
      <c r="AM176" s="971">
        <f t="shared" si="52"/>
        <v>113940</v>
      </c>
      <c r="AN176" s="858">
        <f t="shared" si="53"/>
        <v>0</v>
      </c>
      <c r="AO176" s="857" t="str">
        <f t="shared" si="54"/>
        <v/>
      </c>
      <c r="AP176" s="973">
        <f t="shared" si="55"/>
        <v>0</v>
      </c>
      <c r="AQ176" s="855">
        <f t="shared" si="56"/>
        <v>0</v>
      </c>
      <c r="AR176" s="974">
        <f t="shared" si="68"/>
        <v>0.12598946619889798</v>
      </c>
      <c r="AS176" s="975"/>
      <c r="AT176" s="976"/>
      <c r="AU176" s="971"/>
      <c r="AV176" s="976"/>
      <c r="AW176" s="970"/>
      <c r="AX176" s="971"/>
      <c r="AY176" s="971"/>
      <c r="AZ176" s="976"/>
      <c r="BA176" s="972"/>
      <c r="BB176" s="971"/>
      <c r="BC176" s="973"/>
      <c r="BD176" s="973"/>
      <c r="BE176" s="855"/>
      <c r="BF176" s="975"/>
      <c r="BG176" s="975"/>
      <c r="BH176" s="971"/>
      <c r="BI176" s="970"/>
      <c r="BJ176" s="971"/>
      <c r="BK176" s="971"/>
      <c r="BL176" s="976"/>
      <c r="BM176" s="972"/>
      <c r="BN176" s="971"/>
      <c r="BO176" s="973"/>
      <c r="BP176" s="973"/>
      <c r="BQ176" s="855"/>
      <c r="BR176" s="975"/>
      <c r="BS176" s="975"/>
      <c r="BT176" s="978"/>
      <c r="BU176" s="978"/>
      <c r="BV176" s="978">
        <v>0.13</v>
      </c>
      <c r="BW176" s="978">
        <f t="shared" si="57"/>
        <v>0.12598946619889798</v>
      </c>
    </row>
    <row r="177" spans="1:75" hidden="1">
      <c r="A177" s="980">
        <v>2606</v>
      </c>
      <c r="B177" s="979" t="s">
        <v>114</v>
      </c>
      <c r="C177" s="980" t="s">
        <v>831</v>
      </c>
      <c r="D177" s="980" t="s">
        <v>111</v>
      </c>
      <c r="E177" s="955"/>
      <c r="F177" s="955"/>
      <c r="G177" s="955" t="str">
        <f>IFERROR(VLOOKUP(D177,[3]전용!E:J,6,0),"")</f>
        <v/>
      </c>
      <c r="H177" s="854">
        <v>45026</v>
      </c>
      <c r="I177" s="955">
        <v>5</v>
      </c>
      <c r="J177" s="955" t="s">
        <v>286</v>
      </c>
      <c r="K177" s="955">
        <v>4</v>
      </c>
      <c r="L177" s="970">
        <v>1699</v>
      </c>
      <c r="M177" s="971">
        <f t="shared" si="49"/>
        <v>101940</v>
      </c>
      <c r="N177" s="855">
        <v>0.14135557038025348</v>
      </c>
      <c r="O177" s="855"/>
      <c r="P177" s="970">
        <v>1699</v>
      </c>
      <c r="Q177" s="970">
        <f t="shared" si="50"/>
        <v>0</v>
      </c>
      <c r="R177" s="971">
        <f t="shared" si="101"/>
        <v>101940</v>
      </c>
      <c r="S177" s="856">
        <f t="shared" si="58"/>
        <v>-2.8799283937640204E-2</v>
      </c>
      <c r="T177" s="971"/>
      <c r="U177" s="971"/>
      <c r="V177" s="972">
        <v>0</v>
      </c>
      <c r="W177" s="971">
        <f t="shared" si="59"/>
        <v>0</v>
      </c>
      <c r="X177" s="971">
        <f t="shared" si="60"/>
        <v>101940</v>
      </c>
      <c r="Y177" s="858">
        <f t="shared" si="61"/>
        <v>0</v>
      </c>
      <c r="Z177" s="857">
        <f t="shared" si="62"/>
        <v>2.2640252298671877</v>
      </c>
      <c r="AA177" s="856">
        <v>-2.8799283937640204E-2</v>
      </c>
      <c r="AB177" s="856">
        <v>8.7179472606119454E-2</v>
      </c>
      <c r="AC177" s="970">
        <f t="shared" si="51"/>
        <v>1799</v>
      </c>
      <c r="AD177" s="970">
        <v>100</v>
      </c>
      <c r="AE177" s="970">
        <f t="shared" si="48"/>
        <v>169.9</v>
      </c>
      <c r="AF177" s="971">
        <f t="shared" si="63"/>
        <v>107940</v>
      </c>
      <c r="AG177" s="857">
        <f t="shared" si="64"/>
        <v>5.885815185403187E-2</v>
      </c>
      <c r="AH177" s="576">
        <v>0</v>
      </c>
      <c r="AI177" s="856">
        <f t="shared" si="66"/>
        <v>4.4173052730988482E-2</v>
      </c>
      <c r="AJ177" s="859">
        <v>0</v>
      </c>
      <c r="AK177" s="583">
        <v>0</v>
      </c>
      <c r="AL177" s="971">
        <f t="shared" si="65"/>
        <v>0</v>
      </c>
      <c r="AM177" s="971">
        <f t="shared" si="52"/>
        <v>107940</v>
      </c>
      <c r="AN177" s="858">
        <f t="shared" si="53"/>
        <v>0</v>
      </c>
      <c r="AO177" s="857">
        <f t="shared" si="54"/>
        <v>2.3972815706480701</v>
      </c>
      <c r="AP177" s="973">
        <f t="shared" si="55"/>
        <v>6000</v>
      </c>
      <c r="AQ177" s="855">
        <f t="shared" si="56"/>
        <v>5.885815185403187E-2</v>
      </c>
      <c r="AR177" s="974">
        <f>IFERROR(AA177+AQ177*0.9,"")+2%</f>
        <v>4.4173052730988482E-2</v>
      </c>
      <c r="AS177" s="975"/>
      <c r="AT177" s="976"/>
      <c r="AU177" s="971"/>
      <c r="AV177" s="976"/>
      <c r="AW177" s="970"/>
      <c r="AX177" s="971"/>
      <c r="AY177" s="971"/>
      <c r="AZ177" s="976"/>
      <c r="BA177" s="972"/>
      <c r="BB177" s="971"/>
      <c r="BC177" s="973"/>
      <c r="BD177" s="973"/>
      <c r="BE177" s="855"/>
      <c r="BF177" s="975"/>
      <c r="BG177" s="975"/>
      <c r="BH177" s="971"/>
      <c r="BI177" s="970"/>
      <c r="BJ177" s="971"/>
      <c r="BK177" s="971"/>
      <c r="BL177" s="976"/>
      <c r="BM177" s="972"/>
      <c r="BN177" s="971"/>
      <c r="BO177" s="973"/>
      <c r="BP177" s="973"/>
      <c r="BQ177" s="855"/>
      <c r="BR177" s="975"/>
      <c r="BS177" s="975"/>
      <c r="BT177" s="978"/>
      <c r="BU177" s="978"/>
      <c r="BV177" s="978">
        <v>0.02</v>
      </c>
      <c r="BW177" s="978">
        <f t="shared" si="57"/>
        <v>-2.8799283937640204E-2</v>
      </c>
    </row>
    <row r="178" spans="1:75" hidden="1">
      <c r="A178" s="980">
        <v>2606</v>
      </c>
      <c r="B178" s="979" t="s">
        <v>114</v>
      </c>
      <c r="C178" s="980" t="s">
        <v>831</v>
      </c>
      <c r="D178" s="980" t="s">
        <v>107</v>
      </c>
      <c r="E178" s="955"/>
      <c r="F178" s="955"/>
      <c r="G178" s="955" t="str">
        <f>IFERROR(VLOOKUP(D178,[3]전용!E:J,6,0),"")</f>
        <v/>
      </c>
      <c r="H178" s="854">
        <v>40800</v>
      </c>
      <c r="I178" s="955">
        <v>5</v>
      </c>
      <c r="J178" s="955" t="s">
        <v>286</v>
      </c>
      <c r="K178" s="955">
        <v>4</v>
      </c>
      <c r="L178" s="970">
        <v>2249</v>
      </c>
      <c r="M178" s="971">
        <f t="shared" si="49"/>
        <v>134940</v>
      </c>
      <c r="N178" s="855">
        <v>7.4402147388970177E-2</v>
      </c>
      <c r="O178" s="855"/>
      <c r="P178" s="970">
        <v>2249</v>
      </c>
      <c r="Q178" s="970">
        <f t="shared" si="50"/>
        <v>0</v>
      </c>
      <c r="R178" s="971">
        <f t="shared" si="101"/>
        <v>134940</v>
      </c>
      <c r="S178" s="856">
        <f t="shared" si="58"/>
        <v>9.7889139572870498E-3</v>
      </c>
      <c r="T178" s="971"/>
      <c r="U178" s="971"/>
      <c r="V178" s="972">
        <v>0</v>
      </c>
      <c r="W178" s="971">
        <f t="shared" si="59"/>
        <v>0</v>
      </c>
      <c r="X178" s="971">
        <f t="shared" si="60"/>
        <v>134940</v>
      </c>
      <c r="Y178" s="858">
        <f t="shared" si="61"/>
        <v>0</v>
      </c>
      <c r="Z178" s="857">
        <f t="shared" si="62"/>
        <v>3.3073529411764704</v>
      </c>
      <c r="AA178" s="856">
        <v>9.7889139572870498E-3</v>
      </c>
      <c r="AB178" s="856">
        <v>6.9349239512650318E-2</v>
      </c>
      <c r="AC178" s="970">
        <f t="shared" si="51"/>
        <v>2349</v>
      </c>
      <c r="AD178" s="970">
        <v>100</v>
      </c>
      <c r="AE178" s="970">
        <f t="shared" si="48"/>
        <v>168.67499999999998</v>
      </c>
      <c r="AF178" s="971">
        <f t="shared" si="63"/>
        <v>140940</v>
      </c>
      <c r="AG178" s="857">
        <f t="shared" si="64"/>
        <v>4.4464206313917343E-2</v>
      </c>
      <c r="AH178" s="576">
        <v>0</v>
      </c>
      <c r="AI178" s="856">
        <f t="shared" si="66"/>
        <v>3.2021017114245723E-2</v>
      </c>
      <c r="AJ178" s="859">
        <v>0</v>
      </c>
      <c r="AK178" s="583">
        <v>0</v>
      </c>
      <c r="AL178" s="971">
        <f t="shared" si="65"/>
        <v>0</v>
      </c>
      <c r="AM178" s="971">
        <f t="shared" si="52"/>
        <v>140940</v>
      </c>
      <c r="AN178" s="858">
        <f t="shared" si="53"/>
        <v>0</v>
      </c>
      <c r="AO178" s="857">
        <f t="shared" si="54"/>
        <v>3.4544117647058825</v>
      </c>
      <c r="AP178" s="973">
        <f t="shared" si="55"/>
        <v>6000</v>
      </c>
      <c r="AQ178" s="855">
        <f t="shared" si="56"/>
        <v>4.4464206313917343E-2</v>
      </c>
      <c r="AR178" s="974">
        <f t="shared" si="68"/>
        <v>3.2021017114245723E-2</v>
      </c>
      <c r="AS178" s="975"/>
      <c r="AT178" s="976"/>
      <c r="AU178" s="971"/>
      <c r="AV178" s="976"/>
      <c r="AW178" s="970"/>
      <c r="AX178" s="971"/>
      <c r="AY178" s="971"/>
      <c r="AZ178" s="976"/>
      <c r="BA178" s="972"/>
      <c r="BB178" s="971"/>
      <c r="BC178" s="973"/>
      <c r="BD178" s="973"/>
      <c r="BE178" s="855"/>
      <c r="BF178" s="975"/>
      <c r="BG178" s="975"/>
      <c r="BH178" s="971"/>
      <c r="BI178" s="970"/>
      <c r="BJ178" s="971"/>
      <c r="BK178" s="971"/>
      <c r="BL178" s="976"/>
      <c r="BM178" s="972"/>
      <c r="BN178" s="971"/>
      <c r="BO178" s="973"/>
      <c r="BP178" s="973"/>
      <c r="BQ178" s="855"/>
      <c r="BR178" s="975"/>
      <c r="BS178" s="975"/>
      <c r="BT178" s="978"/>
      <c r="BU178" s="978"/>
      <c r="BV178" s="978">
        <v>7.0000000000000007E-2</v>
      </c>
      <c r="BW178" s="978">
        <f t="shared" si="57"/>
        <v>9.7889139572870498E-3</v>
      </c>
    </row>
    <row r="179" spans="1:75" hidden="1">
      <c r="A179" s="980">
        <v>2606</v>
      </c>
      <c r="B179" s="979" t="s">
        <v>114</v>
      </c>
      <c r="C179" s="980" t="s">
        <v>831</v>
      </c>
      <c r="D179" s="983" t="s">
        <v>112</v>
      </c>
      <c r="E179" s="955"/>
      <c r="F179" s="955"/>
      <c r="G179" s="955" t="str">
        <f>IFERROR(VLOOKUP(D179,[3]전용!E:J,6,0),"")</f>
        <v/>
      </c>
      <c r="H179" s="854">
        <v>64680</v>
      </c>
      <c r="I179" s="955">
        <v>5</v>
      </c>
      <c r="J179" s="955" t="s">
        <v>286</v>
      </c>
      <c r="K179" s="955">
        <v>4</v>
      </c>
      <c r="L179" s="970">
        <v>2499</v>
      </c>
      <c r="M179" s="971">
        <f t="shared" si="49"/>
        <v>149940</v>
      </c>
      <c r="N179" s="855">
        <v>0.1317485863418878</v>
      </c>
      <c r="O179" s="855"/>
      <c r="P179" s="970">
        <v>2499</v>
      </c>
      <c r="Q179" s="970">
        <f t="shared" si="50"/>
        <v>0</v>
      </c>
      <c r="R179" s="971">
        <f t="shared" si="101"/>
        <v>149940</v>
      </c>
      <c r="S179" s="856">
        <f t="shared" si="58"/>
        <v>-7.8198024949484024E-3</v>
      </c>
      <c r="T179" s="971"/>
      <c r="U179" s="971"/>
      <c r="V179" s="972">
        <v>0</v>
      </c>
      <c r="W179" s="971">
        <f t="shared" si="59"/>
        <v>0</v>
      </c>
      <c r="X179" s="971">
        <f t="shared" si="60"/>
        <v>149940</v>
      </c>
      <c r="Y179" s="858">
        <f t="shared" si="61"/>
        <v>0</v>
      </c>
      <c r="Z179" s="857">
        <f t="shared" si="62"/>
        <v>2.3181818181818183</v>
      </c>
      <c r="AA179" s="856">
        <v>-7.8198024949484024E-3</v>
      </c>
      <c r="AB179" s="856">
        <v>8.5471580764518107E-2</v>
      </c>
      <c r="AC179" s="970">
        <f t="shared" si="51"/>
        <v>2599</v>
      </c>
      <c r="AD179" s="970">
        <v>100</v>
      </c>
      <c r="AE179" s="970">
        <f t="shared" si="48"/>
        <v>249.9</v>
      </c>
      <c r="AF179" s="971">
        <f t="shared" si="63"/>
        <v>155940</v>
      </c>
      <c r="AG179" s="857">
        <f t="shared" si="64"/>
        <v>4.0016006402560977E-2</v>
      </c>
      <c r="AH179" s="576">
        <v>0</v>
      </c>
      <c r="AI179" s="856">
        <f t="shared" si="66"/>
        <v>2.8194603267356476E-2</v>
      </c>
      <c r="AJ179" s="859">
        <v>0</v>
      </c>
      <c r="AK179" s="583">
        <v>0</v>
      </c>
      <c r="AL179" s="971">
        <f t="shared" si="65"/>
        <v>0</v>
      </c>
      <c r="AM179" s="971">
        <f t="shared" si="52"/>
        <v>155940</v>
      </c>
      <c r="AN179" s="858">
        <f t="shared" si="53"/>
        <v>0</v>
      </c>
      <c r="AO179" s="857">
        <f t="shared" si="54"/>
        <v>2.4109461966604822</v>
      </c>
      <c r="AP179" s="973">
        <f t="shared" si="55"/>
        <v>6000</v>
      </c>
      <c r="AQ179" s="855">
        <f t="shared" si="56"/>
        <v>4.0016006402560977E-2</v>
      </c>
      <c r="AR179" s="974">
        <f>IFERROR(AA179+AQ179*0.9,"")</f>
        <v>2.8194603267356476E-2</v>
      </c>
      <c r="AS179" s="975"/>
      <c r="AT179" s="976"/>
      <c r="AU179" s="971"/>
      <c r="AV179" s="976"/>
      <c r="AW179" s="970"/>
      <c r="AX179" s="971"/>
      <c r="AY179" s="971"/>
      <c r="AZ179" s="976"/>
      <c r="BA179" s="972"/>
      <c r="BB179" s="971"/>
      <c r="BC179" s="973"/>
      <c r="BD179" s="973"/>
      <c r="BE179" s="855"/>
      <c r="BF179" s="975"/>
      <c r="BG179" s="975"/>
      <c r="BH179" s="971"/>
      <c r="BI179" s="970"/>
      <c r="BJ179" s="971"/>
      <c r="BK179" s="971"/>
      <c r="BL179" s="976"/>
      <c r="BM179" s="972"/>
      <c r="BN179" s="971"/>
      <c r="BO179" s="973"/>
      <c r="BP179" s="973"/>
      <c r="BQ179" s="855"/>
      <c r="BR179" s="975"/>
      <c r="BS179" s="975"/>
      <c r="BT179" s="978"/>
      <c r="BU179" s="978"/>
      <c r="BV179" s="978">
        <v>0.08</v>
      </c>
      <c r="BW179" s="978">
        <f t="shared" si="57"/>
        <v>-7.8198024949484024E-3</v>
      </c>
    </row>
    <row r="180" spans="1:75" hidden="1">
      <c r="A180" s="980">
        <v>2606</v>
      </c>
      <c r="B180" s="979" t="s">
        <v>114</v>
      </c>
      <c r="C180" s="980" t="s">
        <v>831</v>
      </c>
      <c r="D180" s="980" t="s">
        <v>108</v>
      </c>
      <c r="E180" s="955"/>
      <c r="F180" s="955"/>
      <c r="G180" s="955" t="str">
        <f>IFERROR(VLOOKUP(D180,[3]전용!E:J,6,0),"")</f>
        <v/>
      </c>
      <c r="H180" s="854">
        <v>44880</v>
      </c>
      <c r="I180" s="955">
        <v>5</v>
      </c>
      <c r="J180" s="955" t="s">
        <v>286</v>
      </c>
      <c r="K180" s="955">
        <v>4</v>
      </c>
      <c r="L180" s="970">
        <v>2499</v>
      </c>
      <c r="M180" s="971">
        <f t="shared" si="49"/>
        <v>149940</v>
      </c>
      <c r="N180" s="855">
        <v>9.1748586341887817E-2</v>
      </c>
      <c r="O180" s="855"/>
      <c r="P180" s="970">
        <v>2499</v>
      </c>
      <c r="Q180" s="970">
        <f t="shared" si="50"/>
        <v>0</v>
      </c>
      <c r="R180" s="971">
        <f t="shared" si="101"/>
        <v>149940</v>
      </c>
      <c r="S180" s="856">
        <f t="shared" si="58"/>
        <v>0.12232310690231166</v>
      </c>
      <c r="T180" s="971"/>
      <c r="U180" s="971"/>
      <c r="V180" s="972">
        <v>0</v>
      </c>
      <c r="W180" s="971">
        <f t="shared" si="59"/>
        <v>0</v>
      </c>
      <c r="X180" s="971">
        <f t="shared" si="60"/>
        <v>149940</v>
      </c>
      <c r="Y180" s="858">
        <f t="shared" si="61"/>
        <v>0</v>
      </c>
      <c r="Z180" s="857">
        <f t="shared" si="62"/>
        <v>3.3409090909090908</v>
      </c>
      <c r="AA180" s="856">
        <v>0.12232310690231166</v>
      </c>
      <c r="AB180" s="856">
        <v>2.4861790920522417E-2</v>
      </c>
      <c r="AC180" s="970">
        <f t="shared" si="51"/>
        <v>2499</v>
      </c>
      <c r="AD180" s="970"/>
      <c r="AE180" s="970">
        <f t="shared" ref="AE180:AE206" si="103">IF(AA180&gt;10%,0,IF(AA180&gt;5%,P180*0.04,IF(AA180&gt;0%,P180*0.075, P180*0.1)))</f>
        <v>0</v>
      </c>
      <c r="AF180" s="971">
        <f t="shared" si="63"/>
        <v>149940</v>
      </c>
      <c r="AG180" s="857">
        <f t="shared" si="64"/>
        <v>0</v>
      </c>
      <c r="AH180" s="576">
        <v>0</v>
      </c>
      <c r="AI180" s="856">
        <f t="shared" si="66"/>
        <v>0.12232310690231166</v>
      </c>
      <c r="AJ180" s="859">
        <v>0</v>
      </c>
      <c r="AK180" s="583">
        <v>0</v>
      </c>
      <c r="AL180" s="971">
        <f t="shared" si="65"/>
        <v>0</v>
      </c>
      <c r="AM180" s="971">
        <f t="shared" si="52"/>
        <v>149940</v>
      </c>
      <c r="AN180" s="858">
        <f t="shared" si="53"/>
        <v>0</v>
      </c>
      <c r="AO180" s="857">
        <f t="shared" si="54"/>
        <v>3.3409090909090908</v>
      </c>
      <c r="AP180" s="973">
        <f t="shared" si="55"/>
        <v>0</v>
      </c>
      <c r="AQ180" s="855">
        <f t="shared" si="56"/>
        <v>0</v>
      </c>
      <c r="AR180" s="974">
        <f t="shared" si="68"/>
        <v>0.12232310690231166</v>
      </c>
      <c r="AS180" s="975"/>
      <c r="AT180" s="976"/>
      <c r="AU180" s="971"/>
      <c r="AV180" s="976"/>
      <c r="AW180" s="970"/>
      <c r="AX180" s="971"/>
      <c r="AY180" s="971"/>
      <c r="AZ180" s="976"/>
      <c r="BA180" s="972"/>
      <c r="BB180" s="971"/>
      <c r="BC180" s="973"/>
      <c r="BD180" s="973"/>
      <c r="BE180" s="855"/>
      <c r="BF180" s="975"/>
      <c r="BG180" s="975"/>
      <c r="BH180" s="971"/>
      <c r="BI180" s="970"/>
      <c r="BJ180" s="971"/>
      <c r="BK180" s="971"/>
      <c r="BL180" s="976"/>
      <c r="BM180" s="972"/>
      <c r="BN180" s="971"/>
      <c r="BO180" s="973"/>
      <c r="BP180" s="973"/>
      <c r="BQ180" s="855"/>
      <c r="BR180" s="975"/>
      <c r="BS180" s="975"/>
      <c r="BT180" s="978"/>
      <c r="BU180" s="978"/>
      <c r="BV180" s="978">
        <v>0.12</v>
      </c>
      <c r="BW180" s="978">
        <f t="shared" si="57"/>
        <v>0.12232310690231166</v>
      </c>
    </row>
    <row r="181" spans="1:75" hidden="1">
      <c r="A181" s="980">
        <v>2606</v>
      </c>
      <c r="B181" s="979" t="s">
        <v>114</v>
      </c>
      <c r="C181" s="980" t="s">
        <v>831</v>
      </c>
      <c r="D181" s="983" t="s">
        <v>113</v>
      </c>
      <c r="E181" s="955"/>
      <c r="F181" s="955"/>
      <c r="G181" s="955" t="str">
        <f>IFERROR(VLOOKUP(D181,[3]전용!E:J,6,0),"")</f>
        <v/>
      </c>
      <c r="H181" s="854">
        <v>72060</v>
      </c>
      <c r="I181" s="955">
        <v>5</v>
      </c>
      <c r="J181" s="955" t="s">
        <v>286</v>
      </c>
      <c r="K181" s="955">
        <v>4</v>
      </c>
      <c r="L181" s="970">
        <v>2699</v>
      </c>
      <c r="M181" s="971">
        <f t="shared" si="49"/>
        <v>161940</v>
      </c>
      <c r="N181" s="855">
        <v>0.15000800320128049</v>
      </c>
      <c r="O181" s="855"/>
      <c r="P181" s="970">
        <v>2699</v>
      </c>
      <c r="Q181" s="970">
        <f t="shared" si="50"/>
        <v>0</v>
      </c>
      <c r="R181" s="971">
        <f t="shared" si="101"/>
        <v>161940</v>
      </c>
      <c r="S181" s="856">
        <f t="shared" si="58"/>
        <v>-2.9180465031913905E-2</v>
      </c>
      <c r="T181" s="971"/>
      <c r="U181" s="971"/>
      <c r="V181" s="972">
        <v>0</v>
      </c>
      <c r="W181" s="971">
        <f t="shared" si="59"/>
        <v>0</v>
      </c>
      <c r="X181" s="971">
        <f t="shared" si="60"/>
        <v>161940</v>
      </c>
      <c r="Y181" s="858">
        <f t="shared" si="61"/>
        <v>0</v>
      </c>
      <c r="Z181" s="857">
        <f t="shared" si="62"/>
        <v>2.2472939217318899</v>
      </c>
      <c r="AA181" s="856">
        <v>-2.9180465031913905E-2</v>
      </c>
      <c r="AB181" s="856">
        <v>0.19425256875518768</v>
      </c>
      <c r="AC181" s="970">
        <f t="shared" si="51"/>
        <v>2799</v>
      </c>
      <c r="AD181" s="970">
        <v>100</v>
      </c>
      <c r="AE181" s="970">
        <f t="shared" si="103"/>
        <v>269.90000000000003</v>
      </c>
      <c r="AF181" s="971">
        <f t="shared" si="63"/>
        <v>167940</v>
      </c>
      <c r="AG181" s="857">
        <f t="shared" si="64"/>
        <v>3.7050759540570688E-2</v>
      </c>
      <c r="AH181" s="576">
        <v>0</v>
      </c>
      <c r="AI181" s="856">
        <f t="shared" si="66"/>
        <v>2.4165218554599719E-2</v>
      </c>
      <c r="AJ181" s="859">
        <v>0</v>
      </c>
      <c r="AK181" s="583">
        <v>0</v>
      </c>
      <c r="AL181" s="971">
        <f t="shared" si="65"/>
        <v>0</v>
      </c>
      <c r="AM181" s="971">
        <f t="shared" si="52"/>
        <v>167940</v>
      </c>
      <c r="AN181" s="858">
        <f t="shared" si="53"/>
        <v>0</v>
      </c>
      <c r="AO181" s="857">
        <f t="shared" si="54"/>
        <v>2.330557868442964</v>
      </c>
      <c r="AP181" s="973">
        <f t="shared" si="55"/>
        <v>6000</v>
      </c>
      <c r="AQ181" s="855">
        <f t="shared" si="56"/>
        <v>3.7050759540570688E-2</v>
      </c>
      <c r="AR181" s="974">
        <f>IFERROR(AA181+AQ181*0.9,"")+2%</f>
        <v>2.4165218554599719E-2</v>
      </c>
      <c r="AS181" s="975"/>
      <c r="AT181" s="976"/>
      <c r="AU181" s="971"/>
      <c r="AV181" s="976"/>
      <c r="AW181" s="970"/>
      <c r="AX181" s="971"/>
      <c r="AY181" s="971"/>
      <c r="AZ181" s="976"/>
      <c r="BA181" s="972"/>
      <c r="BB181" s="971"/>
      <c r="BC181" s="973"/>
      <c r="BD181" s="973"/>
      <c r="BE181" s="855"/>
      <c r="BF181" s="975"/>
      <c r="BG181" s="975"/>
      <c r="BH181" s="971"/>
      <c r="BI181" s="970"/>
      <c r="BJ181" s="971"/>
      <c r="BK181" s="971"/>
      <c r="BL181" s="976"/>
      <c r="BM181" s="972"/>
      <c r="BN181" s="971"/>
      <c r="BO181" s="973"/>
      <c r="BP181" s="973"/>
      <c r="BQ181" s="855"/>
      <c r="BR181" s="975"/>
      <c r="BS181" s="975"/>
      <c r="BT181" s="978"/>
      <c r="BU181" s="978"/>
      <c r="BV181" s="978">
        <v>0.01</v>
      </c>
      <c r="BW181" s="978">
        <f t="shared" si="57"/>
        <v>-2.9180465031913905E-2</v>
      </c>
    </row>
    <row r="182" spans="1:75" hidden="1">
      <c r="A182" s="980">
        <v>2606</v>
      </c>
      <c r="B182" s="979" t="s">
        <v>114</v>
      </c>
      <c r="C182" s="980" t="s">
        <v>831</v>
      </c>
      <c r="D182" s="980" t="s">
        <v>102</v>
      </c>
      <c r="E182" s="955"/>
      <c r="F182" s="955"/>
      <c r="G182" s="955" t="str">
        <f>IFERROR(VLOOKUP(D182,[3]전용!E:J,6,0),"")</f>
        <v/>
      </c>
      <c r="H182" s="854">
        <v>24510</v>
      </c>
      <c r="I182" s="955">
        <v>5</v>
      </c>
      <c r="J182" s="955" t="s">
        <v>286</v>
      </c>
      <c r="K182" s="955">
        <v>4</v>
      </c>
      <c r="L182" s="970">
        <v>1599</v>
      </c>
      <c r="M182" s="971">
        <f t="shared" si="49"/>
        <v>95940</v>
      </c>
      <c r="N182" s="855">
        <v>0.13573981415296646</v>
      </c>
      <c r="O182" s="855"/>
      <c r="P182" s="970">
        <v>1599</v>
      </c>
      <c r="Q182" s="970">
        <f t="shared" si="50"/>
        <v>0</v>
      </c>
      <c r="R182" s="971">
        <f t="shared" si="101"/>
        <v>95940</v>
      </c>
      <c r="S182" s="856">
        <f t="shared" si="58"/>
        <v>0.20784624972787466</v>
      </c>
      <c r="T182" s="971"/>
      <c r="U182" s="971"/>
      <c r="V182" s="1029">
        <v>0</v>
      </c>
      <c r="W182" s="971">
        <f t="shared" si="59"/>
        <v>0</v>
      </c>
      <c r="X182" s="971">
        <f t="shared" si="60"/>
        <v>95940</v>
      </c>
      <c r="Y182" s="858">
        <f t="shared" si="61"/>
        <v>0</v>
      </c>
      <c r="Z182" s="857">
        <f t="shared" si="62"/>
        <v>3.9143206854345167</v>
      </c>
      <c r="AA182" s="856">
        <v>0.20784624972787466</v>
      </c>
      <c r="AB182" s="856">
        <v>7.7023128706586296E-3</v>
      </c>
      <c r="AC182" s="970">
        <f t="shared" si="51"/>
        <v>1599</v>
      </c>
      <c r="AD182" s="970"/>
      <c r="AE182" s="970">
        <f t="shared" si="103"/>
        <v>0</v>
      </c>
      <c r="AF182" s="971">
        <f t="shared" si="63"/>
        <v>95940</v>
      </c>
      <c r="AG182" s="857">
        <f t="shared" si="64"/>
        <v>0</v>
      </c>
      <c r="AH182" s="576">
        <v>0</v>
      </c>
      <c r="AI182" s="856">
        <f t="shared" si="66"/>
        <v>0.20784624972787466</v>
      </c>
      <c r="AJ182" s="859">
        <v>0</v>
      </c>
      <c r="AK182" s="583">
        <v>0</v>
      </c>
      <c r="AL182" s="971">
        <f t="shared" si="65"/>
        <v>0</v>
      </c>
      <c r="AM182" s="971">
        <f t="shared" si="52"/>
        <v>95940</v>
      </c>
      <c r="AN182" s="858">
        <f t="shared" si="53"/>
        <v>0</v>
      </c>
      <c r="AO182" s="857">
        <f t="shared" si="54"/>
        <v>3.9143206854345167</v>
      </c>
      <c r="AP182" s="973">
        <f t="shared" si="55"/>
        <v>0</v>
      </c>
      <c r="AQ182" s="855">
        <f t="shared" si="56"/>
        <v>0</v>
      </c>
      <c r="AR182" s="974">
        <f t="shared" si="68"/>
        <v>0.20784624972787466</v>
      </c>
      <c r="AS182" s="975"/>
      <c r="AT182" s="976"/>
      <c r="AU182" s="971"/>
      <c r="AV182" s="976"/>
      <c r="AW182" s="970"/>
      <c r="AX182" s="971"/>
      <c r="AY182" s="971"/>
      <c r="AZ182" s="976"/>
      <c r="BA182" s="972"/>
      <c r="BB182" s="971"/>
      <c r="BC182" s="973"/>
      <c r="BD182" s="973"/>
      <c r="BE182" s="855"/>
      <c r="BF182" s="975"/>
      <c r="BG182" s="975"/>
      <c r="BH182" s="971"/>
      <c r="BI182" s="970"/>
      <c r="BJ182" s="971"/>
      <c r="BK182" s="971"/>
      <c r="BL182" s="976"/>
      <c r="BM182" s="972"/>
      <c r="BN182" s="971"/>
      <c r="BO182" s="973"/>
      <c r="BP182" s="973"/>
      <c r="BQ182" s="855"/>
      <c r="BR182" s="975"/>
      <c r="BS182" s="975"/>
      <c r="BT182" s="978"/>
      <c r="BU182" s="978"/>
      <c r="BV182" s="978">
        <v>0.21</v>
      </c>
      <c r="BW182" s="978">
        <f t="shared" si="57"/>
        <v>0.16984624972787465</v>
      </c>
    </row>
    <row r="183" spans="1:75" hidden="1">
      <c r="A183" s="980">
        <v>2606</v>
      </c>
      <c r="B183" s="979" t="s">
        <v>114</v>
      </c>
      <c r="C183" s="980" t="s">
        <v>831</v>
      </c>
      <c r="D183" s="980" t="s">
        <v>103</v>
      </c>
      <c r="E183" s="955"/>
      <c r="F183" s="955"/>
      <c r="G183" s="955" t="str">
        <f>IFERROR(VLOOKUP(D183,[3]전용!E:J,6,0),"")</f>
        <v/>
      </c>
      <c r="H183" s="854">
        <v>27712</v>
      </c>
      <c r="I183" s="955">
        <v>5</v>
      </c>
      <c r="J183" s="955" t="s">
        <v>286</v>
      </c>
      <c r="K183" s="955">
        <v>4</v>
      </c>
      <c r="L183" s="970">
        <v>1699</v>
      </c>
      <c r="M183" s="971">
        <f t="shared" si="49"/>
        <v>101940</v>
      </c>
      <c r="N183" s="855">
        <v>3.3555703802534975E-3</v>
      </c>
      <c r="O183" s="855"/>
      <c r="P183" s="970">
        <v>1699</v>
      </c>
      <c r="Q183" s="970">
        <f t="shared" si="50"/>
        <v>0</v>
      </c>
      <c r="R183" s="971">
        <f t="shared" si="101"/>
        <v>101940</v>
      </c>
      <c r="S183" s="856">
        <f t="shared" si="58"/>
        <v>0.12376222001517392</v>
      </c>
      <c r="T183" s="971"/>
      <c r="U183" s="971"/>
      <c r="V183" s="1029">
        <v>0</v>
      </c>
      <c r="W183" s="971">
        <f t="shared" si="59"/>
        <v>0</v>
      </c>
      <c r="X183" s="971">
        <f t="shared" si="60"/>
        <v>101940</v>
      </c>
      <c r="Y183" s="865">
        <f t="shared" si="61"/>
        <v>0</v>
      </c>
      <c r="Z183" s="857">
        <f t="shared" si="62"/>
        <v>3.6785508083140877</v>
      </c>
      <c r="AA183" s="856">
        <v>0.12376222001517392</v>
      </c>
      <c r="AB183" s="856">
        <v>4.3786149579202547E-3</v>
      </c>
      <c r="AC183" s="970">
        <f t="shared" si="51"/>
        <v>1699</v>
      </c>
      <c r="AD183" s="970"/>
      <c r="AE183" s="970">
        <f t="shared" si="103"/>
        <v>0</v>
      </c>
      <c r="AF183" s="971">
        <f t="shared" si="63"/>
        <v>101940</v>
      </c>
      <c r="AG183" s="857">
        <f t="shared" si="64"/>
        <v>0</v>
      </c>
      <c r="AH183" s="576">
        <v>0</v>
      </c>
      <c r="AI183" s="856">
        <f t="shared" si="66"/>
        <v>0.12376222001517392</v>
      </c>
      <c r="AJ183" s="859">
        <v>0</v>
      </c>
      <c r="AK183" s="583">
        <v>0</v>
      </c>
      <c r="AL183" s="971">
        <f t="shared" si="65"/>
        <v>0</v>
      </c>
      <c r="AM183" s="971">
        <f t="shared" si="52"/>
        <v>101940</v>
      </c>
      <c r="AN183" s="858">
        <f t="shared" si="53"/>
        <v>0</v>
      </c>
      <c r="AO183" s="857">
        <f t="shared" si="54"/>
        <v>3.6785508083140877</v>
      </c>
      <c r="AP183" s="973">
        <f t="shared" si="55"/>
        <v>0</v>
      </c>
      <c r="AQ183" s="855">
        <f t="shared" si="56"/>
        <v>0</v>
      </c>
      <c r="AR183" s="974">
        <f t="shared" si="68"/>
        <v>0.12376222001517392</v>
      </c>
      <c r="AS183" s="975"/>
      <c r="AT183" s="976"/>
      <c r="AU183" s="971"/>
      <c r="AV183" s="976"/>
      <c r="AW183" s="970"/>
      <c r="AX183" s="971"/>
      <c r="AY183" s="971"/>
      <c r="AZ183" s="976"/>
      <c r="BA183" s="972"/>
      <c r="BB183" s="971"/>
      <c r="BC183" s="973"/>
      <c r="BD183" s="973"/>
      <c r="BE183" s="855"/>
      <c r="BF183" s="975"/>
      <c r="BG183" s="975"/>
      <c r="BH183" s="971"/>
      <c r="BI183" s="970"/>
      <c r="BJ183" s="971"/>
      <c r="BK183" s="971"/>
      <c r="BL183" s="976"/>
      <c r="BM183" s="972"/>
      <c r="BN183" s="971"/>
      <c r="BO183" s="973"/>
      <c r="BP183" s="973"/>
      <c r="BQ183" s="855"/>
      <c r="BR183" s="975"/>
      <c r="BS183" s="975"/>
      <c r="BT183" s="978"/>
      <c r="BU183" s="978"/>
      <c r="BV183" s="978">
        <v>0.12</v>
      </c>
      <c r="BW183" s="978">
        <f t="shared" si="57"/>
        <v>0.12376222001517392</v>
      </c>
    </row>
    <row r="184" spans="1:75" hidden="1">
      <c r="A184" s="980">
        <v>2606</v>
      </c>
      <c r="B184" s="979" t="s">
        <v>114</v>
      </c>
      <c r="C184" s="980" t="s">
        <v>831</v>
      </c>
      <c r="D184" s="980" t="s">
        <v>104</v>
      </c>
      <c r="E184" s="955"/>
      <c r="F184" s="955"/>
      <c r="G184" s="955" t="str">
        <f>IFERROR(VLOOKUP(D184,[3]전용!E:J,6,0),"")</f>
        <v/>
      </c>
      <c r="H184" s="854">
        <v>37590</v>
      </c>
      <c r="I184" s="955">
        <v>5</v>
      </c>
      <c r="J184" s="955" t="s">
        <v>286</v>
      </c>
      <c r="K184" s="955">
        <v>4</v>
      </c>
      <c r="L184" s="970">
        <v>1849</v>
      </c>
      <c r="M184" s="971">
        <f t="shared" si="49"/>
        <v>110940</v>
      </c>
      <c r="N184" s="855">
        <v>0.13232140691328076</v>
      </c>
      <c r="O184" s="855"/>
      <c r="P184" s="970">
        <v>1849</v>
      </c>
      <c r="Q184" s="970">
        <f t="shared" si="50"/>
        <v>0</v>
      </c>
      <c r="R184" s="971">
        <f t="shared" si="101"/>
        <v>110940</v>
      </c>
      <c r="S184" s="856">
        <f t="shared" si="58"/>
        <v>0.25088206240171979</v>
      </c>
      <c r="T184" s="971"/>
      <c r="U184" s="971"/>
      <c r="V184" s="1029">
        <v>0</v>
      </c>
      <c r="W184" s="971">
        <f t="shared" si="59"/>
        <v>0</v>
      </c>
      <c r="X184" s="971">
        <f t="shared" si="60"/>
        <v>110940</v>
      </c>
      <c r="Y184" s="865">
        <f t="shared" si="61"/>
        <v>0</v>
      </c>
      <c r="Z184" s="857">
        <f t="shared" si="62"/>
        <v>2.951316839584996</v>
      </c>
      <c r="AA184" s="856">
        <v>0.25088206240171979</v>
      </c>
      <c r="AB184" s="856">
        <v>2.6967020089680493E-2</v>
      </c>
      <c r="AC184" s="970">
        <f t="shared" si="51"/>
        <v>1849</v>
      </c>
      <c r="AD184" s="970"/>
      <c r="AE184" s="970">
        <f t="shared" si="103"/>
        <v>0</v>
      </c>
      <c r="AF184" s="971">
        <f t="shared" si="63"/>
        <v>110940</v>
      </c>
      <c r="AG184" s="857">
        <f t="shared" si="64"/>
        <v>0</v>
      </c>
      <c r="AH184" s="576">
        <v>0</v>
      </c>
      <c r="AI184" s="856">
        <f t="shared" si="66"/>
        <v>0.25088206240171979</v>
      </c>
      <c r="AJ184" s="859">
        <v>0</v>
      </c>
      <c r="AK184" s="583">
        <v>0</v>
      </c>
      <c r="AL184" s="971">
        <f t="shared" si="65"/>
        <v>0</v>
      </c>
      <c r="AM184" s="971">
        <f t="shared" si="52"/>
        <v>110940</v>
      </c>
      <c r="AN184" s="858">
        <f t="shared" si="53"/>
        <v>0</v>
      </c>
      <c r="AO184" s="857">
        <f t="shared" si="54"/>
        <v>2.951316839584996</v>
      </c>
      <c r="AP184" s="973">
        <f t="shared" si="55"/>
        <v>0</v>
      </c>
      <c r="AQ184" s="855">
        <f t="shared" si="56"/>
        <v>0</v>
      </c>
      <c r="AR184" s="974">
        <f t="shared" si="68"/>
        <v>0.25088206240171979</v>
      </c>
      <c r="AS184" s="975"/>
      <c r="AT184" s="976"/>
      <c r="AU184" s="971"/>
      <c r="AV184" s="976"/>
      <c r="AW184" s="970"/>
      <c r="AX184" s="971"/>
      <c r="AY184" s="971"/>
      <c r="AZ184" s="976"/>
      <c r="BA184" s="972"/>
      <c r="BB184" s="971"/>
      <c r="BC184" s="973"/>
      <c r="BD184" s="973"/>
      <c r="BE184" s="855"/>
      <c r="BF184" s="975"/>
      <c r="BG184" s="975"/>
      <c r="BH184" s="971"/>
      <c r="BI184" s="970"/>
      <c r="BJ184" s="971"/>
      <c r="BK184" s="971"/>
      <c r="BL184" s="976"/>
      <c r="BM184" s="972"/>
      <c r="BN184" s="971"/>
      <c r="BO184" s="973"/>
      <c r="BP184" s="973"/>
      <c r="BQ184" s="855"/>
      <c r="BR184" s="975"/>
      <c r="BS184" s="975"/>
      <c r="BT184" s="978"/>
      <c r="BU184" s="978"/>
      <c r="BV184" s="978">
        <v>0.151</v>
      </c>
      <c r="BW184" s="978">
        <f t="shared" si="57"/>
        <v>0.21288206240171978</v>
      </c>
    </row>
    <row r="185" spans="1:75" hidden="1">
      <c r="A185" s="1031">
        <v>2606</v>
      </c>
      <c r="B185" s="1030" t="s">
        <v>292</v>
      </c>
      <c r="C185" s="1031" t="s">
        <v>829</v>
      </c>
      <c r="D185" s="1031" t="s">
        <v>914</v>
      </c>
      <c r="E185" s="1032" t="s">
        <v>90</v>
      </c>
      <c r="F185" s="1030"/>
      <c r="G185" s="955" t="str">
        <f>IFERROR(VLOOKUP(D185,[3]전용!E:J,6,0),"")</f>
        <v/>
      </c>
      <c r="H185" s="866">
        <v>94990</v>
      </c>
      <c r="I185" s="1030">
        <v>5</v>
      </c>
      <c r="J185" s="1030" t="s">
        <v>215</v>
      </c>
      <c r="K185" s="1030" t="s">
        <v>834</v>
      </c>
      <c r="L185" s="1033">
        <v>1999</v>
      </c>
      <c r="M185" s="1034">
        <f t="shared" si="49"/>
        <v>119940</v>
      </c>
      <c r="N185" s="867">
        <v>0.33957834461858283</v>
      </c>
      <c r="O185" s="867"/>
      <c r="P185" s="1033">
        <v>1999</v>
      </c>
      <c r="Q185" s="1033">
        <f t="shared" si="50"/>
        <v>0</v>
      </c>
      <c r="R185" s="1034">
        <f t="shared" si="101"/>
        <v>119940</v>
      </c>
      <c r="S185" s="856">
        <f t="shared" si="58"/>
        <v>0.1876789493939611</v>
      </c>
      <c r="T185" s="1034"/>
      <c r="U185" s="1035"/>
      <c r="V185" s="1031">
        <v>12</v>
      </c>
      <c r="W185" s="971">
        <f t="shared" si="59"/>
        <v>11994</v>
      </c>
      <c r="X185" s="971">
        <f t="shared" si="60"/>
        <v>107946</v>
      </c>
      <c r="Y185" s="868">
        <f t="shared" si="61"/>
        <v>-9.9999999999999978E-2</v>
      </c>
      <c r="Z185" s="861">
        <f t="shared" si="62"/>
        <v>1.1363933045583745</v>
      </c>
      <c r="AA185" s="856">
        <v>0.13767894939396111</v>
      </c>
      <c r="AB185" s="856">
        <v>4.9177276837433864E-5</v>
      </c>
      <c r="AC185" s="970">
        <f t="shared" si="51"/>
        <v>1999</v>
      </c>
      <c r="AD185" s="970"/>
      <c r="AE185" s="970">
        <f t="shared" si="103"/>
        <v>0</v>
      </c>
      <c r="AF185" s="971">
        <f t="shared" si="63"/>
        <v>119940</v>
      </c>
      <c r="AG185" s="861">
        <f t="shared" si="64"/>
        <v>0</v>
      </c>
      <c r="AH185" s="576">
        <v>0</v>
      </c>
      <c r="AI185" s="856">
        <f t="shared" si="66"/>
        <v>0.14045672717173888</v>
      </c>
      <c r="AJ185" s="859">
        <v>0</v>
      </c>
      <c r="AK185" s="583">
        <v>6</v>
      </c>
      <c r="AL185" s="971">
        <f t="shared" si="65"/>
        <v>5997</v>
      </c>
      <c r="AM185" s="971">
        <f t="shared" si="52"/>
        <v>113943</v>
      </c>
      <c r="AN185" s="856">
        <f t="shared" si="53"/>
        <v>-5.0000000000000044E-2</v>
      </c>
      <c r="AO185" s="857">
        <f t="shared" si="54"/>
        <v>1.1995262659227288</v>
      </c>
      <c r="AP185" s="973">
        <f t="shared" si="55"/>
        <v>5997</v>
      </c>
      <c r="AQ185" s="855">
        <f t="shared" si="56"/>
        <v>5.555555555555558E-2</v>
      </c>
      <c r="AR185" s="974">
        <f t="shared" si="68"/>
        <v>0.1654567271717389</v>
      </c>
      <c r="AS185" s="975"/>
      <c r="AT185" s="976"/>
      <c r="AU185" s="971"/>
      <c r="AV185" s="976"/>
      <c r="AW185" s="970"/>
      <c r="AX185" s="971"/>
      <c r="AY185" s="971"/>
      <c r="AZ185" s="976"/>
      <c r="BA185" s="972"/>
      <c r="BB185" s="971"/>
      <c r="BC185" s="973"/>
      <c r="BD185" s="973"/>
      <c r="BE185" s="855"/>
      <c r="BF185" s="975"/>
      <c r="BG185" s="975"/>
      <c r="BH185" s="971"/>
      <c r="BI185" s="970"/>
      <c r="BJ185" s="971"/>
      <c r="BK185" s="971"/>
      <c r="BL185" s="976"/>
      <c r="BM185" s="972"/>
      <c r="BN185" s="971"/>
      <c r="BO185" s="973"/>
      <c r="BP185" s="973"/>
      <c r="BQ185" s="855"/>
      <c r="BR185" s="975"/>
      <c r="BS185" s="975"/>
      <c r="BT185" s="978"/>
      <c r="BU185" s="978"/>
      <c r="BV185" s="978">
        <v>0.13767894939396111</v>
      </c>
      <c r="BW185" s="978">
        <f t="shared" si="57"/>
        <v>0.13767894939396111</v>
      </c>
    </row>
    <row r="186" spans="1:75" hidden="1">
      <c r="A186" s="1031">
        <v>2606</v>
      </c>
      <c r="B186" s="1030" t="s">
        <v>292</v>
      </c>
      <c r="C186" s="1031" t="s">
        <v>829</v>
      </c>
      <c r="D186" s="1031" t="s">
        <v>464</v>
      </c>
      <c r="E186" s="1032" t="s">
        <v>837</v>
      </c>
      <c r="F186" s="1030"/>
      <c r="G186" s="955" t="str">
        <f>IFERROR(VLOOKUP(D186,[3]전용!E:J,6,0),"")</f>
        <v/>
      </c>
      <c r="H186" s="869">
        <v>68160</v>
      </c>
      <c r="I186" s="1030">
        <v>5</v>
      </c>
      <c r="J186" s="1030" t="s">
        <v>215</v>
      </c>
      <c r="K186" s="1030" t="s">
        <v>834</v>
      </c>
      <c r="L186" s="1033">
        <v>1299</v>
      </c>
      <c r="M186" s="1034">
        <f t="shared" si="49"/>
        <v>77940</v>
      </c>
      <c r="N186" s="867">
        <v>0.2882889365074166</v>
      </c>
      <c r="O186" s="867"/>
      <c r="P186" s="1033">
        <v>1299</v>
      </c>
      <c r="Q186" s="1033">
        <f t="shared" si="50"/>
        <v>0</v>
      </c>
      <c r="R186" s="1034">
        <f t="shared" si="101"/>
        <v>77940</v>
      </c>
      <c r="S186" s="856">
        <f t="shared" si="58"/>
        <v>0.1840871596150318</v>
      </c>
      <c r="T186" s="1034"/>
      <c r="U186" s="1035"/>
      <c r="V186" s="1031">
        <v>12</v>
      </c>
      <c r="W186" s="971">
        <f t="shared" si="59"/>
        <v>7794</v>
      </c>
      <c r="X186" s="971">
        <f t="shared" si="60"/>
        <v>70146</v>
      </c>
      <c r="Y186" s="865">
        <f t="shared" si="61"/>
        <v>-9.9999999999999978E-2</v>
      </c>
      <c r="Z186" s="857">
        <f t="shared" si="62"/>
        <v>1.0291373239436619</v>
      </c>
      <c r="AA186" s="856">
        <v>0.13408715961503181</v>
      </c>
      <c r="AB186" s="856">
        <v>4.1235528018488729E-5</v>
      </c>
      <c r="AC186" s="970">
        <f t="shared" si="51"/>
        <v>1299</v>
      </c>
      <c r="AD186" s="970"/>
      <c r="AE186" s="970">
        <f t="shared" si="103"/>
        <v>0</v>
      </c>
      <c r="AF186" s="971">
        <f t="shared" si="63"/>
        <v>77940</v>
      </c>
      <c r="AG186" s="857">
        <f t="shared" si="64"/>
        <v>0</v>
      </c>
      <c r="AH186" s="576">
        <v>0</v>
      </c>
      <c r="AI186" s="856">
        <f t="shared" si="66"/>
        <v>0.13686493739280958</v>
      </c>
      <c r="AJ186" s="859">
        <v>0</v>
      </c>
      <c r="AK186" s="583">
        <v>6</v>
      </c>
      <c r="AL186" s="971">
        <f t="shared" si="65"/>
        <v>3897</v>
      </c>
      <c r="AM186" s="971">
        <f t="shared" si="52"/>
        <v>74043</v>
      </c>
      <c r="AN186" s="858">
        <f t="shared" si="53"/>
        <v>-5.0000000000000044E-2</v>
      </c>
      <c r="AO186" s="857">
        <f t="shared" si="54"/>
        <v>1.0863116197183098</v>
      </c>
      <c r="AP186" s="973">
        <f t="shared" si="55"/>
        <v>3897</v>
      </c>
      <c r="AQ186" s="855">
        <f t="shared" si="56"/>
        <v>5.555555555555558E-2</v>
      </c>
      <c r="AR186" s="974">
        <f t="shared" si="68"/>
        <v>0.1618649373928096</v>
      </c>
      <c r="AS186" s="975"/>
      <c r="AT186" s="976"/>
      <c r="AU186" s="971"/>
      <c r="AV186" s="976"/>
      <c r="AW186" s="970"/>
      <c r="AX186" s="971"/>
      <c r="AY186" s="971"/>
      <c r="AZ186" s="976"/>
      <c r="BA186" s="972"/>
      <c r="BB186" s="971"/>
      <c r="BC186" s="973"/>
      <c r="BD186" s="973"/>
      <c r="BE186" s="855"/>
      <c r="BF186" s="975"/>
      <c r="BG186" s="975"/>
      <c r="BH186" s="971"/>
      <c r="BI186" s="970"/>
      <c r="BJ186" s="971"/>
      <c r="BK186" s="971"/>
      <c r="BL186" s="976"/>
      <c r="BM186" s="972"/>
      <c r="BN186" s="971"/>
      <c r="BO186" s="973"/>
      <c r="BP186" s="973"/>
      <c r="BQ186" s="855"/>
      <c r="BR186" s="975"/>
      <c r="BS186" s="975"/>
      <c r="BT186" s="978"/>
      <c r="BU186" s="978"/>
      <c r="BV186" s="978">
        <v>0.13408715961503181</v>
      </c>
      <c r="BW186" s="978">
        <f t="shared" si="57"/>
        <v>0.13408715961503181</v>
      </c>
    </row>
    <row r="187" spans="1:75" hidden="1">
      <c r="A187" s="1031">
        <v>2606</v>
      </c>
      <c r="B187" s="1030" t="s">
        <v>292</v>
      </c>
      <c r="C187" s="1031" t="s">
        <v>829</v>
      </c>
      <c r="D187" s="1031" t="s">
        <v>465</v>
      </c>
      <c r="E187" s="1032" t="s">
        <v>838</v>
      </c>
      <c r="F187" s="1030"/>
      <c r="G187" s="955" t="str">
        <f>IFERROR(VLOOKUP(D187,[3]전용!E:J,6,0),"")</f>
        <v/>
      </c>
      <c r="H187" s="869">
        <v>54480</v>
      </c>
      <c r="I187" s="1030">
        <v>5</v>
      </c>
      <c r="J187" s="1030" t="s">
        <v>215</v>
      </c>
      <c r="K187" s="1030" t="s">
        <v>834</v>
      </c>
      <c r="L187" s="1033">
        <v>1099</v>
      </c>
      <c r="M187" s="1034">
        <f t="shared" si="49"/>
        <v>65940</v>
      </c>
      <c r="N187" s="867">
        <v>0.33018659641678655</v>
      </c>
      <c r="O187" s="867"/>
      <c r="P187" s="1033">
        <v>1099</v>
      </c>
      <c r="Q187" s="1033">
        <f t="shared" si="50"/>
        <v>0</v>
      </c>
      <c r="R187" s="1034">
        <f t="shared" si="101"/>
        <v>65940</v>
      </c>
      <c r="S187" s="856">
        <f t="shared" si="58"/>
        <v>0.16452357447934668</v>
      </c>
      <c r="T187" s="1034"/>
      <c r="U187" s="1035"/>
      <c r="V187" s="1031">
        <v>12</v>
      </c>
      <c r="W187" s="971">
        <f t="shared" si="59"/>
        <v>6594</v>
      </c>
      <c r="X187" s="971">
        <f t="shared" si="60"/>
        <v>59346</v>
      </c>
      <c r="Y187" s="865">
        <f t="shared" si="61"/>
        <v>-9.9999999999999978E-2</v>
      </c>
      <c r="Z187" s="857">
        <f t="shared" si="62"/>
        <v>1.0893171806167401</v>
      </c>
      <c r="AA187" s="856">
        <v>0.1145235744793467</v>
      </c>
      <c r="AB187" s="856">
        <v>5.4629713937969786E-5</v>
      </c>
      <c r="AC187" s="970">
        <f t="shared" si="51"/>
        <v>1099</v>
      </c>
      <c r="AD187" s="970"/>
      <c r="AE187" s="970">
        <f t="shared" si="103"/>
        <v>0</v>
      </c>
      <c r="AF187" s="971">
        <f t="shared" si="63"/>
        <v>65940</v>
      </c>
      <c r="AG187" s="857">
        <f t="shared" si="64"/>
        <v>0</v>
      </c>
      <c r="AH187" s="576">
        <v>0</v>
      </c>
      <c r="AI187" s="856">
        <f t="shared" si="66"/>
        <v>0.11730135225712446</v>
      </c>
      <c r="AJ187" s="859">
        <v>0</v>
      </c>
      <c r="AK187" s="583">
        <v>6</v>
      </c>
      <c r="AL187" s="971">
        <f t="shared" si="65"/>
        <v>3297</v>
      </c>
      <c r="AM187" s="971">
        <f t="shared" si="52"/>
        <v>62643</v>
      </c>
      <c r="AN187" s="858">
        <f t="shared" si="53"/>
        <v>-5.0000000000000044E-2</v>
      </c>
      <c r="AO187" s="857">
        <f t="shared" si="54"/>
        <v>1.1498348017621145</v>
      </c>
      <c r="AP187" s="973">
        <f t="shared" si="55"/>
        <v>3297</v>
      </c>
      <c r="AQ187" s="855">
        <f t="shared" si="56"/>
        <v>5.555555555555558E-2</v>
      </c>
      <c r="AR187" s="974">
        <f t="shared" si="68"/>
        <v>0.14230135225712448</v>
      </c>
      <c r="AS187" s="975"/>
      <c r="AT187" s="976"/>
      <c r="AU187" s="971"/>
      <c r="AV187" s="976"/>
      <c r="AW187" s="970"/>
      <c r="AX187" s="971"/>
      <c r="AY187" s="971"/>
      <c r="AZ187" s="976"/>
      <c r="BA187" s="972"/>
      <c r="BB187" s="971"/>
      <c r="BC187" s="973"/>
      <c r="BD187" s="973"/>
      <c r="BE187" s="855"/>
      <c r="BF187" s="975"/>
      <c r="BG187" s="975"/>
      <c r="BH187" s="971"/>
      <c r="BI187" s="970"/>
      <c r="BJ187" s="971"/>
      <c r="BK187" s="971"/>
      <c r="BL187" s="976"/>
      <c r="BM187" s="972"/>
      <c r="BN187" s="971"/>
      <c r="BO187" s="973"/>
      <c r="BP187" s="973"/>
      <c r="BQ187" s="855"/>
      <c r="BR187" s="975"/>
      <c r="BS187" s="975"/>
      <c r="BT187" s="978"/>
      <c r="BU187" s="978"/>
      <c r="BV187" s="978">
        <v>0.1145235744793467</v>
      </c>
      <c r="BW187" s="978">
        <f t="shared" si="57"/>
        <v>0.1145235744793467</v>
      </c>
    </row>
    <row r="188" spans="1:75">
      <c r="A188" s="1031">
        <v>2606</v>
      </c>
      <c r="B188" s="1030" t="s">
        <v>292</v>
      </c>
      <c r="C188" s="1031" t="s">
        <v>833</v>
      </c>
      <c r="D188" s="1055" t="s">
        <v>487</v>
      </c>
      <c r="E188" s="1032"/>
      <c r="F188" s="1030"/>
      <c r="G188" s="955" t="str">
        <f>IFERROR(VLOOKUP(D188,[3]전용!E:J,6,0),"")</f>
        <v/>
      </c>
      <c r="H188" s="869">
        <v>42990</v>
      </c>
      <c r="I188" s="1030">
        <v>5</v>
      </c>
      <c r="J188" s="1030" t="s">
        <v>215</v>
      </c>
      <c r="K188" s="1030"/>
      <c r="L188" s="1033">
        <v>799</v>
      </c>
      <c r="M188" s="971">
        <f t="shared" si="49"/>
        <v>47940</v>
      </c>
      <c r="N188" s="870" t="e">
        <f>_xlfn.XLOOKUP(D188,#REF!,#REF!)</f>
        <v>#REF!</v>
      </c>
      <c r="O188" s="867"/>
      <c r="P188" s="1033">
        <v>799</v>
      </c>
      <c r="Q188" s="1033">
        <f>P188-L188</f>
        <v>0</v>
      </c>
      <c r="R188" s="1034">
        <f t="shared" si="101"/>
        <v>47940</v>
      </c>
      <c r="S188" s="856">
        <f t="shared" si="58"/>
        <v>4.8565297597420551E-2</v>
      </c>
      <c r="T188" s="1034"/>
      <c r="U188" s="1035"/>
      <c r="V188" s="1031">
        <v>12</v>
      </c>
      <c r="W188" s="971">
        <f t="shared" si="59"/>
        <v>4794</v>
      </c>
      <c r="X188" s="971">
        <f t="shared" si="60"/>
        <v>43146</v>
      </c>
      <c r="Y188" s="865"/>
      <c r="Z188" s="857">
        <f t="shared" si="62"/>
        <v>1.0036287508722959</v>
      </c>
      <c r="AA188" s="856">
        <v>4.8565297597420551E-2</v>
      </c>
      <c r="AB188" s="856">
        <v>5.4765901597814895E-5</v>
      </c>
      <c r="AC188" s="1041">
        <v>649</v>
      </c>
      <c r="AD188" s="970">
        <f>AC188-P188</f>
        <v>-150</v>
      </c>
      <c r="AE188" s="970">
        <f t="shared" si="103"/>
        <v>59.924999999999997</v>
      </c>
      <c r="AF188" s="971">
        <f t="shared" si="63"/>
        <v>38940</v>
      </c>
      <c r="AG188" s="857">
        <f t="shared" si="64"/>
        <v>-0.1877346683354193</v>
      </c>
      <c r="AH188" s="576">
        <v>0</v>
      </c>
      <c r="AI188" s="856">
        <v>0.22</v>
      </c>
      <c r="AJ188" s="859">
        <v>0</v>
      </c>
      <c r="AK188" s="583">
        <v>6</v>
      </c>
      <c r="AL188" s="971">
        <f t="shared" si="65"/>
        <v>1947</v>
      </c>
      <c r="AM188" s="971">
        <f t="shared" si="52"/>
        <v>36993</v>
      </c>
      <c r="AN188" s="858">
        <f t="shared" si="53"/>
        <v>-5.0000000000000044E-2</v>
      </c>
      <c r="AO188" s="857">
        <f t="shared" si="54"/>
        <v>0.86050244242847174</v>
      </c>
      <c r="AP188" s="973">
        <f t="shared" si="55"/>
        <v>-6153</v>
      </c>
      <c r="AQ188" s="855">
        <f t="shared" si="56"/>
        <v>-0.14260881657627589</v>
      </c>
      <c r="AR188" s="1042">
        <f>IFERROR(AA188-AG188*0.5,"")+5%</f>
        <v>0.1924326317651302</v>
      </c>
      <c r="AS188" s="975"/>
      <c r="AT188" s="976"/>
      <c r="AU188" s="971"/>
      <c r="AV188" s="976"/>
      <c r="AW188" s="970"/>
      <c r="AX188" s="971"/>
      <c r="AY188" s="971"/>
      <c r="AZ188" s="976"/>
      <c r="BA188" s="972"/>
      <c r="BB188" s="971"/>
      <c r="BC188" s="973"/>
      <c r="BD188" s="973"/>
      <c r="BE188" s="855"/>
      <c r="BF188" s="975"/>
      <c r="BG188" s="975"/>
      <c r="BH188" s="971"/>
      <c r="BI188" s="970"/>
      <c r="BJ188" s="971"/>
      <c r="BK188" s="971"/>
      <c r="BL188" s="976"/>
      <c r="BM188" s="972"/>
      <c r="BN188" s="971"/>
      <c r="BO188" s="973"/>
      <c r="BP188" s="973"/>
      <c r="BQ188" s="855"/>
      <c r="BR188" s="975"/>
      <c r="BS188" s="975"/>
      <c r="BT188" s="978"/>
      <c r="BU188" s="978"/>
      <c r="BV188" s="978">
        <v>0.15</v>
      </c>
      <c r="BW188" s="978">
        <f t="shared" si="57"/>
        <v>4.8565297597420551E-2</v>
      </c>
    </row>
    <row r="189" spans="1:75" hidden="1">
      <c r="A189" s="1031">
        <v>2606</v>
      </c>
      <c r="B189" s="1030" t="s">
        <v>292</v>
      </c>
      <c r="C189" s="1031" t="s">
        <v>829</v>
      </c>
      <c r="D189" s="1031" t="s">
        <v>722</v>
      </c>
      <c r="E189" s="1031"/>
      <c r="F189" s="1030"/>
      <c r="G189" s="955" t="str">
        <f>IFERROR(VLOOKUP(D189,[3]전용!E:J,6,0),"")</f>
        <v/>
      </c>
      <c r="H189" s="869">
        <v>66990</v>
      </c>
      <c r="I189" s="1030">
        <v>5</v>
      </c>
      <c r="J189" s="1030" t="s">
        <v>215</v>
      </c>
      <c r="K189" s="1030" t="s">
        <v>834</v>
      </c>
      <c r="L189" s="1033">
        <v>1349</v>
      </c>
      <c r="M189" s="1034">
        <f t="shared" si="49"/>
        <v>80940</v>
      </c>
      <c r="N189" s="867">
        <v>0.25317017439212786</v>
      </c>
      <c r="O189" s="867"/>
      <c r="P189" s="1033">
        <v>1349</v>
      </c>
      <c r="Q189" s="1033">
        <f t="shared" ref="Q189:Q206" si="104">L189-P189</f>
        <v>0</v>
      </c>
      <c r="R189" s="1034">
        <f t="shared" si="101"/>
        <v>80940</v>
      </c>
      <c r="S189" s="856">
        <f t="shared" si="58"/>
        <v>0.13500000000000001</v>
      </c>
      <c r="T189" s="1034"/>
      <c r="U189" s="1035"/>
      <c r="V189" s="1031">
        <v>6</v>
      </c>
      <c r="W189" s="971">
        <f t="shared" si="59"/>
        <v>4047</v>
      </c>
      <c r="X189" s="971">
        <f t="shared" si="60"/>
        <v>76893</v>
      </c>
      <c r="Y189" s="865">
        <f t="shared" ref="Y189:Y206" si="105">X189/M189-1</f>
        <v>-5.0000000000000044E-2</v>
      </c>
      <c r="Z189" s="857">
        <f t="shared" si="62"/>
        <v>1.1478280340349305</v>
      </c>
      <c r="AA189" s="856">
        <v>0.11</v>
      </c>
      <c r="AB189" s="856">
        <v>0.02</v>
      </c>
      <c r="AC189" s="970">
        <f t="shared" si="51"/>
        <v>1349</v>
      </c>
      <c r="AD189" s="970"/>
      <c r="AE189" s="970">
        <f t="shared" si="103"/>
        <v>0</v>
      </c>
      <c r="AF189" s="971">
        <f t="shared" si="63"/>
        <v>80940</v>
      </c>
      <c r="AG189" s="857">
        <f t="shared" si="64"/>
        <v>0</v>
      </c>
      <c r="AH189" s="576">
        <v>0</v>
      </c>
      <c r="AI189" s="856">
        <f t="shared" si="66"/>
        <v>0.13631578947368417</v>
      </c>
      <c r="AJ189" s="859">
        <v>0</v>
      </c>
      <c r="AK189" s="583">
        <v>0</v>
      </c>
      <c r="AL189" s="971">
        <f t="shared" si="65"/>
        <v>0</v>
      </c>
      <c r="AM189" s="971">
        <f t="shared" si="52"/>
        <v>80940</v>
      </c>
      <c r="AN189" s="858">
        <f t="shared" si="53"/>
        <v>0</v>
      </c>
      <c r="AO189" s="857">
        <f t="shared" si="54"/>
        <v>1.2082400358262426</v>
      </c>
      <c r="AP189" s="1036">
        <f t="shared" si="55"/>
        <v>4047</v>
      </c>
      <c r="AQ189" s="855">
        <f t="shared" si="56"/>
        <v>5.2631578947368363E-2</v>
      </c>
      <c r="AR189" s="974">
        <f t="shared" si="68"/>
        <v>0.13631578947368417</v>
      </c>
      <c r="AS189" s="975"/>
      <c r="AT189" s="976"/>
      <c r="AU189" s="971"/>
      <c r="AV189" s="976"/>
      <c r="AW189" s="970"/>
      <c r="AX189" s="971"/>
      <c r="AY189" s="971"/>
      <c r="AZ189" s="976"/>
      <c r="BA189" s="972"/>
      <c r="BB189" s="971"/>
      <c r="BC189" s="973"/>
      <c r="BD189" s="973"/>
      <c r="BE189" s="855"/>
      <c r="BF189" s="975"/>
      <c r="BG189" s="975"/>
      <c r="BH189" s="971"/>
      <c r="BI189" s="970"/>
      <c r="BJ189" s="971"/>
      <c r="BK189" s="971"/>
      <c r="BL189" s="976"/>
      <c r="BM189" s="972"/>
      <c r="BN189" s="971"/>
      <c r="BO189" s="973"/>
      <c r="BP189" s="973"/>
      <c r="BQ189" s="855"/>
      <c r="BR189" s="975"/>
      <c r="BS189" s="975"/>
      <c r="BT189" s="978"/>
      <c r="BU189" s="978"/>
      <c r="BV189" s="978">
        <v>0.11</v>
      </c>
      <c r="BW189" s="978">
        <f t="shared" si="57"/>
        <v>0.11</v>
      </c>
    </row>
    <row r="190" spans="1:75">
      <c r="A190" s="1031">
        <v>2606</v>
      </c>
      <c r="B190" s="1030" t="s">
        <v>292</v>
      </c>
      <c r="C190" s="1031" t="s">
        <v>833</v>
      </c>
      <c r="D190" s="1055" t="s">
        <v>490</v>
      </c>
      <c r="E190" s="1031"/>
      <c r="F190" s="1030"/>
      <c r="G190" s="955" t="str">
        <f>IFERROR(VLOOKUP(D190,[3]전용!E:J,6,0),"")</f>
        <v/>
      </c>
      <c r="H190" s="869">
        <v>40900</v>
      </c>
      <c r="I190" s="1030">
        <v>5</v>
      </c>
      <c r="J190" s="1030" t="s">
        <v>215</v>
      </c>
      <c r="K190" s="1030" t="s">
        <v>834</v>
      </c>
      <c r="L190" s="1033">
        <v>999</v>
      </c>
      <c r="M190" s="1034">
        <f t="shared" si="49"/>
        <v>59940</v>
      </c>
      <c r="N190" s="867">
        <v>0.24329084285436015</v>
      </c>
      <c r="O190" s="867"/>
      <c r="P190" s="1033">
        <v>999</v>
      </c>
      <c r="Q190" s="1033">
        <f>P190-L190</f>
        <v>0</v>
      </c>
      <c r="R190" s="1034">
        <f t="shared" si="101"/>
        <v>59940</v>
      </c>
      <c r="S190" s="856">
        <f t="shared" si="58"/>
        <v>0.13500000000000001</v>
      </c>
      <c r="T190" s="1034"/>
      <c r="U190" s="1035"/>
      <c r="V190" s="1031">
        <v>6</v>
      </c>
      <c r="W190" s="971">
        <f t="shared" si="59"/>
        <v>2997</v>
      </c>
      <c r="X190" s="971">
        <f t="shared" si="60"/>
        <v>56943</v>
      </c>
      <c r="Y190" s="865">
        <f t="shared" si="105"/>
        <v>-5.0000000000000044E-2</v>
      </c>
      <c r="Z190" s="857">
        <f t="shared" si="62"/>
        <v>1.3922493887530563</v>
      </c>
      <c r="AA190" s="856">
        <v>0.11</v>
      </c>
      <c r="AB190" s="856">
        <v>0.02</v>
      </c>
      <c r="AC190" s="1041">
        <v>849</v>
      </c>
      <c r="AD190" s="970">
        <f>AC190-P190</f>
        <v>-150</v>
      </c>
      <c r="AE190" s="970">
        <f t="shared" si="103"/>
        <v>0</v>
      </c>
      <c r="AF190" s="971">
        <f t="shared" si="63"/>
        <v>50940</v>
      </c>
      <c r="AG190" s="857">
        <f t="shared" si="64"/>
        <v>-0.1501501501501501</v>
      </c>
      <c r="AH190" s="576">
        <v>0</v>
      </c>
      <c r="AI190" s="856">
        <v>0.26</v>
      </c>
      <c r="AJ190" s="859">
        <v>0</v>
      </c>
      <c r="AK190" s="583">
        <v>0</v>
      </c>
      <c r="AL190" s="971">
        <f t="shared" si="65"/>
        <v>0</v>
      </c>
      <c r="AM190" s="971">
        <f t="shared" si="52"/>
        <v>50940</v>
      </c>
      <c r="AN190" s="858">
        <f t="shared" si="53"/>
        <v>0</v>
      </c>
      <c r="AO190" s="857">
        <f t="shared" si="54"/>
        <v>1.2454767726161369</v>
      </c>
      <c r="AP190" s="1036">
        <f t="shared" si="55"/>
        <v>-6003</v>
      </c>
      <c r="AQ190" s="855">
        <f t="shared" si="56"/>
        <v>-0.1054212106843686</v>
      </c>
      <c r="AR190" s="1042">
        <f>IFERROR(AA190-AG190*0.5,"")+5%</f>
        <v>0.23507507507507502</v>
      </c>
      <c r="AS190" s="975"/>
      <c r="AT190" s="976"/>
      <c r="AU190" s="971"/>
      <c r="AV190" s="976"/>
      <c r="AW190" s="970"/>
      <c r="AX190" s="971"/>
      <c r="AY190" s="971"/>
      <c r="AZ190" s="976"/>
      <c r="BA190" s="972"/>
      <c r="BB190" s="971"/>
      <c r="BC190" s="973"/>
      <c r="BD190" s="973"/>
      <c r="BE190" s="855"/>
      <c r="BF190" s="975"/>
      <c r="BG190" s="975"/>
      <c r="BH190" s="971"/>
      <c r="BI190" s="970"/>
      <c r="BJ190" s="971"/>
      <c r="BK190" s="971"/>
      <c r="BL190" s="976"/>
      <c r="BM190" s="972"/>
      <c r="BN190" s="971"/>
      <c r="BO190" s="973"/>
      <c r="BP190" s="973"/>
      <c r="BQ190" s="855"/>
      <c r="BR190" s="975"/>
      <c r="BS190" s="975"/>
      <c r="BT190" s="978"/>
      <c r="BU190" s="978"/>
      <c r="BV190" s="978">
        <v>0.10100000000000001</v>
      </c>
      <c r="BW190" s="978">
        <f t="shared" si="57"/>
        <v>0.11</v>
      </c>
    </row>
    <row r="191" spans="1:75" hidden="1">
      <c r="A191" s="1031">
        <v>2606</v>
      </c>
      <c r="B191" s="1030" t="s">
        <v>292</v>
      </c>
      <c r="C191" s="1031" t="s">
        <v>829</v>
      </c>
      <c r="D191" s="1031" t="s">
        <v>466</v>
      </c>
      <c r="E191" s="1032" t="s">
        <v>201</v>
      </c>
      <c r="F191" s="1030"/>
      <c r="G191" s="955" t="str">
        <f>IFERROR(VLOOKUP(D191,[3]전용!E:J,6,0),"")</f>
        <v/>
      </c>
      <c r="H191" s="869">
        <v>27960</v>
      </c>
      <c r="I191" s="1030">
        <v>5</v>
      </c>
      <c r="J191" s="1030" t="s">
        <v>215</v>
      </c>
      <c r="K191" s="1030" t="s">
        <v>834</v>
      </c>
      <c r="L191" s="1033">
        <v>649</v>
      </c>
      <c r="M191" s="1034">
        <f t="shared" si="49"/>
        <v>38940</v>
      </c>
      <c r="N191" s="867">
        <v>0.25119613375131022</v>
      </c>
      <c r="O191" s="867"/>
      <c r="P191" s="1033">
        <v>649</v>
      </c>
      <c r="Q191" s="1033">
        <f t="shared" si="104"/>
        <v>0</v>
      </c>
      <c r="R191" s="1034">
        <f t="shared" si="101"/>
        <v>38940</v>
      </c>
      <c r="S191" s="856">
        <f t="shared" si="58"/>
        <v>0.13500000000000001</v>
      </c>
      <c r="T191" s="1034"/>
      <c r="U191" s="1035"/>
      <c r="V191" s="1029">
        <v>6</v>
      </c>
      <c r="W191" s="971">
        <f t="shared" si="59"/>
        <v>1947</v>
      </c>
      <c r="X191" s="971">
        <f t="shared" si="60"/>
        <v>36993</v>
      </c>
      <c r="Y191" s="865">
        <f t="shared" si="105"/>
        <v>-5.0000000000000044E-2</v>
      </c>
      <c r="Z191" s="857">
        <f t="shared" si="62"/>
        <v>1.323068669527897</v>
      </c>
      <c r="AA191" s="856">
        <v>0.11</v>
      </c>
      <c r="AB191" s="856">
        <v>0.02</v>
      </c>
      <c r="AC191" s="970">
        <f t="shared" si="51"/>
        <v>649</v>
      </c>
      <c r="AD191" s="970"/>
      <c r="AE191" s="970">
        <f t="shared" si="103"/>
        <v>0</v>
      </c>
      <c r="AF191" s="971">
        <f t="shared" si="63"/>
        <v>38940</v>
      </c>
      <c r="AG191" s="857">
        <f t="shared" si="64"/>
        <v>0</v>
      </c>
      <c r="AH191" s="576">
        <v>0</v>
      </c>
      <c r="AI191" s="856">
        <f t="shared" si="66"/>
        <v>0.13631578947368417</v>
      </c>
      <c r="AJ191" s="859">
        <v>0</v>
      </c>
      <c r="AK191" s="583">
        <v>0</v>
      </c>
      <c r="AL191" s="971">
        <f t="shared" si="65"/>
        <v>0</v>
      </c>
      <c r="AM191" s="971">
        <f t="shared" si="52"/>
        <v>38940</v>
      </c>
      <c r="AN191" s="858">
        <f t="shared" si="53"/>
        <v>0</v>
      </c>
      <c r="AO191" s="857">
        <f t="shared" si="54"/>
        <v>1.3927038626609443</v>
      </c>
      <c r="AP191" s="1036">
        <f t="shared" si="55"/>
        <v>1947</v>
      </c>
      <c r="AQ191" s="855">
        <f t="shared" si="56"/>
        <v>5.2631578947368363E-2</v>
      </c>
      <c r="AR191" s="974">
        <f t="shared" si="68"/>
        <v>0.13631578947368417</v>
      </c>
      <c r="AS191" s="975"/>
      <c r="AT191" s="976"/>
      <c r="AU191" s="971"/>
      <c r="AV191" s="976"/>
      <c r="AW191" s="970"/>
      <c r="AX191" s="971"/>
      <c r="AY191" s="971"/>
      <c r="AZ191" s="976"/>
      <c r="BA191" s="972"/>
      <c r="BB191" s="971"/>
      <c r="BC191" s="973"/>
      <c r="BD191" s="973"/>
      <c r="BE191" s="855"/>
      <c r="BF191" s="975"/>
      <c r="BG191" s="975"/>
      <c r="BH191" s="971"/>
      <c r="BI191" s="970"/>
      <c r="BJ191" s="971"/>
      <c r="BK191" s="971"/>
      <c r="BL191" s="976"/>
      <c r="BM191" s="972"/>
      <c r="BN191" s="971"/>
      <c r="BO191" s="973"/>
      <c r="BP191" s="973"/>
      <c r="BQ191" s="855"/>
      <c r="BR191" s="975"/>
      <c r="BS191" s="975"/>
      <c r="BT191" s="978"/>
      <c r="BU191" s="978"/>
      <c r="BV191" s="978">
        <v>0.1</v>
      </c>
      <c r="BW191" s="978">
        <f t="shared" si="57"/>
        <v>0.11</v>
      </c>
    </row>
    <row r="192" spans="1:75" hidden="1">
      <c r="A192" s="1031">
        <v>2606</v>
      </c>
      <c r="B192" s="1030" t="s">
        <v>292</v>
      </c>
      <c r="C192" s="1031" t="s">
        <v>829</v>
      </c>
      <c r="D192" s="1031" t="s">
        <v>467</v>
      </c>
      <c r="E192" s="1032" t="s">
        <v>93</v>
      </c>
      <c r="F192" s="1030"/>
      <c r="G192" s="955" t="str">
        <f>IFERROR(VLOOKUP(D192,[3]전용!E:J,6,0),"")</f>
        <v/>
      </c>
      <c r="H192" s="866">
        <v>23160</v>
      </c>
      <c r="I192" s="1030">
        <v>5</v>
      </c>
      <c r="J192" s="1030" t="s">
        <v>215</v>
      </c>
      <c r="K192" s="1030" t="s">
        <v>834</v>
      </c>
      <c r="L192" s="1033">
        <v>549</v>
      </c>
      <c r="M192" s="1034">
        <f t="shared" si="49"/>
        <v>32940</v>
      </c>
      <c r="N192" s="867">
        <v>0.28111821257154396</v>
      </c>
      <c r="O192" s="867"/>
      <c r="P192" s="1033">
        <v>549</v>
      </c>
      <c r="Q192" s="1033">
        <f t="shared" si="104"/>
        <v>0</v>
      </c>
      <c r="R192" s="1034">
        <f t="shared" si="101"/>
        <v>32940</v>
      </c>
      <c r="S192" s="856">
        <f t="shared" si="58"/>
        <v>0.19793507560847357</v>
      </c>
      <c r="T192" s="1034"/>
      <c r="U192" s="1035"/>
      <c r="V192" s="1029">
        <v>6</v>
      </c>
      <c r="W192" s="971">
        <f t="shared" si="59"/>
        <v>1647</v>
      </c>
      <c r="X192" s="971">
        <f t="shared" si="60"/>
        <v>31293</v>
      </c>
      <c r="Y192" s="868">
        <f t="shared" si="105"/>
        <v>-5.0000000000000044E-2</v>
      </c>
      <c r="Z192" s="861">
        <f t="shared" si="62"/>
        <v>1.3511658031088083</v>
      </c>
      <c r="AA192" s="856">
        <v>0.17293507560847354</v>
      </c>
      <c r="AB192" s="856">
        <v>5.0249493286011782E-5</v>
      </c>
      <c r="AC192" s="970">
        <f t="shared" si="51"/>
        <v>549</v>
      </c>
      <c r="AD192" s="970"/>
      <c r="AE192" s="970">
        <f t="shared" si="103"/>
        <v>0</v>
      </c>
      <c r="AF192" s="971">
        <f t="shared" si="63"/>
        <v>32940</v>
      </c>
      <c r="AG192" s="861">
        <f t="shared" si="64"/>
        <v>0</v>
      </c>
      <c r="AH192" s="576">
        <v>0</v>
      </c>
      <c r="AI192" s="856">
        <f t="shared" si="66"/>
        <v>0.19925086508215772</v>
      </c>
      <c r="AJ192" s="859">
        <v>0</v>
      </c>
      <c r="AK192" s="583">
        <v>0</v>
      </c>
      <c r="AL192" s="971">
        <f t="shared" si="65"/>
        <v>0</v>
      </c>
      <c r="AM192" s="971">
        <f t="shared" si="52"/>
        <v>32940</v>
      </c>
      <c r="AN192" s="856">
        <f t="shared" si="53"/>
        <v>0</v>
      </c>
      <c r="AO192" s="857">
        <f t="shared" si="54"/>
        <v>1.4222797927461139</v>
      </c>
      <c r="AP192" s="1036">
        <f t="shared" si="55"/>
        <v>1647</v>
      </c>
      <c r="AQ192" s="855">
        <f t="shared" si="56"/>
        <v>5.2631578947368363E-2</v>
      </c>
      <c r="AR192" s="974">
        <f t="shared" si="68"/>
        <v>0.19925086508215772</v>
      </c>
      <c r="AS192" s="975"/>
      <c r="AT192" s="976"/>
      <c r="AU192" s="971"/>
      <c r="AV192" s="976"/>
      <c r="AW192" s="970"/>
      <c r="AX192" s="971"/>
      <c r="AY192" s="971"/>
      <c r="AZ192" s="976"/>
      <c r="BA192" s="972"/>
      <c r="BB192" s="971"/>
      <c r="BC192" s="973"/>
      <c r="BD192" s="973"/>
      <c r="BE192" s="855"/>
      <c r="BF192" s="975"/>
      <c r="BG192" s="975"/>
      <c r="BH192" s="971"/>
      <c r="BI192" s="970"/>
      <c r="BJ192" s="971"/>
      <c r="BK192" s="971"/>
      <c r="BL192" s="976"/>
      <c r="BM192" s="972"/>
      <c r="BN192" s="971"/>
      <c r="BO192" s="973"/>
      <c r="BP192" s="973"/>
      <c r="BQ192" s="855"/>
      <c r="BR192" s="975"/>
      <c r="BS192" s="975"/>
      <c r="BT192" s="978"/>
      <c r="BU192" s="978"/>
      <c r="BV192" s="978">
        <v>0.17293507560847354</v>
      </c>
      <c r="BW192" s="978">
        <f t="shared" si="57"/>
        <v>0.17293507560847354</v>
      </c>
    </row>
    <row r="193" spans="1:75" hidden="1">
      <c r="A193" s="1031">
        <v>2606</v>
      </c>
      <c r="B193" s="1030" t="s">
        <v>292</v>
      </c>
      <c r="C193" s="1031" t="s">
        <v>829</v>
      </c>
      <c r="D193" s="1031" t="s">
        <v>915</v>
      </c>
      <c r="E193" s="1032" t="s">
        <v>94</v>
      </c>
      <c r="F193" s="1030"/>
      <c r="G193" s="955" t="str">
        <f>IFERROR(VLOOKUP(D193,[3]전용!E:J,6,0),"")</f>
        <v/>
      </c>
      <c r="H193" s="869">
        <v>32760</v>
      </c>
      <c r="I193" s="1030">
        <v>5</v>
      </c>
      <c r="J193" s="1030" t="s">
        <v>215</v>
      </c>
      <c r="K193" s="1030" t="s">
        <v>834</v>
      </c>
      <c r="L193" s="1033">
        <v>699</v>
      </c>
      <c r="M193" s="1034">
        <f t="shared" si="49"/>
        <v>41940</v>
      </c>
      <c r="N193" s="867">
        <v>0.17311544437912141</v>
      </c>
      <c r="O193" s="867"/>
      <c r="P193" s="1033">
        <v>699</v>
      </c>
      <c r="Q193" s="1033">
        <f t="shared" si="104"/>
        <v>0</v>
      </c>
      <c r="R193" s="1034">
        <f t="shared" si="101"/>
        <v>41940</v>
      </c>
      <c r="S193" s="856">
        <f t="shared" si="58"/>
        <v>0.13500000000000001</v>
      </c>
      <c r="T193" s="1034"/>
      <c r="U193" s="1035"/>
      <c r="V193" s="1031">
        <v>6</v>
      </c>
      <c r="W193" s="971">
        <f t="shared" si="59"/>
        <v>2097</v>
      </c>
      <c r="X193" s="971">
        <f t="shared" si="60"/>
        <v>39843</v>
      </c>
      <c r="Y193" s="865">
        <f t="shared" si="105"/>
        <v>-5.0000000000000044E-2</v>
      </c>
      <c r="Z193" s="857">
        <f t="shared" si="62"/>
        <v>1.2162087912087911</v>
      </c>
      <c r="AA193" s="856">
        <v>0.11</v>
      </c>
      <c r="AB193" s="856">
        <v>0.02</v>
      </c>
      <c r="AC193" s="970">
        <f t="shared" si="51"/>
        <v>699</v>
      </c>
      <c r="AD193" s="970"/>
      <c r="AE193" s="970">
        <f t="shared" si="103"/>
        <v>0</v>
      </c>
      <c r="AF193" s="971">
        <f t="shared" si="63"/>
        <v>41940</v>
      </c>
      <c r="AG193" s="857">
        <f t="shared" si="64"/>
        <v>0</v>
      </c>
      <c r="AH193" s="576">
        <v>0</v>
      </c>
      <c r="AI193" s="856">
        <f t="shared" si="66"/>
        <v>0.13631578947368417</v>
      </c>
      <c r="AJ193" s="859">
        <v>0</v>
      </c>
      <c r="AK193" s="583">
        <v>0</v>
      </c>
      <c r="AL193" s="971">
        <f t="shared" si="65"/>
        <v>0</v>
      </c>
      <c r="AM193" s="971">
        <f t="shared" si="52"/>
        <v>41940</v>
      </c>
      <c r="AN193" s="858">
        <f t="shared" si="53"/>
        <v>0</v>
      </c>
      <c r="AO193" s="857">
        <f t="shared" si="54"/>
        <v>1.2802197802197801</v>
      </c>
      <c r="AP193" s="1036">
        <f t="shared" si="55"/>
        <v>2097</v>
      </c>
      <c r="AQ193" s="855">
        <f t="shared" si="56"/>
        <v>5.2631578947368363E-2</v>
      </c>
      <c r="AR193" s="974">
        <f t="shared" si="68"/>
        <v>0.13631578947368417</v>
      </c>
      <c r="AS193" s="975"/>
      <c r="AT193" s="976"/>
      <c r="AU193" s="971"/>
      <c r="AV193" s="976"/>
      <c r="AW193" s="970"/>
      <c r="AX193" s="971"/>
      <c r="AY193" s="971"/>
      <c r="AZ193" s="976"/>
      <c r="BA193" s="972"/>
      <c r="BB193" s="971"/>
      <c r="BC193" s="973"/>
      <c r="BD193" s="973"/>
      <c r="BE193" s="855"/>
      <c r="BF193" s="975"/>
      <c r="BG193" s="975"/>
      <c r="BH193" s="971"/>
      <c r="BI193" s="970"/>
      <c r="BJ193" s="971"/>
      <c r="BK193" s="971"/>
      <c r="BL193" s="976"/>
      <c r="BM193" s="972"/>
      <c r="BN193" s="971"/>
      <c r="BO193" s="973"/>
      <c r="BP193" s="973"/>
      <c r="BQ193" s="855"/>
      <c r="BR193" s="975"/>
      <c r="BS193" s="975"/>
      <c r="BT193" s="978"/>
      <c r="BU193" s="978"/>
      <c r="BV193" s="978">
        <v>0.1</v>
      </c>
      <c r="BW193" s="978">
        <f t="shared" si="57"/>
        <v>0.11</v>
      </c>
    </row>
    <row r="194" spans="1:75" hidden="1">
      <c r="A194" s="1031">
        <v>2606</v>
      </c>
      <c r="B194" s="1030" t="s">
        <v>292</v>
      </c>
      <c r="C194" s="1031" t="s">
        <v>829</v>
      </c>
      <c r="D194" s="1031" t="s">
        <v>469</v>
      </c>
      <c r="E194" s="1032" t="s">
        <v>95</v>
      </c>
      <c r="F194" s="1030"/>
      <c r="G194" s="955" t="str">
        <f>IFERROR(VLOOKUP(D194,[3]전용!E:J,6,0),"")</f>
        <v/>
      </c>
      <c r="H194" s="869">
        <v>23160</v>
      </c>
      <c r="I194" s="1030">
        <v>5</v>
      </c>
      <c r="J194" s="1030" t="s">
        <v>215</v>
      </c>
      <c r="K194" s="1030" t="s">
        <v>834</v>
      </c>
      <c r="L194" s="1033">
        <v>499</v>
      </c>
      <c r="M194" s="1034">
        <f t="shared" si="49"/>
        <v>29940</v>
      </c>
      <c r="N194" s="867">
        <v>0.19212307985469235</v>
      </c>
      <c r="O194" s="867"/>
      <c r="P194" s="1033">
        <v>499</v>
      </c>
      <c r="Q194" s="1033">
        <f t="shared" si="104"/>
        <v>0</v>
      </c>
      <c r="R194" s="1034">
        <f t="shared" si="101"/>
        <v>29940</v>
      </c>
      <c r="S194" s="856">
        <f t="shared" si="58"/>
        <v>9.1656822488227804E-2</v>
      </c>
      <c r="T194" s="1034"/>
      <c r="U194" s="1035"/>
      <c r="V194" s="1031">
        <v>6</v>
      </c>
      <c r="W194" s="971">
        <f t="shared" si="59"/>
        <v>1497</v>
      </c>
      <c r="X194" s="971">
        <f t="shared" si="60"/>
        <v>28443</v>
      </c>
      <c r="Y194" s="865">
        <f t="shared" si="105"/>
        <v>-5.0000000000000044E-2</v>
      </c>
      <c r="Z194" s="857">
        <f t="shared" si="62"/>
        <v>1.2281088082901555</v>
      </c>
      <c r="AA194" s="856">
        <v>6.6656822488227782E-2</v>
      </c>
      <c r="AB194" s="856">
        <v>5.4715615776718387E-5</v>
      </c>
      <c r="AC194" s="970">
        <f t="shared" si="51"/>
        <v>549</v>
      </c>
      <c r="AD194" s="970">
        <v>50</v>
      </c>
      <c r="AE194" s="970">
        <f t="shared" si="103"/>
        <v>19.96</v>
      </c>
      <c r="AF194" s="971">
        <f t="shared" si="63"/>
        <v>32940</v>
      </c>
      <c r="AG194" s="857">
        <f t="shared" si="64"/>
        <v>0.10020040080160331</v>
      </c>
      <c r="AH194" s="576">
        <v>0</v>
      </c>
      <c r="AI194" s="856">
        <f t="shared" si="66"/>
        <v>0.1457096650153874</v>
      </c>
      <c r="AJ194" s="859">
        <v>0</v>
      </c>
      <c r="AK194" s="583">
        <v>0</v>
      </c>
      <c r="AL194" s="971">
        <f t="shared" si="65"/>
        <v>0</v>
      </c>
      <c r="AM194" s="971">
        <f t="shared" si="52"/>
        <v>32940</v>
      </c>
      <c r="AN194" s="858">
        <f t="shared" si="53"/>
        <v>0</v>
      </c>
      <c r="AO194" s="857">
        <f t="shared" si="54"/>
        <v>1.4222797927461139</v>
      </c>
      <c r="AP194" s="1036">
        <f t="shared" si="55"/>
        <v>4497</v>
      </c>
      <c r="AQ194" s="855">
        <f t="shared" si="56"/>
        <v>0.15810568505431921</v>
      </c>
      <c r="AR194" s="974">
        <f t="shared" si="68"/>
        <v>0.1457096650153874</v>
      </c>
      <c r="AS194" s="975"/>
      <c r="AT194" s="976"/>
      <c r="AU194" s="971"/>
      <c r="AV194" s="976"/>
      <c r="AW194" s="970"/>
      <c r="AX194" s="971"/>
      <c r="AY194" s="971"/>
      <c r="AZ194" s="976"/>
      <c r="BA194" s="972"/>
      <c r="BB194" s="971"/>
      <c r="BC194" s="973"/>
      <c r="BD194" s="973"/>
      <c r="BE194" s="855"/>
      <c r="BF194" s="975"/>
      <c r="BG194" s="975"/>
      <c r="BH194" s="971"/>
      <c r="BI194" s="970"/>
      <c r="BJ194" s="971"/>
      <c r="BK194" s="971"/>
      <c r="BL194" s="976"/>
      <c r="BM194" s="972"/>
      <c r="BN194" s="971"/>
      <c r="BO194" s="973"/>
      <c r="BP194" s="973"/>
      <c r="BQ194" s="855"/>
      <c r="BR194" s="975"/>
      <c r="BS194" s="975"/>
      <c r="BT194" s="978"/>
      <c r="BU194" s="978"/>
      <c r="BV194" s="978">
        <v>0.106656822488227</v>
      </c>
      <c r="BW194" s="978">
        <f t="shared" si="57"/>
        <v>6.6656822488227782E-2</v>
      </c>
    </row>
    <row r="195" spans="1:75" hidden="1">
      <c r="A195" s="985">
        <v>2606</v>
      </c>
      <c r="B195" s="1037" t="s">
        <v>292</v>
      </c>
      <c r="C195" s="985" t="s">
        <v>831</v>
      </c>
      <c r="D195" s="983" t="s">
        <v>470</v>
      </c>
      <c r="E195" s="1032" t="s">
        <v>91</v>
      </c>
      <c r="F195" s="1030"/>
      <c r="G195" s="955" t="str">
        <f>IFERROR(VLOOKUP(D195,[3]전용!E:J,6,0),"")</f>
        <v/>
      </c>
      <c r="H195" s="866">
        <v>10490</v>
      </c>
      <c r="I195" s="1030">
        <v>5</v>
      </c>
      <c r="J195" s="1030" t="s">
        <v>215</v>
      </c>
      <c r="K195" s="1030" t="s">
        <v>834</v>
      </c>
      <c r="L195" s="1033">
        <v>299</v>
      </c>
      <c r="M195" s="1034">
        <f t="shared" si="49"/>
        <v>17940</v>
      </c>
      <c r="N195" s="867">
        <v>0.27787143003612824</v>
      </c>
      <c r="O195" s="867"/>
      <c r="P195" s="1033">
        <v>299</v>
      </c>
      <c r="Q195" s="1033">
        <f t="shared" si="104"/>
        <v>0</v>
      </c>
      <c r="R195" s="1034">
        <f t="shared" si="101"/>
        <v>17940</v>
      </c>
      <c r="S195" s="856">
        <f t="shared" si="58"/>
        <v>0.13500000000000001</v>
      </c>
      <c r="T195" s="1034"/>
      <c r="U195" s="1035"/>
      <c r="V195" s="1031">
        <v>6</v>
      </c>
      <c r="W195" s="971">
        <f t="shared" si="59"/>
        <v>897</v>
      </c>
      <c r="X195" s="971">
        <f t="shared" si="60"/>
        <v>17043</v>
      </c>
      <c r="Y195" s="868">
        <f t="shared" si="105"/>
        <v>-5.0000000000000044E-2</v>
      </c>
      <c r="Z195" s="861">
        <f t="shared" si="62"/>
        <v>1.6246901811248808</v>
      </c>
      <c r="AA195" s="856">
        <v>0.11</v>
      </c>
      <c r="AB195" s="856">
        <v>0.02</v>
      </c>
      <c r="AC195" s="970">
        <f t="shared" si="51"/>
        <v>299</v>
      </c>
      <c r="AD195" s="970"/>
      <c r="AE195" s="970">
        <f t="shared" si="103"/>
        <v>0</v>
      </c>
      <c r="AF195" s="971">
        <f t="shared" si="63"/>
        <v>17940</v>
      </c>
      <c r="AG195" s="861">
        <f t="shared" si="64"/>
        <v>0</v>
      </c>
      <c r="AH195" s="576">
        <v>0</v>
      </c>
      <c r="AI195" s="856">
        <f t="shared" si="66"/>
        <v>0.13631578947368417</v>
      </c>
      <c r="AJ195" s="859">
        <v>0</v>
      </c>
      <c r="AK195" s="583">
        <v>0</v>
      </c>
      <c r="AL195" s="971">
        <f t="shared" si="65"/>
        <v>0</v>
      </c>
      <c r="AM195" s="971">
        <f t="shared" si="52"/>
        <v>17940</v>
      </c>
      <c r="AN195" s="856">
        <f t="shared" si="53"/>
        <v>0</v>
      </c>
      <c r="AO195" s="857">
        <f t="shared" si="54"/>
        <v>1.7102001906577693</v>
      </c>
      <c r="AP195" s="1036">
        <f t="shared" si="55"/>
        <v>897</v>
      </c>
      <c r="AQ195" s="855">
        <f t="shared" si="56"/>
        <v>5.2631578947368363E-2</v>
      </c>
      <c r="AR195" s="974">
        <f t="shared" si="68"/>
        <v>0.13631578947368417</v>
      </c>
      <c r="AS195" s="975"/>
      <c r="AT195" s="976"/>
      <c r="AU195" s="971"/>
      <c r="AV195" s="976"/>
      <c r="AW195" s="970"/>
      <c r="AX195" s="971"/>
      <c r="AY195" s="971"/>
      <c r="AZ195" s="976"/>
      <c r="BA195" s="972"/>
      <c r="BB195" s="971"/>
      <c r="BC195" s="973"/>
      <c r="BD195" s="973"/>
      <c r="BE195" s="855"/>
      <c r="BF195" s="975"/>
      <c r="BG195" s="975"/>
      <c r="BH195" s="971"/>
      <c r="BI195" s="970"/>
      <c r="BJ195" s="971"/>
      <c r="BK195" s="971"/>
      <c r="BL195" s="976"/>
      <c r="BM195" s="972"/>
      <c r="BN195" s="971"/>
      <c r="BO195" s="973"/>
      <c r="BP195" s="973"/>
      <c r="BQ195" s="855"/>
      <c r="BR195" s="975"/>
      <c r="BS195" s="975"/>
      <c r="BT195" s="978"/>
      <c r="BU195" s="978"/>
      <c r="BV195" s="978">
        <v>0.102656822488227</v>
      </c>
      <c r="BW195" s="978">
        <f t="shared" si="57"/>
        <v>0.11</v>
      </c>
    </row>
    <row r="196" spans="1:75" hidden="1">
      <c r="A196" s="985">
        <v>2606</v>
      </c>
      <c r="B196" s="1037" t="s">
        <v>292</v>
      </c>
      <c r="C196" s="985" t="s">
        <v>829</v>
      </c>
      <c r="D196" s="985" t="s">
        <v>214</v>
      </c>
      <c r="E196" s="955" t="str">
        <f>D196</f>
        <v>27LX6TDGA.ATM</v>
      </c>
      <c r="F196" s="955"/>
      <c r="G196" s="955" t="str">
        <f>IFERROR(VLOOKUP(D196,[3]전용!E:J,6,0),"")</f>
        <v/>
      </c>
      <c r="H196" s="854">
        <v>38877.777777777774</v>
      </c>
      <c r="I196" s="955">
        <v>5</v>
      </c>
      <c r="J196" s="955" t="s">
        <v>215</v>
      </c>
      <c r="K196" s="955" t="s">
        <v>834</v>
      </c>
      <c r="L196" s="970">
        <v>649</v>
      </c>
      <c r="M196" s="971">
        <f t="shared" ref="M196:M204" si="106">L196*LEFT(I196,1)*12</f>
        <v>38940</v>
      </c>
      <c r="N196" s="855" t="e">
        <f>_xlfn.XLOOKUP(D196,#REF!,#REF!)</f>
        <v>#REF!</v>
      </c>
      <c r="O196" s="855"/>
      <c r="P196" s="970">
        <v>649</v>
      </c>
      <c r="Q196" s="970">
        <f t="shared" si="104"/>
        <v>0</v>
      </c>
      <c r="R196" s="971">
        <f t="shared" si="101"/>
        <v>38940</v>
      </c>
      <c r="S196" s="856">
        <f t="shared" si="58"/>
        <v>-5.9949230624813457E-3</v>
      </c>
      <c r="T196" s="971"/>
      <c r="U196" s="971"/>
      <c r="V196" s="1031">
        <v>6</v>
      </c>
      <c r="W196" s="971">
        <f t="shared" si="59"/>
        <v>1947</v>
      </c>
      <c r="X196" s="971">
        <f t="shared" si="60"/>
        <v>36993</v>
      </c>
      <c r="Y196" s="865">
        <f t="shared" si="105"/>
        <v>-5.0000000000000044E-2</v>
      </c>
      <c r="Z196" s="857">
        <f t="shared" si="62"/>
        <v>0.95152043440983147</v>
      </c>
      <c r="AA196" s="856">
        <v>-3.0994923062481368E-2</v>
      </c>
      <c r="AB196" s="856">
        <v>1.1445698215364451E-2</v>
      </c>
      <c r="AC196" s="970">
        <f t="shared" ref="AC196:AC203" si="107">P196+AD196</f>
        <v>749</v>
      </c>
      <c r="AD196" s="970">
        <v>100</v>
      </c>
      <c r="AE196" s="970">
        <f t="shared" si="103"/>
        <v>64.900000000000006</v>
      </c>
      <c r="AF196" s="971">
        <f t="shared" si="63"/>
        <v>44940</v>
      </c>
      <c r="AG196" s="857">
        <f t="shared" si="64"/>
        <v>0.15408320493066263</v>
      </c>
      <c r="AH196" s="576">
        <v>0</v>
      </c>
      <c r="AI196" s="856">
        <f t="shared" si="66"/>
        <v>5.1863320388982448E-2</v>
      </c>
      <c r="AJ196" s="859">
        <v>0</v>
      </c>
      <c r="AK196" s="583">
        <v>6</v>
      </c>
      <c r="AL196" s="971">
        <f t="shared" si="65"/>
        <v>2247</v>
      </c>
      <c r="AM196" s="971">
        <f t="shared" ref="AM196:AM206" si="108">AF196-AL196</f>
        <v>42693</v>
      </c>
      <c r="AN196" s="858">
        <f t="shared" ref="AN196:AN206" si="109">AM196/AF196-1</f>
        <v>-5.0000000000000044E-2</v>
      </c>
      <c r="AO196" s="857">
        <f t="shared" ref="AO196:AO206" si="110">IFERROR(AM196/H196,"")</f>
        <v>1.0981337525007147</v>
      </c>
      <c r="AP196" s="973">
        <f t="shared" ref="AP196:AP206" si="111">AM196-X196</f>
        <v>5700</v>
      </c>
      <c r="AQ196" s="855">
        <f t="shared" ref="AQ196:AQ206" si="112">AM196/X196-1</f>
        <v>0.15408320493066263</v>
      </c>
      <c r="AR196" s="974">
        <f>IFERROR(AA196+AQ196*0.7,"")</f>
        <v>7.686332038898247E-2</v>
      </c>
      <c r="AS196" s="975"/>
      <c r="AT196" s="976"/>
      <c r="AU196" s="971"/>
      <c r="AV196" s="976"/>
      <c r="AW196" s="970"/>
      <c r="AX196" s="971"/>
      <c r="AY196" s="971"/>
      <c r="AZ196" s="976"/>
      <c r="BA196" s="972"/>
      <c r="BB196" s="971"/>
      <c r="BC196" s="973"/>
      <c r="BD196" s="973"/>
      <c r="BE196" s="855"/>
      <c r="BF196" s="975"/>
      <c r="BG196" s="975"/>
      <c r="BH196" s="971"/>
      <c r="BI196" s="970"/>
      <c r="BJ196" s="971"/>
      <c r="BK196" s="971"/>
      <c r="BL196" s="976"/>
      <c r="BM196" s="972"/>
      <c r="BN196" s="971"/>
      <c r="BO196" s="973"/>
      <c r="BP196" s="973"/>
      <c r="BQ196" s="855"/>
      <c r="BR196" s="975"/>
      <c r="BS196" s="975"/>
      <c r="BT196" s="978"/>
      <c r="BU196" s="978"/>
      <c r="BV196" s="978">
        <v>4.0986321691577197E-2</v>
      </c>
      <c r="BW196" s="978">
        <f t="shared" ref="BW196:BW206" si="113">IF(AA196&gt;19%,AA196-3.8%,AA196)</f>
        <v>-3.0994923062481368E-2</v>
      </c>
    </row>
    <row r="197" spans="1:75" hidden="1">
      <c r="A197" s="980">
        <v>2606</v>
      </c>
      <c r="B197" s="979" t="s">
        <v>258</v>
      </c>
      <c r="C197" s="980" t="s">
        <v>829</v>
      </c>
      <c r="D197" s="985" t="s">
        <v>326</v>
      </c>
      <c r="E197" s="955"/>
      <c r="F197" s="955"/>
      <c r="G197" s="955" t="str">
        <f>IFERROR(VLOOKUP(D197,[3]전용!E:J,6,0),"")</f>
        <v/>
      </c>
      <c r="H197" s="860">
        <v>12790</v>
      </c>
      <c r="I197" s="955">
        <v>5</v>
      </c>
      <c r="J197" s="955" t="s">
        <v>215</v>
      </c>
      <c r="K197" s="955"/>
      <c r="L197" s="970">
        <v>299</v>
      </c>
      <c r="M197" s="971">
        <f t="shared" si="106"/>
        <v>17940</v>
      </c>
      <c r="N197" s="855" t="e">
        <f>_xlfn.XLOOKUP(D197,#REF!,#REF!)</f>
        <v>#REF!</v>
      </c>
      <c r="O197" s="855"/>
      <c r="P197" s="970">
        <v>299</v>
      </c>
      <c r="Q197" s="970">
        <f t="shared" si="104"/>
        <v>0</v>
      </c>
      <c r="R197" s="971">
        <f t="shared" si="101"/>
        <v>17940</v>
      </c>
      <c r="S197" s="856">
        <f t="shared" ref="S197:S206" si="114">AA197-(Y197/2)</f>
        <v>0.2437685092432359</v>
      </c>
      <c r="T197" s="971"/>
      <c r="U197" s="971"/>
      <c r="V197" s="1029">
        <v>0</v>
      </c>
      <c r="W197" s="971">
        <f t="shared" ref="W197:W204" si="115">(P197-T197)*U197+V197*P197*0.5</f>
        <v>0</v>
      </c>
      <c r="X197" s="971">
        <f t="shared" ref="X197:X204" si="116">R197-W197</f>
        <v>17940</v>
      </c>
      <c r="Y197" s="868">
        <f t="shared" si="105"/>
        <v>0</v>
      </c>
      <c r="Z197" s="861">
        <f t="shared" ref="Z197:Z205" si="117">IFERROR(X197/H197,"")</f>
        <v>1.4026583268178263</v>
      </c>
      <c r="AA197" s="856">
        <v>0.2437685092432359</v>
      </c>
      <c r="AB197" s="856">
        <v>9.9245819473896008E-3</v>
      </c>
      <c r="AC197" s="970">
        <f t="shared" si="107"/>
        <v>299</v>
      </c>
      <c r="AD197" s="970"/>
      <c r="AE197" s="970">
        <f t="shared" si="103"/>
        <v>0</v>
      </c>
      <c r="AF197" s="971">
        <f t="shared" ref="AF197:AF204" si="118">AC197*LEFT(I197,1)*12</f>
        <v>17940</v>
      </c>
      <c r="AG197" s="861">
        <f t="shared" ref="AG197:AG204" si="119">AF197/R197-1</f>
        <v>0</v>
      </c>
      <c r="AH197" s="576">
        <v>0</v>
      </c>
      <c r="AI197" s="856">
        <f t="shared" si="66"/>
        <v>0.2437685092432359</v>
      </c>
      <c r="AJ197" s="859">
        <v>0</v>
      </c>
      <c r="AK197" s="583">
        <v>0</v>
      </c>
      <c r="AL197" s="971">
        <f t="shared" ref="AL197:AL206" si="120">(AC197-AH197)*AJ197+AK197*AC197*0.5</f>
        <v>0</v>
      </c>
      <c r="AM197" s="971">
        <f t="shared" si="108"/>
        <v>17940</v>
      </c>
      <c r="AN197" s="856">
        <f t="shared" si="109"/>
        <v>0</v>
      </c>
      <c r="AO197" s="857">
        <f t="shared" si="110"/>
        <v>1.4026583268178263</v>
      </c>
      <c r="AP197" s="973">
        <f t="shared" si="111"/>
        <v>0</v>
      </c>
      <c r="AQ197" s="855">
        <f t="shared" si="112"/>
        <v>0</v>
      </c>
      <c r="AR197" s="974">
        <f t="shared" ref="AR197:AR206" si="121">IFERROR(AA197+AQ197*0.5,"")</f>
        <v>0.2437685092432359</v>
      </c>
      <c r="AS197" s="975"/>
      <c r="AT197" s="976"/>
      <c r="AU197" s="971"/>
      <c r="AV197" s="976"/>
      <c r="AW197" s="970">
        <f t="shared" ref="AW197:AW204" si="122">AC197</f>
        <v>299</v>
      </c>
      <c r="AX197" s="971">
        <f t="shared" ref="AX197:AX204" si="123">AW197-AC197</f>
        <v>0</v>
      </c>
      <c r="AY197" s="971">
        <f t="shared" ref="AY197:AY204" si="124">AW197*LEFT(I197,1)*12</f>
        <v>17940</v>
      </c>
      <c r="AZ197" s="977"/>
      <c r="BA197" s="972">
        <v>0</v>
      </c>
      <c r="BB197" s="971">
        <f t="shared" si="76"/>
        <v>0</v>
      </c>
      <c r="BC197" s="973">
        <f t="shared" si="77"/>
        <v>17940</v>
      </c>
      <c r="BD197" s="973">
        <f t="shared" ref="BD197:BD204" si="125">BC197-AM197</f>
        <v>0</v>
      </c>
      <c r="BE197" s="855">
        <f t="shared" ref="BE197:BE204" si="126">BC197/AM197-1</f>
        <v>0</v>
      </c>
      <c r="BF197" s="975">
        <f t="shared" si="80"/>
        <v>0.2437685092432359</v>
      </c>
      <c r="BG197" s="975"/>
      <c r="BH197" s="971">
        <f>AX197*1.1</f>
        <v>0</v>
      </c>
      <c r="BI197" s="970">
        <f t="shared" si="81"/>
        <v>299</v>
      </c>
      <c r="BJ197" s="971">
        <f t="shared" si="82"/>
        <v>0</v>
      </c>
      <c r="BK197" s="971">
        <f t="shared" ref="BK197:BK204" si="127">BI197*LEFT(I197,1)*12</f>
        <v>17940</v>
      </c>
      <c r="BL197" s="977"/>
      <c r="BM197" s="972">
        <v>0</v>
      </c>
      <c r="BN197" s="971">
        <f t="shared" si="84"/>
        <v>0</v>
      </c>
      <c r="BO197" s="973">
        <f t="shared" si="102"/>
        <v>17940</v>
      </c>
      <c r="BP197" s="973">
        <f t="shared" si="86"/>
        <v>0</v>
      </c>
      <c r="BQ197" s="855">
        <f t="shared" si="87"/>
        <v>0</v>
      </c>
      <c r="BR197" s="975">
        <f t="shared" si="88"/>
        <v>0</v>
      </c>
      <c r="BS197" s="975"/>
      <c r="BT197" s="978"/>
      <c r="BU197" s="978"/>
      <c r="BV197" s="978">
        <v>0.2433527342666619</v>
      </c>
      <c r="BW197" s="978">
        <f t="shared" si="113"/>
        <v>0.20576850924323589</v>
      </c>
    </row>
    <row r="198" spans="1:75" hidden="1">
      <c r="A198" s="980">
        <v>2606</v>
      </c>
      <c r="B198" s="979" t="s">
        <v>258</v>
      </c>
      <c r="C198" s="980" t="s">
        <v>829</v>
      </c>
      <c r="D198" s="985" t="s">
        <v>165</v>
      </c>
      <c r="E198" s="955"/>
      <c r="F198" s="955"/>
      <c r="G198" s="955" t="str">
        <f>IFERROR(VLOOKUP(D198,[3]전용!E:J,6,0),"")</f>
        <v/>
      </c>
      <c r="H198" s="854">
        <v>4500</v>
      </c>
      <c r="I198" s="955">
        <v>5</v>
      </c>
      <c r="J198" s="955" t="s">
        <v>215</v>
      </c>
      <c r="K198" s="955" t="s">
        <v>834</v>
      </c>
      <c r="L198" s="970">
        <v>99</v>
      </c>
      <c r="M198" s="971">
        <f t="shared" si="106"/>
        <v>5940</v>
      </c>
      <c r="N198" s="855">
        <v>0.22028182925840759</v>
      </c>
      <c r="O198" s="855"/>
      <c r="P198" s="970">
        <v>99</v>
      </c>
      <c r="Q198" s="970">
        <f t="shared" si="104"/>
        <v>0</v>
      </c>
      <c r="R198" s="971">
        <f t="shared" si="101"/>
        <v>5940</v>
      </c>
      <c r="S198" s="856">
        <f t="shared" si="114"/>
        <v>8.1899871298736243E-2</v>
      </c>
      <c r="T198" s="971"/>
      <c r="U198" s="971"/>
      <c r="V198" s="1029">
        <v>0</v>
      </c>
      <c r="W198" s="971">
        <f t="shared" si="115"/>
        <v>0</v>
      </c>
      <c r="X198" s="971">
        <f t="shared" si="116"/>
        <v>5940</v>
      </c>
      <c r="Y198" s="865">
        <f t="shared" si="105"/>
        <v>0</v>
      </c>
      <c r="Z198" s="857">
        <f t="shared" si="117"/>
        <v>1.32</v>
      </c>
      <c r="AA198" s="856">
        <v>8.1899871298736243E-2</v>
      </c>
      <c r="AB198" s="856">
        <v>2.9745453114925061E-2</v>
      </c>
      <c r="AC198" s="970">
        <f t="shared" si="107"/>
        <v>109</v>
      </c>
      <c r="AD198" s="970">
        <v>10</v>
      </c>
      <c r="AE198" s="970">
        <f t="shared" si="103"/>
        <v>3.96</v>
      </c>
      <c r="AF198" s="971">
        <f t="shared" si="118"/>
        <v>6540</v>
      </c>
      <c r="AG198" s="857">
        <f t="shared" si="119"/>
        <v>0.10101010101010099</v>
      </c>
      <c r="AH198" s="576">
        <v>0</v>
      </c>
      <c r="AI198" s="856">
        <f t="shared" si="66"/>
        <v>0.13240492180378674</v>
      </c>
      <c r="AJ198" s="859">
        <v>0</v>
      </c>
      <c r="AK198" s="583">
        <v>0</v>
      </c>
      <c r="AL198" s="971">
        <f t="shared" si="120"/>
        <v>0</v>
      </c>
      <c r="AM198" s="971">
        <f t="shared" si="108"/>
        <v>6540</v>
      </c>
      <c r="AN198" s="858">
        <f t="shared" si="109"/>
        <v>0</v>
      </c>
      <c r="AO198" s="857">
        <f t="shared" si="110"/>
        <v>1.4533333333333334</v>
      </c>
      <c r="AP198" s="973">
        <f t="shared" si="111"/>
        <v>600</v>
      </c>
      <c r="AQ198" s="855">
        <f t="shared" si="112"/>
        <v>0.10101010101010099</v>
      </c>
      <c r="AR198" s="974">
        <f t="shared" si="121"/>
        <v>0.13240492180378674</v>
      </c>
      <c r="AS198" s="975"/>
      <c r="AT198" s="976" t="e">
        <v>#N/A</v>
      </c>
      <c r="AU198" s="971" t="e">
        <f>P198-#REF!</f>
        <v>#REF!</v>
      </c>
      <c r="AV198" s="976"/>
      <c r="AW198" s="970">
        <f t="shared" si="122"/>
        <v>109</v>
      </c>
      <c r="AX198" s="971">
        <f t="shared" si="123"/>
        <v>0</v>
      </c>
      <c r="AY198" s="971">
        <f t="shared" si="124"/>
        <v>6540</v>
      </c>
      <c r="AZ198" s="977"/>
      <c r="BA198" s="972">
        <v>0</v>
      </c>
      <c r="BB198" s="971">
        <f t="shared" si="76"/>
        <v>0</v>
      </c>
      <c r="BC198" s="973">
        <f t="shared" si="77"/>
        <v>6540</v>
      </c>
      <c r="BD198" s="973">
        <f t="shared" si="125"/>
        <v>0</v>
      </c>
      <c r="BE198" s="855">
        <f t="shared" si="126"/>
        <v>0</v>
      </c>
      <c r="BF198" s="975">
        <f t="shared" si="80"/>
        <v>0.13240492180378674</v>
      </c>
      <c r="BG198" s="975"/>
      <c r="BH198" s="971">
        <f t="shared" ref="BH198:BH199" si="128">AX198</f>
        <v>0</v>
      </c>
      <c r="BI198" s="970">
        <f t="shared" si="81"/>
        <v>109</v>
      </c>
      <c r="BJ198" s="971">
        <f t="shared" si="82"/>
        <v>0</v>
      </c>
      <c r="BK198" s="971">
        <f t="shared" si="127"/>
        <v>6540</v>
      </c>
      <c r="BL198" s="977"/>
      <c r="BM198" s="972">
        <v>0</v>
      </c>
      <c r="BN198" s="971">
        <f t="shared" si="84"/>
        <v>0</v>
      </c>
      <c r="BO198" s="973">
        <f t="shared" si="102"/>
        <v>6540</v>
      </c>
      <c r="BP198" s="973">
        <f t="shared" si="86"/>
        <v>0</v>
      </c>
      <c r="BQ198" s="855">
        <f t="shared" si="87"/>
        <v>0</v>
      </c>
      <c r="BR198" s="975">
        <f t="shared" si="88"/>
        <v>0</v>
      </c>
      <c r="BS198" s="975"/>
      <c r="BT198" s="978"/>
      <c r="BU198" s="978"/>
      <c r="BV198" s="978">
        <v>8.0478812767191307E-2</v>
      </c>
      <c r="BW198" s="978">
        <f t="shared" si="113"/>
        <v>8.1899871298736243E-2</v>
      </c>
    </row>
    <row r="199" spans="1:75" hidden="1">
      <c r="A199" s="980">
        <v>2606</v>
      </c>
      <c r="B199" s="979" t="s">
        <v>258</v>
      </c>
      <c r="C199" s="980" t="s">
        <v>829</v>
      </c>
      <c r="D199" s="985" t="s">
        <v>166</v>
      </c>
      <c r="E199" s="955"/>
      <c r="F199" s="955"/>
      <c r="G199" s="955" t="str">
        <f>IFERROR(VLOOKUP(D199,[3]전용!E:J,6,0),"")</f>
        <v/>
      </c>
      <c r="H199" s="854">
        <v>6400</v>
      </c>
      <c r="I199" s="955">
        <v>5</v>
      </c>
      <c r="J199" s="955" t="s">
        <v>215</v>
      </c>
      <c r="K199" s="955" t="s">
        <v>834</v>
      </c>
      <c r="L199" s="970">
        <v>129</v>
      </c>
      <c r="M199" s="971">
        <f t="shared" si="106"/>
        <v>7740</v>
      </c>
      <c r="N199" s="855">
        <v>0.22687412685168998</v>
      </c>
      <c r="O199" s="855"/>
      <c r="P199" s="970">
        <v>129</v>
      </c>
      <c r="Q199" s="970">
        <f t="shared" si="104"/>
        <v>0</v>
      </c>
      <c r="R199" s="971">
        <f t="shared" si="101"/>
        <v>7740</v>
      </c>
      <c r="S199" s="856">
        <f t="shared" si="114"/>
        <v>7.5174713872429175E-2</v>
      </c>
      <c r="T199" s="971"/>
      <c r="U199" s="971"/>
      <c r="V199" s="1029">
        <v>0</v>
      </c>
      <c r="W199" s="971">
        <f t="shared" si="115"/>
        <v>0</v>
      </c>
      <c r="X199" s="971">
        <f t="shared" si="116"/>
        <v>7740</v>
      </c>
      <c r="Y199" s="858">
        <f t="shared" si="105"/>
        <v>0</v>
      </c>
      <c r="Z199" s="857">
        <f t="shared" si="117"/>
        <v>1.2093750000000001</v>
      </c>
      <c r="AA199" s="856">
        <v>7.5174713872429175E-2</v>
      </c>
      <c r="AB199" s="856">
        <v>5.4291387555660715E-2</v>
      </c>
      <c r="AC199" s="970">
        <f t="shared" si="107"/>
        <v>139</v>
      </c>
      <c r="AD199" s="970">
        <v>10</v>
      </c>
      <c r="AE199" s="970">
        <f t="shared" si="103"/>
        <v>5.16</v>
      </c>
      <c r="AF199" s="971">
        <f t="shared" si="118"/>
        <v>8340</v>
      </c>
      <c r="AG199" s="857">
        <f t="shared" si="119"/>
        <v>7.7519379844961156E-2</v>
      </c>
      <c r="AH199" s="576">
        <v>0</v>
      </c>
      <c r="AI199" s="856">
        <f t="shared" ref="AI199:AI206" si="129">AR199+(AN199/2)</f>
        <v>0.11393440379490975</v>
      </c>
      <c r="AJ199" s="859">
        <v>0</v>
      </c>
      <c r="AK199" s="583">
        <v>0</v>
      </c>
      <c r="AL199" s="971">
        <f t="shared" si="120"/>
        <v>0</v>
      </c>
      <c r="AM199" s="971">
        <f t="shared" si="108"/>
        <v>8340</v>
      </c>
      <c r="AN199" s="858">
        <f t="shared" si="109"/>
        <v>0</v>
      </c>
      <c r="AO199" s="857">
        <f t="shared" si="110"/>
        <v>1.3031250000000001</v>
      </c>
      <c r="AP199" s="973">
        <f t="shared" si="111"/>
        <v>600</v>
      </c>
      <c r="AQ199" s="855">
        <f t="shared" si="112"/>
        <v>7.7519379844961156E-2</v>
      </c>
      <c r="AR199" s="974">
        <f t="shared" si="121"/>
        <v>0.11393440379490975</v>
      </c>
      <c r="AS199" s="975"/>
      <c r="AT199" s="976" t="e">
        <v>#N/A</v>
      </c>
      <c r="AU199" s="971" t="e">
        <f>P199-#REF!</f>
        <v>#REF!</v>
      </c>
      <c r="AV199" s="976"/>
      <c r="AW199" s="970">
        <f t="shared" si="122"/>
        <v>139</v>
      </c>
      <c r="AX199" s="971">
        <f t="shared" si="123"/>
        <v>0</v>
      </c>
      <c r="AY199" s="971">
        <f t="shared" si="124"/>
        <v>8340</v>
      </c>
      <c r="AZ199" s="977"/>
      <c r="BA199" s="972">
        <v>0</v>
      </c>
      <c r="BB199" s="971">
        <f t="shared" si="76"/>
        <v>0</v>
      </c>
      <c r="BC199" s="973">
        <f t="shared" si="77"/>
        <v>8340</v>
      </c>
      <c r="BD199" s="973">
        <f t="shared" si="125"/>
        <v>0</v>
      </c>
      <c r="BE199" s="855">
        <f t="shared" si="126"/>
        <v>0</v>
      </c>
      <c r="BF199" s="975">
        <f t="shared" si="80"/>
        <v>0.11393440379490975</v>
      </c>
      <c r="BG199" s="975"/>
      <c r="BH199" s="971">
        <f t="shared" si="128"/>
        <v>0</v>
      </c>
      <c r="BI199" s="970">
        <f t="shared" si="81"/>
        <v>139</v>
      </c>
      <c r="BJ199" s="971">
        <f t="shared" si="82"/>
        <v>0</v>
      </c>
      <c r="BK199" s="971">
        <f t="shared" si="127"/>
        <v>8340</v>
      </c>
      <c r="BL199" s="977"/>
      <c r="BM199" s="972">
        <v>0</v>
      </c>
      <c r="BN199" s="971">
        <f t="shared" si="84"/>
        <v>0</v>
      </c>
      <c r="BO199" s="973">
        <f t="shared" si="102"/>
        <v>8340</v>
      </c>
      <c r="BP199" s="973">
        <f t="shared" si="86"/>
        <v>0</v>
      </c>
      <c r="BQ199" s="855">
        <f t="shared" si="87"/>
        <v>0</v>
      </c>
      <c r="BR199" s="975">
        <f t="shared" si="88"/>
        <v>0</v>
      </c>
      <c r="BS199" s="975"/>
      <c r="BT199" s="978"/>
      <c r="BU199" s="978"/>
      <c r="BV199" s="978">
        <v>7.5368333927539333E-2</v>
      </c>
      <c r="BW199" s="978">
        <f t="shared" si="113"/>
        <v>7.5174713872429175E-2</v>
      </c>
    </row>
    <row r="200" spans="1:75" hidden="1">
      <c r="A200" s="980">
        <v>2606</v>
      </c>
      <c r="B200" s="979" t="s">
        <v>258</v>
      </c>
      <c r="C200" s="980" t="s">
        <v>829</v>
      </c>
      <c r="D200" s="985" t="s">
        <v>253</v>
      </c>
      <c r="E200" s="955"/>
      <c r="F200" s="955"/>
      <c r="G200" s="955" t="str">
        <f>IFERROR(VLOOKUP(D200,[3]전용!E:J,6,0),"")</f>
        <v/>
      </c>
      <c r="H200" s="854">
        <v>28400</v>
      </c>
      <c r="I200" s="955">
        <v>5</v>
      </c>
      <c r="J200" s="955" t="s">
        <v>215</v>
      </c>
      <c r="K200" s="955" t="s">
        <v>834</v>
      </c>
      <c r="L200" s="970">
        <v>399</v>
      </c>
      <c r="M200" s="971">
        <f t="shared" si="106"/>
        <v>23940</v>
      </c>
      <c r="N200" s="855" t="e">
        <f>_xlfn.XLOOKUP(D200,#REF!,#REF!)</f>
        <v>#REF!</v>
      </c>
      <c r="O200" s="855"/>
      <c r="P200" s="970">
        <v>399</v>
      </c>
      <c r="Q200" s="970">
        <f t="shared" si="104"/>
        <v>0</v>
      </c>
      <c r="R200" s="971">
        <f t="shared" si="101"/>
        <v>23940</v>
      </c>
      <c r="S200" s="856">
        <f t="shared" si="114"/>
        <v>1.6054173508510475E-2</v>
      </c>
      <c r="T200" s="971"/>
      <c r="U200" s="971"/>
      <c r="V200" s="1029">
        <v>0</v>
      </c>
      <c r="W200" s="971">
        <f t="shared" si="115"/>
        <v>0</v>
      </c>
      <c r="X200" s="971">
        <f t="shared" si="116"/>
        <v>23940</v>
      </c>
      <c r="Y200" s="858">
        <f t="shared" si="105"/>
        <v>0</v>
      </c>
      <c r="Z200" s="857">
        <f t="shared" si="117"/>
        <v>0.84295774647887323</v>
      </c>
      <c r="AA200" s="856">
        <v>1.6054173508510475E-2</v>
      </c>
      <c r="AB200" s="856">
        <v>2.0494059424243771E-2</v>
      </c>
      <c r="AC200" s="970">
        <f t="shared" si="107"/>
        <v>449</v>
      </c>
      <c r="AD200" s="970">
        <v>50</v>
      </c>
      <c r="AE200" s="970">
        <f t="shared" si="103"/>
        <v>29.924999999999997</v>
      </c>
      <c r="AF200" s="971">
        <f t="shared" si="118"/>
        <v>26940</v>
      </c>
      <c r="AG200" s="857">
        <f t="shared" si="119"/>
        <v>0.12531328320802015</v>
      </c>
      <c r="AH200" s="576">
        <v>0</v>
      </c>
      <c r="AI200" s="856">
        <f t="shared" si="129"/>
        <v>7.8710815112520552E-2</v>
      </c>
      <c r="AJ200" s="859">
        <v>0</v>
      </c>
      <c r="AK200" s="583">
        <v>0</v>
      </c>
      <c r="AL200" s="971">
        <f t="shared" si="120"/>
        <v>0</v>
      </c>
      <c r="AM200" s="971">
        <f t="shared" si="108"/>
        <v>26940</v>
      </c>
      <c r="AN200" s="858">
        <f t="shared" si="109"/>
        <v>0</v>
      </c>
      <c r="AO200" s="857">
        <f t="shared" si="110"/>
        <v>0.94859154929577461</v>
      </c>
      <c r="AP200" s="973">
        <f t="shared" si="111"/>
        <v>3000</v>
      </c>
      <c r="AQ200" s="855">
        <f t="shared" si="112"/>
        <v>0.12531328320802015</v>
      </c>
      <c r="AR200" s="974">
        <f t="shared" si="121"/>
        <v>7.8710815112520552E-2</v>
      </c>
      <c r="AS200" s="975"/>
      <c r="AT200" s="976"/>
      <c r="AU200" s="971"/>
      <c r="AV200" s="976"/>
      <c r="AW200" s="970">
        <f t="shared" si="122"/>
        <v>449</v>
      </c>
      <c r="AX200" s="971">
        <f t="shared" si="123"/>
        <v>0</v>
      </c>
      <c r="AY200" s="971">
        <f t="shared" si="124"/>
        <v>26940</v>
      </c>
      <c r="AZ200" s="977"/>
      <c r="BA200" s="972">
        <v>0</v>
      </c>
      <c r="BB200" s="971">
        <f t="shared" si="76"/>
        <v>0</v>
      </c>
      <c r="BC200" s="973">
        <f t="shared" si="77"/>
        <v>26940</v>
      </c>
      <c r="BD200" s="973">
        <f t="shared" si="125"/>
        <v>0</v>
      </c>
      <c r="BE200" s="855">
        <f t="shared" si="126"/>
        <v>0</v>
      </c>
      <c r="BF200" s="975">
        <f t="shared" si="80"/>
        <v>7.8710815112520552E-2</v>
      </c>
      <c r="BG200" s="975"/>
      <c r="BH200" s="971">
        <f>AX200*1.1</f>
        <v>0</v>
      </c>
      <c r="BI200" s="970">
        <f t="shared" si="81"/>
        <v>449</v>
      </c>
      <c r="BJ200" s="971">
        <f t="shared" si="82"/>
        <v>0</v>
      </c>
      <c r="BK200" s="971">
        <f t="shared" si="127"/>
        <v>26940</v>
      </c>
      <c r="BL200" s="977"/>
      <c r="BM200" s="972">
        <v>0</v>
      </c>
      <c r="BN200" s="971">
        <f t="shared" si="84"/>
        <v>0</v>
      </c>
      <c r="BO200" s="973">
        <f t="shared" si="102"/>
        <v>26940</v>
      </c>
      <c r="BP200" s="973">
        <f t="shared" si="86"/>
        <v>0</v>
      </c>
      <c r="BQ200" s="855">
        <f t="shared" si="87"/>
        <v>0</v>
      </c>
      <c r="BR200" s="975">
        <f t="shared" si="88"/>
        <v>0</v>
      </c>
      <c r="BS200" s="975"/>
      <c r="BT200" s="978"/>
      <c r="BU200" s="978"/>
      <c r="BV200" s="978">
        <v>3.6054173508510499E-2</v>
      </c>
      <c r="BW200" s="978">
        <f t="shared" si="113"/>
        <v>1.6054173508510475E-2</v>
      </c>
    </row>
    <row r="201" spans="1:75" hidden="1">
      <c r="A201" s="980">
        <v>2606</v>
      </c>
      <c r="B201" s="979" t="s">
        <v>258</v>
      </c>
      <c r="C201" s="980" t="s">
        <v>829</v>
      </c>
      <c r="D201" s="985" t="s">
        <v>257</v>
      </c>
      <c r="E201" s="955"/>
      <c r="F201" s="955"/>
      <c r="G201" s="955" t="str">
        <f>IFERROR(VLOOKUP(D201,[3]전용!E:J,6,0),"")</f>
        <v/>
      </c>
      <c r="H201" s="854">
        <v>10800</v>
      </c>
      <c r="I201" s="955">
        <v>5</v>
      </c>
      <c r="J201" s="955" t="s">
        <v>215</v>
      </c>
      <c r="K201" s="955" t="s">
        <v>834</v>
      </c>
      <c r="L201" s="970">
        <v>169</v>
      </c>
      <c r="M201" s="971">
        <f t="shared" si="106"/>
        <v>10140</v>
      </c>
      <c r="N201" s="855" t="e">
        <f>_xlfn.XLOOKUP(D201,#REF!,#REF!)</f>
        <v>#REF!</v>
      </c>
      <c r="O201" s="855"/>
      <c r="P201" s="970">
        <v>169</v>
      </c>
      <c r="Q201" s="970">
        <f t="shared" si="104"/>
        <v>0</v>
      </c>
      <c r="R201" s="971">
        <f t="shared" si="101"/>
        <v>10140</v>
      </c>
      <c r="S201" s="856">
        <f t="shared" si="114"/>
        <v>-4.5913678562588219E-2</v>
      </c>
      <c r="T201" s="971"/>
      <c r="U201" s="971"/>
      <c r="V201" s="972">
        <v>0</v>
      </c>
      <c r="W201" s="971">
        <f t="shared" si="115"/>
        <v>0</v>
      </c>
      <c r="X201" s="971">
        <f t="shared" si="116"/>
        <v>10140</v>
      </c>
      <c r="Y201" s="858">
        <f t="shared" si="105"/>
        <v>0</v>
      </c>
      <c r="Z201" s="857">
        <f t="shared" si="117"/>
        <v>0.93888888888888888</v>
      </c>
      <c r="AA201" s="856">
        <v>-4.5913678562588219E-2</v>
      </c>
      <c r="AB201" s="856">
        <v>2.7613466311633184E-2</v>
      </c>
      <c r="AC201" s="970">
        <f t="shared" si="107"/>
        <v>189</v>
      </c>
      <c r="AD201" s="970">
        <v>20</v>
      </c>
      <c r="AE201" s="970">
        <f t="shared" si="103"/>
        <v>16.900000000000002</v>
      </c>
      <c r="AF201" s="971">
        <f t="shared" si="118"/>
        <v>11340</v>
      </c>
      <c r="AG201" s="857">
        <f t="shared" si="119"/>
        <v>0.11834319526627213</v>
      </c>
      <c r="AH201" s="576">
        <v>0</v>
      </c>
      <c r="AI201" s="856">
        <f t="shared" si="129"/>
        <v>1.3257919070547845E-2</v>
      </c>
      <c r="AJ201" s="859">
        <v>0</v>
      </c>
      <c r="AK201" s="583">
        <v>0</v>
      </c>
      <c r="AL201" s="971">
        <f t="shared" si="120"/>
        <v>0</v>
      </c>
      <c r="AM201" s="971">
        <f t="shared" si="108"/>
        <v>11340</v>
      </c>
      <c r="AN201" s="858">
        <f t="shared" si="109"/>
        <v>0</v>
      </c>
      <c r="AO201" s="857">
        <f t="shared" si="110"/>
        <v>1.05</v>
      </c>
      <c r="AP201" s="973">
        <f t="shared" si="111"/>
        <v>1200</v>
      </c>
      <c r="AQ201" s="855">
        <f t="shared" si="112"/>
        <v>0.11834319526627213</v>
      </c>
      <c r="AR201" s="974">
        <f t="shared" si="121"/>
        <v>1.3257919070547845E-2</v>
      </c>
      <c r="AS201" s="975"/>
      <c r="AT201" s="976"/>
      <c r="AU201" s="971"/>
      <c r="AV201" s="976"/>
      <c r="AW201" s="970">
        <f t="shared" si="122"/>
        <v>189</v>
      </c>
      <c r="AX201" s="971">
        <f t="shared" si="123"/>
        <v>0</v>
      </c>
      <c r="AY201" s="971">
        <f t="shared" si="124"/>
        <v>11340</v>
      </c>
      <c r="AZ201" s="977"/>
      <c r="BA201" s="972">
        <v>0</v>
      </c>
      <c r="BB201" s="971">
        <f t="shared" si="76"/>
        <v>0</v>
      </c>
      <c r="BC201" s="973">
        <f t="shared" si="77"/>
        <v>11340</v>
      </c>
      <c r="BD201" s="973">
        <f t="shared" si="125"/>
        <v>0</v>
      </c>
      <c r="BE201" s="855">
        <f t="shared" si="126"/>
        <v>0</v>
      </c>
      <c r="BF201" s="975">
        <f t="shared" si="80"/>
        <v>1.3257919070547845E-2</v>
      </c>
      <c r="BG201" s="975"/>
      <c r="BH201" s="971">
        <f>AX201*1.1</f>
        <v>0</v>
      </c>
      <c r="BI201" s="970">
        <f t="shared" si="81"/>
        <v>189</v>
      </c>
      <c r="BJ201" s="971">
        <f t="shared" si="82"/>
        <v>0</v>
      </c>
      <c r="BK201" s="971">
        <f t="shared" si="127"/>
        <v>11340</v>
      </c>
      <c r="BL201" s="977"/>
      <c r="BM201" s="972">
        <v>0</v>
      </c>
      <c r="BN201" s="971">
        <f t="shared" si="84"/>
        <v>0</v>
      </c>
      <c r="BO201" s="973">
        <f t="shared" si="102"/>
        <v>11340</v>
      </c>
      <c r="BP201" s="973">
        <f t="shared" si="86"/>
        <v>0</v>
      </c>
      <c r="BQ201" s="855">
        <f t="shared" si="87"/>
        <v>0</v>
      </c>
      <c r="BR201" s="975">
        <f t="shared" si="88"/>
        <v>0</v>
      </c>
      <c r="BS201" s="975"/>
      <c r="BT201" s="978"/>
      <c r="BU201" s="978"/>
      <c r="BV201" s="978">
        <v>2.9777875849302002E-3</v>
      </c>
      <c r="BW201" s="978">
        <f t="shared" si="113"/>
        <v>-4.5913678562588219E-2</v>
      </c>
    </row>
    <row r="202" spans="1:75" hidden="1">
      <c r="A202" s="985">
        <v>2606</v>
      </c>
      <c r="B202" s="1037" t="s">
        <v>44</v>
      </c>
      <c r="C202" s="985" t="s">
        <v>829</v>
      </c>
      <c r="D202" s="985" t="s">
        <v>216</v>
      </c>
      <c r="E202" s="955" t="str">
        <f t="shared" ref="E202:E204" si="130">D202</f>
        <v>45GX950A-B.ATM</v>
      </c>
      <c r="F202" s="955"/>
      <c r="G202" s="955" t="str">
        <f>IFERROR(VLOOKUP(D202,[3]전용!E:J,6,0),"")</f>
        <v/>
      </c>
      <c r="H202" s="854">
        <v>64700</v>
      </c>
      <c r="I202" s="955">
        <v>5</v>
      </c>
      <c r="J202" s="955" t="s">
        <v>215</v>
      </c>
      <c r="K202" s="955" t="s">
        <v>834</v>
      </c>
      <c r="L202" s="970">
        <v>1399</v>
      </c>
      <c r="M202" s="971">
        <f t="shared" si="106"/>
        <v>83940</v>
      </c>
      <c r="N202" s="855" t="e">
        <f>_xlfn.XLOOKUP(D202,#REF!,#REF!)</f>
        <v>#REF!</v>
      </c>
      <c r="O202" s="855"/>
      <c r="P202" s="970">
        <v>1399</v>
      </c>
      <c r="Q202" s="970">
        <f t="shared" si="104"/>
        <v>0</v>
      </c>
      <c r="R202" s="971">
        <f t="shared" si="101"/>
        <v>83940</v>
      </c>
      <c r="S202" s="856">
        <f t="shared" si="114"/>
        <v>4.5000000000000026E-2</v>
      </c>
      <c r="T202" s="971"/>
      <c r="U202" s="971"/>
      <c r="V202" s="972">
        <v>6</v>
      </c>
      <c r="W202" s="971">
        <f t="shared" si="115"/>
        <v>4197</v>
      </c>
      <c r="X202" s="971">
        <f t="shared" si="116"/>
        <v>79743</v>
      </c>
      <c r="Y202" s="858">
        <f t="shared" si="105"/>
        <v>-5.0000000000000044E-2</v>
      </c>
      <c r="Z202" s="857">
        <f t="shared" si="117"/>
        <v>1.2325038639876353</v>
      </c>
      <c r="AA202" s="856">
        <v>0.02</v>
      </c>
      <c r="AB202" s="856">
        <v>0.18432997246269037</v>
      </c>
      <c r="AC202" s="970">
        <f t="shared" si="107"/>
        <v>1499</v>
      </c>
      <c r="AD202" s="970">
        <v>100</v>
      </c>
      <c r="AE202" s="970">
        <f t="shared" si="103"/>
        <v>104.925</v>
      </c>
      <c r="AF202" s="971">
        <f t="shared" si="118"/>
        <v>89940</v>
      </c>
      <c r="AG202" s="857">
        <f t="shared" si="119"/>
        <v>7.1479628305932907E-2</v>
      </c>
      <c r="AH202" s="576">
        <v>0</v>
      </c>
      <c r="AI202" s="856">
        <f t="shared" si="129"/>
        <v>3.0739814152966435E-2</v>
      </c>
      <c r="AJ202" s="859">
        <v>0</v>
      </c>
      <c r="AK202" s="583">
        <v>6</v>
      </c>
      <c r="AL202" s="971">
        <f t="shared" si="120"/>
        <v>4497</v>
      </c>
      <c r="AM202" s="971">
        <f t="shared" si="108"/>
        <v>85443</v>
      </c>
      <c r="AN202" s="858">
        <f t="shared" si="109"/>
        <v>-5.0000000000000044E-2</v>
      </c>
      <c r="AO202" s="857">
        <f t="shared" si="110"/>
        <v>1.3206027820710973</v>
      </c>
      <c r="AP202" s="973">
        <f t="shared" si="111"/>
        <v>5700</v>
      </c>
      <c r="AQ202" s="855">
        <f t="shared" si="112"/>
        <v>7.1479628305932907E-2</v>
      </c>
      <c r="AR202" s="974">
        <f t="shared" si="121"/>
        <v>5.5739814152966458E-2</v>
      </c>
      <c r="AS202" s="975" t="s">
        <v>218</v>
      </c>
      <c r="AT202" s="976"/>
      <c r="AU202" s="971"/>
      <c r="AV202" s="976"/>
      <c r="AW202" s="970">
        <f t="shared" si="122"/>
        <v>1499</v>
      </c>
      <c r="AX202" s="971">
        <f t="shared" si="123"/>
        <v>0</v>
      </c>
      <c r="AY202" s="971">
        <f t="shared" si="124"/>
        <v>89940</v>
      </c>
      <c r="AZ202" s="977"/>
      <c r="BA202" s="972">
        <v>6</v>
      </c>
      <c r="BB202" s="971">
        <f t="shared" si="76"/>
        <v>4497</v>
      </c>
      <c r="BC202" s="973">
        <f t="shared" si="77"/>
        <v>85443</v>
      </c>
      <c r="BD202" s="973">
        <f t="shared" si="125"/>
        <v>0</v>
      </c>
      <c r="BE202" s="855">
        <f t="shared" si="126"/>
        <v>0</v>
      </c>
      <c r="BF202" s="975">
        <f t="shared" si="80"/>
        <v>5.5739814152966458E-2</v>
      </c>
      <c r="BG202" s="975" t="s">
        <v>218</v>
      </c>
      <c r="BH202" s="971">
        <v>1399</v>
      </c>
      <c r="BI202" s="970">
        <f t="shared" si="81"/>
        <v>1499</v>
      </c>
      <c r="BJ202" s="971">
        <f t="shared" si="82"/>
        <v>0</v>
      </c>
      <c r="BK202" s="971">
        <f t="shared" si="127"/>
        <v>89940</v>
      </c>
      <c r="BL202" s="977"/>
      <c r="BM202" s="972">
        <v>6</v>
      </c>
      <c r="BN202" s="971">
        <f t="shared" si="84"/>
        <v>4497</v>
      </c>
      <c r="BO202" s="973">
        <f t="shared" si="102"/>
        <v>85443</v>
      </c>
      <c r="BP202" s="973">
        <f t="shared" si="86"/>
        <v>0</v>
      </c>
      <c r="BQ202" s="855">
        <f t="shared" si="87"/>
        <v>0</v>
      </c>
      <c r="BR202" s="975">
        <f t="shared" si="88"/>
        <v>0</v>
      </c>
      <c r="BS202" s="975" t="s">
        <v>218</v>
      </c>
      <c r="BT202" s="978"/>
      <c r="BU202" s="978"/>
      <c r="BV202" s="978">
        <v>1.07176475849321E-2</v>
      </c>
      <c r="BW202" s="978">
        <f t="shared" si="113"/>
        <v>0.02</v>
      </c>
    </row>
    <row r="203" spans="1:75" hidden="1">
      <c r="A203" s="985">
        <v>2606</v>
      </c>
      <c r="B203" s="1037" t="s">
        <v>44</v>
      </c>
      <c r="C203" s="985" t="s">
        <v>829</v>
      </c>
      <c r="D203" s="985" t="s">
        <v>191</v>
      </c>
      <c r="E203" s="955" t="str">
        <f t="shared" si="130"/>
        <v>34GX90SA-W.ATM</v>
      </c>
      <c r="F203" s="955"/>
      <c r="G203" s="955" t="str">
        <f>IFERROR(VLOOKUP(D203,[3]전용!E:J,6,0),"")</f>
        <v/>
      </c>
      <c r="H203" s="860">
        <v>30600</v>
      </c>
      <c r="I203" s="955">
        <v>5</v>
      </c>
      <c r="J203" s="955" t="s">
        <v>215</v>
      </c>
      <c r="K203" s="955" t="s">
        <v>834</v>
      </c>
      <c r="L203" s="970">
        <v>799</v>
      </c>
      <c r="M203" s="971">
        <f t="shared" si="106"/>
        <v>47940</v>
      </c>
      <c r="N203" s="855">
        <v>0.19971948594228475</v>
      </c>
      <c r="O203" s="855"/>
      <c r="P203" s="970">
        <v>799</v>
      </c>
      <c r="Q203" s="970">
        <f t="shared" si="104"/>
        <v>0</v>
      </c>
      <c r="R203" s="971">
        <f t="shared" si="101"/>
        <v>47940</v>
      </c>
      <c r="S203" s="856">
        <f t="shared" si="114"/>
        <v>9.2019675764830975E-3</v>
      </c>
      <c r="T203" s="971"/>
      <c r="U203" s="971"/>
      <c r="V203" s="972">
        <v>0</v>
      </c>
      <c r="W203" s="971">
        <f t="shared" si="115"/>
        <v>0</v>
      </c>
      <c r="X203" s="971">
        <f t="shared" si="116"/>
        <v>47940</v>
      </c>
      <c r="Y203" s="856">
        <f t="shared" si="105"/>
        <v>0</v>
      </c>
      <c r="Z203" s="861">
        <f t="shared" si="117"/>
        <v>1.5666666666666667</v>
      </c>
      <c r="AA203" s="856">
        <v>9.2019675764830975E-3</v>
      </c>
      <c r="AB203" s="856">
        <v>7.1952983551240593E-2</v>
      </c>
      <c r="AC203" s="970">
        <f t="shared" si="107"/>
        <v>849</v>
      </c>
      <c r="AD203" s="970">
        <v>50</v>
      </c>
      <c r="AE203" s="970">
        <f t="shared" si="103"/>
        <v>59.924999999999997</v>
      </c>
      <c r="AF203" s="971">
        <f t="shared" si="118"/>
        <v>50940</v>
      </c>
      <c r="AG203" s="861">
        <f t="shared" si="119"/>
        <v>6.2578222778473025E-2</v>
      </c>
      <c r="AH203" s="576">
        <v>0</v>
      </c>
      <c r="AI203" s="856">
        <f t="shared" si="129"/>
        <v>5.3006723521414209E-2</v>
      </c>
      <c r="AJ203" s="859">
        <v>0</v>
      </c>
      <c r="AK203" s="583">
        <v>0</v>
      </c>
      <c r="AL203" s="971">
        <f t="shared" si="120"/>
        <v>0</v>
      </c>
      <c r="AM203" s="971">
        <f t="shared" si="108"/>
        <v>50940</v>
      </c>
      <c r="AN203" s="856">
        <f t="shared" si="109"/>
        <v>0</v>
      </c>
      <c r="AO203" s="857">
        <f t="shared" si="110"/>
        <v>1.6647058823529413</v>
      </c>
      <c r="AP203" s="973">
        <f t="shared" si="111"/>
        <v>3000</v>
      </c>
      <c r="AQ203" s="855">
        <f t="shared" si="112"/>
        <v>6.2578222778473025E-2</v>
      </c>
      <c r="AR203" s="974">
        <f>IFERROR(AA203+AQ203*0.7,"")</f>
        <v>5.3006723521414209E-2</v>
      </c>
      <c r="AS203" s="975"/>
      <c r="AT203" s="976" t="e">
        <v>#N/A</v>
      </c>
      <c r="AU203" s="971" t="e">
        <f>P203-#REF!</f>
        <v>#REF!</v>
      </c>
      <c r="AV203" s="976"/>
      <c r="AW203" s="970">
        <f t="shared" si="122"/>
        <v>849</v>
      </c>
      <c r="AX203" s="971">
        <f t="shared" si="123"/>
        <v>0</v>
      </c>
      <c r="AY203" s="971">
        <f t="shared" si="124"/>
        <v>50940</v>
      </c>
      <c r="AZ203" s="977"/>
      <c r="BA203" s="972">
        <v>0</v>
      </c>
      <c r="BB203" s="971">
        <f t="shared" si="76"/>
        <v>0</v>
      </c>
      <c r="BC203" s="973">
        <f t="shared" si="77"/>
        <v>50940</v>
      </c>
      <c r="BD203" s="973">
        <f t="shared" si="125"/>
        <v>0</v>
      </c>
      <c r="BE203" s="855">
        <f t="shared" si="126"/>
        <v>0</v>
      </c>
      <c r="BF203" s="975">
        <f t="shared" si="80"/>
        <v>5.3006723521414209E-2</v>
      </c>
      <c r="BG203" s="975"/>
      <c r="BH203" s="971">
        <v>799</v>
      </c>
      <c r="BI203" s="970">
        <f t="shared" si="81"/>
        <v>849</v>
      </c>
      <c r="BJ203" s="971">
        <f t="shared" si="82"/>
        <v>0</v>
      </c>
      <c r="BK203" s="971">
        <f t="shared" si="127"/>
        <v>50940</v>
      </c>
      <c r="BL203" s="977"/>
      <c r="BM203" s="972">
        <v>0</v>
      </c>
      <c r="BN203" s="971">
        <f t="shared" si="84"/>
        <v>0</v>
      </c>
      <c r="BO203" s="973">
        <f t="shared" si="102"/>
        <v>50940</v>
      </c>
      <c r="BP203" s="973">
        <f t="shared" si="86"/>
        <v>0</v>
      </c>
      <c r="BQ203" s="855">
        <f t="shared" si="87"/>
        <v>0</v>
      </c>
      <c r="BR203" s="975">
        <f t="shared" si="88"/>
        <v>0</v>
      </c>
      <c r="BS203" s="975"/>
      <c r="BT203" s="978"/>
      <c r="BU203" s="978"/>
      <c r="BV203" s="978">
        <v>2.7904156581097701E-2</v>
      </c>
      <c r="BW203" s="978">
        <f t="shared" si="113"/>
        <v>9.2019675764830975E-3</v>
      </c>
    </row>
    <row r="204" spans="1:75">
      <c r="A204" s="985">
        <v>2606</v>
      </c>
      <c r="B204" s="1037" t="s">
        <v>44</v>
      </c>
      <c r="C204" s="985" t="s">
        <v>833</v>
      </c>
      <c r="D204" s="991" t="s">
        <v>365</v>
      </c>
      <c r="E204" s="955" t="str">
        <f t="shared" si="130"/>
        <v>27GX704A-B.ATM</v>
      </c>
      <c r="F204" s="955"/>
      <c r="G204" s="955" t="str">
        <f>IFERROR(VLOOKUP(D204,[3]전용!E:J,6,0),"")</f>
        <v/>
      </c>
      <c r="H204" s="854">
        <v>19000</v>
      </c>
      <c r="I204" s="955">
        <v>5</v>
      </c>
      <c r="J204" s="955" t="s">
        <v>215</v>
      </c>
      <c r="K204" s="955" t="s">
        <v>389</v>
      </c>
      <c r="L204" s="970">
        <v>449</v>
      </c>
      <c r="M204" s="971">
        <f t="shared" si="106"/>
        <v>26940</v>
      </c>
      <c r="N204" s="855">
        <v>0.11</v>
      </c>
      <c r="O204" s="855"/>
      <c r="P204" s="970">
        <v>449</v>
      </c>
      <c r="Q204" s="1033">
        <f>P204-L204</f>
        <v>0</v>
      </c>
      <c r="R204" s="971">
        <f t="shared" si="101"/>
        <v>26940</v>
      </c>
      <c r="S204" s="856">
        <f t="shared" si="114"/>
        <v>0.13737526042882409</v>
      </c>
      <c r="T204" s="971"/>
      <c r="U204" s="971"/>
      <c r="V204" s="976">
        <v>3</v>
      </c>
      <c r="W204" s="971">
        <f t="shared" si="115"/>
        <v>673.5</v>
      </c>
      <c r="X204" s="971">
        <f t="shared" si="116"/>
        <v>26266.5</v>
      </c>
      <c r="Y204" s="858">
        <f t="shared" si="105"/>
        <v>-2.5000000000000022E-2</v>
      </c>
      <c r="Z204" s="857">
        <f t="shared" si="117"/>
        <v>1.3824473684210525</v>
      </c>
      <c r="AA204" s="856">
        <v>0.12487526042882406</v>
      </c>
      <c r="AB204" s="856">
        <v>1.0349799951112812E-3</v>
      </c>
      <c r="AC204" s="1041">
        <v>399</v>
      </c>
      <c r="AD204" s="970">
        <f>AC204-P204</f>
        <v>-50</v>
      </c>
      <c r="AE204" s="970">
        <f t="shared" si="103"/>
        <v>0</v>
      </c>
      <c r="AF204" s="971">
        <f t="shared" si="118"/>
        <v>23940</v>
      </c>
      <c r="AG204" s="857">
        <f t="shared" si="119"/>
        <v>-0.11135857461024501</v>
      </c>
      <c r="AH204" s="576">
        <v>0</v>
      </c>
      <c r="AI204" s="856">
        <v>0.13</v>
      </c>
      <c r="AJ204" s="859">
        <v>0</v>
      </c>
      <c r="AK204" s="583">
        <v>3</v>
      </c>
      <c r="AL204" s="971">
        <f t="shared" si="120"/>
        <v>598.5</v>
      </c>
      <c r="AM204" s="971">
        <f t="shared" si="108"/>
        <v>23341.5</v>
      </c>
      <c r="AN204" s="858">
        <f t="shared" si="109"/>
        <v>-2.5000000000000022E-2</v>
      </c>
      <c r="AO204" s="857">
        <f t="shared" si="110"/>
        <v>1.2284999999999999</v>
      </c>
      <c r="AP204" s="973">
        <f t="shared" si="111"/>
        <v>-2925</v>
      </c>
      <c r="AQ204" s="855">
        <f t="shared" si="112"/>
        <v>-0.11135857461024501</v>
      </c>
      <c r="AR204" s="1042">
        <f>IFERROR(AA204-AG204*0.5,"")+5%</f>
        <v>0.23055454773394657</v>
      </c>
      <c r="AS204" s="975" t="s">
        <v>389</v>
      </c>
      <c r="AT204" s="976" t="s">
        <v>389</v>
      </c>
      <c r="AU204" s="971" t="s">
        <v>389</v>
      </c>
      <c r="AV204" s="976" t="s">
        <v>389</v>
      </c>
      <c r="AW204" s="970">
        <f t="shared" si="122"/>
        <v>399</v>
      </c>
      <c r="AX204" s="971">
        <f t="shared" si="123"/>
        <v>0</v>
      </c>
      <c r="AY204" s="971">
        <f t="shared" si="124"/>
        <v>23940</v>
      </c>
      <c r="AZ204" s="977"/>
      <c r="BA204" s="976">
        <v>3</v>
      </c>
      <c r="BB204" s="971">
        <f t="shared" si="76"/>
        <v>598.5</v>
      </c>
      <c r="BC204" s="973">
        <f t="shared" si="77"/>
        <v>23341.5</v>
      </c>
      <c r="BD204" s="973">
        <f t="shared" si="125"/>
        <v>0</v>
      </c>
      <c r="BE204" s="855">
        <f t="shared" si="126"/>
        <v>0</v>
      </c>
      <c r="BF204" s="975">
        <f t="shared" si="80"/>
        <v>0.23055454773394657</v>
      </c>
      <c r="BG204" s="975" t="s">
        <v>389</v>
      </c>
      <c r="BH204" s="971">
        <v>449</v>
      </c>
      <c r="BI204" s="970">
        <f t="shared" si="81"/>
        <v>399</v>
      </c>
      <c r="BJ204" s="971">
        <f t="shared" si="82"/>
        <v>0</v>
      </c>
      <c r="BK204" s="971">
        <f t="shared" si="127"/>
        <v>23940</v>
      </c>
      <c r="BL204" s="977"/>
      <c r="BM204" s="976">
        <v>3</v>
      </c>
      <c r="BN204" s="971">
        <f t="shared" si="84"/>
        <v>598.5</v>
      </c>
      <c r="BO204" s="973">
        <f t="shared" si="102"/>
        <v>23341.5</v>
      </c>
      <c r="BP204" s="973">
        <f t="shared" si="86"/>
        <v>0</v>
      </c>
      <c r="BQ204" s="855">
        <f t="shared" si="87"/>
        <v>0</v>
      </c>
      <c r="BR204" s="975">
        <f t="shared" si="88"/>
        <v>0</v>
      </c>
      <c r="BS204" s="975" t="s">
        <v>389</v>
      </c>
      <c r="BT204" s="978"/>
      <c r="BU204" s="978"/>
      <c r="BV204" s="978">
        <v>0.12487526042882406</v>
      </c>
      <c r="BW204" s="978">
        <f t="shared" si="113"/>
        <v>0.12487526042882406</v>
      </c>
    </row>
    <row r="205" spans="1:75" hidden="1">
      <c r="A205" s="985">
        <v>2606</v>
      </c>
      <c r="B205" s="1037" t="s">
        <v>44</v>
      </c>
      <c r="C205" s="985" t="s">
        <v>829</v>
      </c>
      <c r="D205" s="985" t="s">
        <v>164</v>
      </c>
      <c r="E205" s="955" t="str">
        <f>D205</f>
        <v>32U889SA-W.ATM</v>
      </c>
      <c r="F205" s="955"/>
      <c r="G205" s="955" t="str">
        <f>IFERROR(VLOOKUP(D205,[3]전용!E:J,6,0),"")</f>
        <v/>
      </c>
      <c r="H205" s="854">
        <v>29400</v>
      </c>
      <c r="I205" s="955">
        <v>5</v>
      </c>
      <c r="J205" s="955" t="s">
        <v>215</v>
      </c>
      <c r="K205" s="955" t="s">
        <v>834</v>
      </c>
      <c r="L205" s="970">
        <v>599</v>
      </c>
      <c r="M205" s="971">
        <f>L205*LEFT(I205,1)*12</f>
        <v>35940</v>
      </c>
      <c r="N205" s="855">
        <v>0.20319553918412364</v>
      </c>
      <c r="O205" s="855"/>
      <c r="P205" s="970">
        <v>599</v>
      </c>
      <c r="Q205" s="970">
        <f t="shared" si="104"/>
        <v>0</v>
      </c>
      <c r="R205" s="971">
        <f t="shared" si="101"/>
        <v>35940</v>
      </c>
      <c r="S205" s="856">
        <f t="shared" si="114"/>
        <v>1.3032382943287528E-2</v>
      </c>
      <c r="T205" s="971"/>
      <c r="U205" s="971"/>
      <c r="V205" s="972">
        <v>6</v>
      </c>
      <c r="W205" s="971">
        <f>(P205-T205)*U205+V205*P205*0.5</f>
        <v>1797</v>
      </c>
      <c r="X205" s="971">
        <f>R205-W205</f>
        <v>34143</v>
      </c>
      <c r="Y205" s="858">
        <f t="shared" si="105"/>
        <v>-5.0000000000000044E-2</v>
      </c>
      <c r="Z205" s="857">
        <f t="shared" si="117"/>
        <v>1.1613265306122449</v>
      </c>
      <c r="AA205" s="856">
        <v>-1.1967617056712494E-2</v>
      </c>
      <c r="AB205" s="856">
        <v>2.0538515404104851E-2</v>
      </c>
      <c r="AC205" s="970">
        <f>P205+AD205</f>
        <v>699</v>
      </c>
      <c r="AD205" s="970">
        <v>100</v>
      </c>
      <c r="AE205" s="970">
        <f t="shared" si="103"/>
        <v>59.900000000000006</v>
      </c>
      <c r="AF205" s="971">
        <f>AC205*LEFT(I205,1)*12</f>
        <v>41940</v>
      </c>
      <c r="AG205" s="857">
        <f>AF205/R205-1</f>
        <v>0.1669449081803005</v>
      </c>
      <c r="AH205" s="576">
        <v>0</v>
      </c>
      <c r="AI205" s="856">
        <f t="shared" si="129"/>
        <v>7.9893818669497824E-2</v>
      </c>
      <c r="AJ205" s="859">
        <v>0</v>
      </c>
      <c r="AK205" s="583">
        <v>6</v>
      </c>
      <c r="AL205" s="971">
        <f t="shared" si="120"/>
        <v>2097</v>
      </c>
      <c r="AM205" s="971">
        <f t="shared" si="108"/>
        <v>39843</v>
      </c>
      <c r="AN205" s="858">
        <f t="shared" si="109"/>
        <v>-5.0000000000000044E-2</v>
      </c>
      <c r="AO205" s="857">
        <f t="shared" si="110"/>
        <v>1.3552040816326532</v>
      </c>
      <c r="AP205" s="973">
        <f t="shared" si="111"/>
        <v>5700</v>
      </c>
      <c r="AQ205" s="855">
        <f t="shared" si="112"/>
        <v>0.1669449081803005</v>
      </c>
      <c r="AR205" s="974">
        <f>IFERROR(AA205+AQ205*0.7,"")</f>
        <v>0.10489381866949785</v>
      </c>
      <c r="AS205" s="975" t="s">
        <v>293</v>
      </c>
      <c r="AT205" s="943"/>
      <c r="AU205" s="943"/>
      <c r="AV205" s="943"/>
      <c r="AW205" s="943"/>
      <c r="AX205" s="943"/>
      <c r="AY205" s="943"/>
      <c r="AZ205" s="943"/>
      <c r="BA205" s="943"/>
      <c r="BB205" s="943"/>
      <c r="BC205" s="943"/>
      <c r="BD205" s="943"/>
      <c r="BE205" s="943"/>
      <c r="BF205" s="943"/>
      <c r="BG205" s="943"/>
      <c r="BH205" s="943"/>
      <c r="BI205" s="943"/>
      <c r="BJ205" s="943"/>
      <c r="BK205" s="943"/>
      <c r="BL205" s="943"/>
      <c r="BM205" s="943"/>
      <c r="BN205" s="943"/>
      <c r="BO205" s="943"/>
      <c r="BP205" s="943"/>
      <c r="BQ205" s="943"/>
      <c r="BR205" s="943"/>
      <c r="BS205" s="943"/>
      <c r="BT205" s="943"/>
      <c r="BU205" s="943"/>
      <c r="BV205" s="943">
        <v>8.0000340709965208E-3</v>
      </c>
      <c r="BW205" s="978">
        <f t="shared" si="113"/>
        <v>-1.1967617056712494E-2</v>
      </c>
    </row>
    <row r="206" spans="1:75" hidden="1">
      <c r="A206" s="985">
        <v>2606</v>
      </c>
      <c r="B206" s="1037" t="s">
        <v>44</v>
      </c>
      <c r="C206" s="985" t="s">
        <v>829</v>
      </c>
      <c r="D206" s="985" t="s">
        <v>916</v>
      </c>
      <c r="E206" s="955" t="str">
        <f>D206</f>
        <v>34U650A-B.ATM</v>
      </c>
      <c r="F206" s="987"/>
      <c r="G206" s="955" t="str">
        <f>IFERROR(VLOOKUP(D206,[3]전용!E:J,6,0),"")</f>
        <v/>
      </c>
      <c r="H206" s="860">
        <v>14500</v>
      </c>
      <c r="I206" s="987">
        <v>5</v>
      </c>
      <c r="J206" s="987" t="s">
        <v>215</v>
      </c>
      <c r="K206" s="987" t="s">
        <v>389</v>
      </c>
      <c r="L206" s="988">
        <v>399</v>
      </c>
      <c r="M206" s="971">
        <f>L206*LEFT(I206,1)*12</f>
        <v>23940</v>
      </c>
      <c r="N206" s="855">
        <v>0.1</v>
      </c>
      <c r="O206" s="855"/>
      <c r="P206" s="988">
        <v>399</v>
      </c>
      <c r="Q206" s="970">
        <f t="shared" si="104"/>
        <v>0</v>
      </c>
      <c r="R206" s="971">
        <f t="shared" si="101"/>
        <v>23940</v>
      </c>
      <c r="S206" s="856">
        <f t="shared" si="114"/>
        <v>0.11</v>
      </c>
      <c r="T206" s="971"/>
      <c r="U206" s="971"/>
      <c r="V206" s="1038">
        <v>0</v>
      </c>
      <c r="W206" s="971">
        <f>(P206-T206)*U206+V206*P206*0.5</f>
        <v>0</v>
      </c>
      <c r="X206" s="971">
        <f>R206-W206</f>
        <v>23940</v>
      </c>
      <c r="Y206" s="856">
        <f t="shared" si="105"/>
        <v>0</v>
      </c>
      <c r="Z206" s="861">
        <f>IFERROR(X206/H206,"")</f>
        <v>1.6510344827586207</v>
      </c>
      <c r="AA206" s="856">
        <v>0.11</v>
      </c>
      <c r="AB206" s="856">
        <v>0.06</v>
      </c>
      <c r="AC206" s="970">
        <f>P206+AD206</f>
        <v>399</v>
      </c>
      <c r="AD206" s="970"/>
      <c r="AE206" s="970">
        <f t="shared" si="103"/>
        <v>0</v>
      </c>
      <c r="AF206" s="971">
        <f>AC206*LEFT(I206,1)*12</f>
        <v>23940</v>
      </c>
      <c r="AG206" s="861">
        <f>AF206/R206-1</f>
        <v>0</v>
      </c>
      <c r="AH206" s="576">
        <v>0</v>
      </c>
      <c r="AI206" s="856">
        <f t="shared" si="129"/>
        <v>0.11</v>
      </c>
      <c r="AJ206" s="859">
        <v>0</v>
      </c>
      <c r="AK206" s="583">
        <v>0</v>
      </c>
      <c r="AL206" s="971">
        <f t="shared" si="120"/>
        <v>0</v>
      </c>
      <c r="AM206" s="971">
        <f t="shared" si="108"/>
        <v>23940</v>
      </c>
      <c r="AN206" s="856">
        <f t="shared" si="109"/>
        <v>0</v>
      </c>
      <c r="AO206" s="857">
        <f t="shared" si="110"/>
        <v>1.6510344827586207</v>
      </c>
      <c r="AP206" s="973">
        <f t="shared" si="111"/>
        <v>0</v>
      </c>
      <c r="AQ206" s="855">
        <f t="shared" si="112"/>
        <v>0</v>
      </c>
      <c r="AR206" s="974">
        <f t="shared" si="121"/>
        <v>0.11</v>
      </c>
      <c r="AS206" s="1039" t="s">
        <v>389</v>
      </c>
      <c r="AT206" s="943"/>
      <c r="AU206" s="943"/>
      <c r="AV206" s="943"/>
      <c r="AW206" s="943"/>
      <c r="AX206" s="943"/>
      <c r="AY206" s="943"/>
      <c r="AZ206" s="943"/>
      <c r="BA206" s="943"/>
      <c r="BB206" s="943"/>
      <c r="BC206" s="943"/>
      <c r="BD206" s="943"/>
      <c r="BE206" s="943"/>
      <c r="BF206" s="943"/>
      <c r="BG206" s="943"/>
      <c r="BH206" s="943"/>
      <c r="BI206" s="943"/>
      <c r="BJ206" s="943"/>
      <c r="BK206" s="943"/>
      <c r="BL206" s="943"/>
      <c r="BM206" s="943"/>
      <c r="BN206" s="943"/>
      <c r="BO206" s="943"/>
      <c r="BP206" s="943"/>
      <c r="BQ206" s="943"/>
      <c r="BR206" s="943"/>
      <c r="BS206" s="943"/>
      <c r="BT206" s="943"/>
      <c r="BU206" s="943"/>
      <c r="BV206" s="943">
        <v>0.151</v>
      </c>
      <c r="BW206" s="978">
        <f t="shared" si="113"/>
        <v>0.11</v>
      </c>
    </row>
  </sheetData>
  <autoFilter ref="A3:BW206" xr:uid="{421FDDD0-9D00-49B4-924E-4B34DF1B1E22}">
    <filterColumn colId="2">
      <filters>
        <filter val="OBS Exclusive"/>
      </filters>
    </filterColumn>
  </autoFilter>
  <mergeCells count="5">
    <mergeCell ref="A2:H2"/>
    <mergeCell ref="P2:AA2"/>
    <mergeCell ref="AC2:AS2"/>
    <mergeCell ref="AW2:BG2"/>
    <mergeCell ref="BH2:BS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AC4DE-58C2-4744-AEED-A0E0929745FF}">
  <dimension ref="C2:K32"/>
  <sheetViews>
    <sheetView showGridLines="0" zoomScale="85" zoomScaleNormal="85" workbookViewId="0">
      <pane xSplit="1" ySplit="11" topLeftCell="B12" activePane="bottomRight" state="frozen"/>
      <selection pane="topRight" activeCell="B9" sqref="B9"/>
      <selection pane="bottomLeft" activeCell="A12" sqref="A12"/>
      <selection pane="bottomRight" activeCell="D5" sqref="D5"/>
    </sheetView>
  </sheetViews>
  <sheetFormatPr defaultColWidth="9.36328125" defaultRowHeight="15.5"/>
  <cols>
    <col min="1" max="2" width="2.81640625" style="93" customWidth="1"/>
    <col min="3" max="3" width="36.81640625" style="1103" customWidth="1"/>
    <col min="4" max="4" width="121.1796875" style="1104" customWidth="1"/>
    <col min="5" max="5" width="31.1796875" style="1105" bestFit="1" customWidth="1"/>
    <col min="6" max="6" width="33.90625" style="1105" bestFit="1" customWidth="1"/>
    <col min="7" max="7" width="10.08984375" style="93" customWidth="1"/>
    <col min="8" max="8" width="9.36328125" style="93" customWidth="1"/>
    <col min="12" max="16384" width="9.36328125" style="93"/>
  </cols>
  <sheetData>
    <row r="2" spans="3:6" ht="78.5" customHeight="1">
      <c r="C2" s="1106" t="s">
        <v>491</v>
      </c>
      <c r="D2" s="1107" t="s">
        <v>492</v>
      </c>
    </row>
    <row r="3" spans="3:6" ht="46.5">
      <c r="C3" s="1350" t="s">
        <v>493</v>
      </c>
      <c r="D3" s="1107" t="s">
        <v>494</v>
      </c>
    </row>
    <row r="4" spans="3:6" ht="31">
      <c r="C4" s="1351"/>
      <c r="D4" s="1108" t="s">
        <v>495</v>
      </c>
    </row>
    <row r="5" spans="3:6" ht="77.5">
      <c r="C5" s="1106" t="s">
        <v>496</v>
      </c>
      <c r="D5" s="1107" t="s">
        <v>497</v>
      </c>
    </row>
    <row r="6" spans="3:6" ht="46.5">
      <c r="C6" s="1352" t="s">
        <v>498</v>
      </c>
      <c r="D6" s="1107" t="s">
        <v>499</v>
      </c>
    </row>
    <row r="7" spans="3:6" ht="31">
      <c r="C7" s="1351"/>
      <c r="D7" s="1107" t="s">
        <v>941</v>
      </c>
    </row>
    <row r="10" spans="3:6">
      <c r="C10" s="1109"/>
      <c r="D10" s="1110" t="s">
        <v>260</v>
      </c>
    </row>
    <row r="11" spans="3:6">
      <c r="C11" s="1111" t="s">
        <v>848</v>
      </c>
      <c r="D11" s="1112" t="s">
        <v>266</v>
      </c>
      <c r="E11" s="1113">
        <v>46143</v>
      </c>
      <c r="F11" s="1114">
        <v>46174</v>
      </c>
    </row>
    <row r="12" spans="3:6" ht="46.5">
      <c r="C12" s="1353" t="s">
        <v>918</v>
      </c>
      <c r="D12" s="1115" t="s">
        <v>849</v>
      </c>
      <c r="E12" s="1355" t="s">
        <v>267</v>
      </c>
      <c r="F12" s="1356"/>
    </row>
    <row r="13" spans="3:6" ht="93">
      <c r="C13" s="1354"/>
      <c r="D13" s="1116" t="s">
        <v>887</v>
      </c>
      <c r="E13" s="1355"/>
      <c r="F13" s="1356"/>
    </row>
    <row r="14" spans="3:6" ht="46.5">
      <c r="C14" s="1354"/>
      <c r="D14" s="1116" t="s">
        <v>888</v>
      </c>
      <c r="E14" s="1355"/>
      <c r="F14" s="1356"/>
    </row>
    <row r="15" spans="3:6" ht="93">
      <c r="C15" s="1354"/>
      <c r="D15" s="1116" t="s">
        <v>889</v>
      </c>
      <c r="E15" s="1355"/>
      <c r="F15" s="1356"/>
    </row>
    <row r="16" spans="3:6" ht="31">
      <c r="C16" s="1354"/>
      <c r="D16" s="1116" t="s">
        <v>850</v>
      </c>
      <c r="E16" s="1357"/>
      <c r="F16" s="1358"/>
    </row>
    <row r="17" spans="3:7" ht="31">
      <c r="C17" s="1359" t="s">
        <v>919</v>
      </c>
      <c r="D17" s="1116" t="s">
        <v>731</v>
      </c>
      <c r="E17" s="1360"/>
      <c r="F17" s="1360"/>
    </row>
    <row r="18" spans="3:7" ht="31">
      <c r="C18" s="1359"/>
      <c r="D18" s="1116" t="s">
        <v>920</v>
      </c>
      <c r="E18" s="1360"/>
      <c r="F18" s="1360"/>
    </row>
    <row r="19" spans="3:7" ht="17.5">
      <c r="C19" s="1359"/>
      <c r="D19" s="1117" t="s">
        <v>942</v>
      </c>
      <c r="E19" s="1360"/>
      <c r="F19" s="1360"/>
    </row>
    <row r="20" spans="3:7" ht="46.5">
      <c r="C20" s="1342" t="s">
        <v>921</v>
      </c>
      <c r="D20" s="1118" t="s">
        <v>890</v>
      </c>
      <c r="E20" s="1119" t="s">
        <v>922</v>
      </c>
      <c r="F20" s="1119" t="s">
        <v>923</v>
      </c>
    </row>
    <row r="21" spans="3:7" ht="31">
      <c r="C21" s="1343"/>
      <c r="D21" s="1120" t="s">
        <v>851</v>
      </c>
      <c r="E21" s="1119" t="s">
        <v>924</v>
      </c>
      <c r="F21" s="1119" t="s">
        <v>925</v>
      </c>
    </row>
    <row r="22" spans="3:7" ht="46.5">
      <c r="C22" s="1344" t="s">
        <v>926</v>
      </c>
      <c r="D22" s="1122" t="s">
        <v>927</v>
      </c>
      <c r="E22" s="1123" t="s">
        <v>852</v>
      </c>
      <c r="F22" s="1124" t="s">
        <v>928</v>
      </c>
    </row>
    <row r="23" spans="3:7" ht="31">
      <c r="C23" s="1344"/>
      <c r="D23" s="1120" t="s">
        <v>929</v>
      </c>
      <c r="E23" s="1125" t="s">
        <v>930</v>
      </c>
      <c r="F23" s="1126" t="s">
        <v>931</v>
      </c>
    </row>
    <row r="24" spans="3:7" ht="108.5">
      <c r="C24" s="1344"/>
      <c r="D24" s="1127" t="s">
        <v>932</v>
      </c>
      <c r="E24" s="1126" t="s">
        <v>853</v>
      </c>
      <c r="F24" s="1126" t="s">
        <v>933</v>
      </c>
    </row>
    <row r="25" spans="3:7" ht="77.5">
      <c r="C25" s="1344"/>
      <c r="D25" s="1127" t="s">
        <v>934</v>
      </c>
      <c r="E25" s="1126" t="s">
        <v>935</v>
      </c>
      <c r="F25" s="1126" t="s">
        <v>936</v>
      </c>
    </row>
    <row r="26" spans="3:7" ht="31">
      <c r="C26" s="1121" t="s">
        <v>937</v>
      </c>
      <c r="D26" s="1120" t="s">
        <v>854</v>
      </c>
      <c r="E26" s="1128" t="s">
        <v>855</v>
      </c>
      <c r="F26" s="1119" t="s">
        <v>856</v>
      </c>
      <c r="G26" s="700"/>
    </row>
    <row r="27" spans="3:7" ht="108.5">
      <c r="C27" s="1129" t="s">
        <v>938</v>
      </c>
      <c r="D27" s="1130" t="s">
        <v>857</v>
      </c>
      <c r="E27" s="1345" t="s">
        <v>858</v>
      </c>
      <c r="F27" s="1346"/>
      <c r="G27" s="700"/>
    </row>
    <row r="28" spans="3:7">
      <c r="C28" s="1347" t="s">
        <v>753</v>
      </c>
      <c r="D28" s="1132" t="s">
        <v>859</v>
      </c>
      <c r="E28" s="1133"/>
      <c r="F28" s="1134"/>
    </row>
    <row r="29" spans="3:7" ht="46.5">
      <c r="C29" s="1348"/>
      <c r="D29" s="1135" t="s">
        <v>860</v>
      </c>
      <c r="E29" s="1126" t="s">
        <v>861</v>
      </c>
      <c r="F29" s="1136" t="s">
        <v>862</v>
      </c>
    </row>
    <row r="30" spans="3:7" ht="31">
      <c r="C30" s="1348"/>
      <c r="D30" s="1137" t="s">
        <v>891</v>
      </c>
      <c r="E30" s="1126" t="s">
        <v>863</v>
      </c>
      <c r="F30" s="1136" t="s">
        <v>864</v>
      </c>
    </row>
    <row r="31" spans="3:7">
      <c r="C31" s="1349"/>
      <c r="D31" s="1138" t="s">
        <v>865</v>
      </c>
      <c r="E31" s="1126" t="s">
        <v>939</v>
      </c>
      <c r="F31" s="1131" t="s">
        <v>940</v>
      </c>
    </row>
    <row r="32" spans="3:7" ht="46.5">
      <c r="C32" s="1139" t="s">
        <v>785</v>
      </c>
      <c r="D32" s="1133" t="s">
        <v>892</v>
      </c>
      <c r="E32" s="1140" t="s">
        <v>389</v>
      </c>
      <c r="F32" s="1141"/>
    </row>
  </sheetData>
  <mergeCells count="11">
    <mergeCell ref="C20:C21"/>
    <mergeCell ref="C22:C25"/>
    <mergeCell ref="E27:F27"/>
    <mergeCell ref="C28:C31"/>
    <mergeCell ref="C3:C4"/>
    <mergeCell ref="C6:C7"/>
    <mergeCell ref="C12:C16"/>
    <mergeCell ref="E12:F16"/>
    <mergeCell ref="C17:C19"/>
    <mergeCell ref="E17:E19"/>
    <mergeCell ref="F17:F19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A4F75-8E41-4772-AEEB-C7654E16D77E}">
  <dimension ref="B2:O29"/>
  <sheetViews>
    <sheetView showGridLines="0" zoomScale="115" zoomScaleNormal="115" workbookViewId="0">
      <selection activeCell="B2" sqref="B2:H13"/>
    </sheetView>
  </sheetViews>
  <sheetFormatPr defaultColWidth="9.36328125" defaultRowHeight="14"/>
  <cols>
    <col min="1" max="1" width="9.36328125" style="93"/>
    <col min="2" max="2" width="57.81640625" style="93" bestFit="1" customWidth="1"/>
    <col min="3" max="9" width="9.36328125" style="93"/>
    <col min="10" max="10" width="31.1796875" style="93" bestFit="1" customWidth="1"/>
    <col min="11" max="12" width="9.36328125" style="93"/>
    <col min="13" max="13" width="18.54296875" style="93" hidden="1" customWidth="1"/>
    <col min="14" max="14" width="6.6328125" style="93" hidden="1" customWidth="1"/>
    <col min="15" max="15" width="8.81640625" style="93" hidden="1" customWidth="1"/>
    <col min="16" max="16384" width="9.36328125" style="93"/>
  </cols>
  <sheetData>
    <row r="2" spans="2:15">
      <c r="B2" s="909" t="s">
        <v>263</v>
      </c>
      <c r="C2" s="909"/>
      <c r="D2" s="909"/>
      <c r="E2" s="909"/>
      <c r="F2" s="909"/>
      <c r="G2" s="909"/>
      <c r="H2" s="909"/>
      <c r="I2" s="909"/>
    </row>
    <row r="3" spans="2:15">
      <c r="B3" s="910"/>
      <c r="C3" s="910" t="s">
        <v>445</v>
      </c>
      <c r="D3" s="910" t="s">
        <v>446</v>
      </c>
      <c r="E3" s="910" t="s">
        <v>447</v>
      </c>
      <c r="F3" s="910" t="s">
        <v>448</v>
      </c>
      <c r="G3" s="910" t="s">
        <v>449</v>
      </c>
      <c r="H3" s="910" t="s">
        <v>450</v>
      </c>
      <c r="I3" s="437" t="s">
        <v>395</v>
      </c>
    </row>
    <row r="4" spans="2:15">
      <c r="B4" s="910" t="s">
        <v>264</v>
      </c>
      <c r="C4" s="911">
        <v>0</v>
      </c>
      <c r="D4" s="911">
        <v>0.05</v>
      </c>
      <c r="E4" s="911">
        <v>7.0000000000000007E-2</v>
      </c>
      <c r="F4" s="911">
        <v>0.09</v>
      </c>
      <c r="G4" s="911">
        <v>0.1</v>
      </c>
      <c r="H4" s="911">
        <v>0.1</v>
      </c>
      <c r="I4" s="437"/>
    </row>
    <row r="5" spans="2:15" hidden="1">
      <c r="B5" s="912" t="s">
        <v>873</v>
      </c>
      <c r="C5" s="913">
        <v>0</v>
      </c>
      <c r="D5" s="913">
        <v>0.05</v>
      </c>
      <c r="E5" s="913">
        <v>7.0000000000000007E-2</v>
      </c>
      <c r="F5" s="913">
        <v>0.09</v>
      </c>
      <c r="G5" s="913">
        <v>0.1</v>
      </c>
      <c r="H5" s="913">
        <v>0.1</v>
      </c>
      <c r="I5" s="910"/>
    </row>
    <row r="6" spans="2:15">
      <c r="B6" s="919" t="s">
        <v>882</v>
      </c>
      <c r="C6" s="920">
        <v>0</v>
      </c>
      <c r="D6" s="920">
        <v>0.1</v>
      </c>
      <c r="E6" s="920">
        <v>0.1</v>
      </c>
      <c r="F6" s="920">
        <v>0.1</v>
      </c>
      <c r="G6" s="920">
        <v>0.1</v>
      </c>
      <c r="H6" s="920">
        <v>0.1</v>
      </c>
      <c r="I6" s="910"/>
    </row>
    <row r="7" spans="2:15">
      <c r="B7" s="917" t="s">
        <v>883</v>
      </c>
      <c r="C7" s="918">
        <v>0</v>
      </c>
      <c r="D7" s="918">
        <v>0.12</v>
      </c>
      <c r="E7" s="918">
        <v>0.12</v>
      </c>
      <c r="F7" s="918">
        <v>0.15</v>
      </c>
      <c r="G7" s="918">
        <v>0.15</v>
      </c>
      <c r="H7" s="918">
        <v>0.15</v>
      </c>
      <c r="I7" s="910"/>
    </row>
    <row r="8" spans="2:15">
      <c r="B8" s="909"/>
      <c r="C8" s="909"/>
      <c r="D8" s="909"/>
      <c r="E8" s="909"/>
      <c r="F8" s="909"/>
      <c r="G8" s="909"/>
      <c r="H8" s="909"/>
      <c r="I8" s="909"/>
      <c r="M8" s="916" t="s">
        <v>874</v>
      </c>
      <c r="N8" s="916">
        <v>699</v>
      </c>
      <c r="O8" s="916">
        <f>N8*54</f>
        <v>37746</v>
      </c>
    </row>
    <row r="9" spans="2:15">
      <c r="B9" s="909" t="s">
        <v>451</v>
      </c>
      <c r="C9" s="909"/>
      <c r="D9" s="909"/>
      <c r="E9" s="909"/>
      <c r="F9" s="909"/>
      <c r="G9" s="909"/>
      <c r="H9" s="909"/>
      <c r="I9" s="909"/>
      <c r="M9" s="916" t="s">
        <v>875</v>
      </c>
      <c r="N9" s="916">
        <v>349</v>
      </c>
      <c r="O9" s="916">
        <f>N9*6</f>
        <v>2094</v>
      </c>
    </row>
    <row r="10" spans="2:15">
      <c r="B10" s="910"/>
      <c r="C10" s="910" t="s">
        <v>445</v>
      </c>
      <c r="D10" s="910" t="s">
        <v>446</v>
      </c>
      <c r="E10" s="910" t="s">
        <v>447</v>
      </c>
      <c r="F10" s="910" t="s">
        <v>448</v>
      </c>
      <c r="G10" s="910" t="s">
        <v>449</v>
      </c>
      <c r="H10" s="910" t="s">
        <v>452</v>
      </c>
      <c r="I10" s="437" t="s">
        <v>395</v>
      </c>
      <c r="M10" s="1361" t="s">
        <v>876</v>
      </c>
      <c r="N10" s="1362"/>
      <c r="O10" s="916">
        <f>O9+O8</f>
        <v>39840</v>
      </c>
    </row>
    <row r="11" spans="2:15">
      <c r="B11" s="910" t="s">
        <v>264</v>
      </c>
      <c r="C11" s="911">
        <v>0.05</v>
      </c>
      <c r="D11" s="911">
        <v>7.0000000000000007E-2</v>
      </c>
      <c r="E11" s="911">
        <v>0.09</v>
      </c>
      <c r="F11" s="911">
        <v>0.1</v>
      </c>
      <c r="G11" s="911">
        <v>0.1</v>
      </c>
      <c r="H11" s="911">
        <v>0.1</v>
      </c>
      <c r="I11" s="910"/>
      <c r="M11" s="1361" t="s">
        <v>877</v>
      </c>
      <c r="N11" s="1362"/>
      <c r="O11" s="916">
        <f>O10*0.85</f>
        <v>33864</v>
      </c>
    </row>
    <row r="12" spans="2:15">
      <c r="B12" s="919" t="s">
        <v>882</v>
      </c>
      <c r="C12" s="921">
        <v>0.1</v>
      </c>
      <c r="D12" s="921">
        <v>0.1</v>
      </c>
      <c r="E12" s="921">
        <v>0.1</v>
      </c>
      <c r="F12" s="921">
        <v>0.1</v>
      </c>
      <c r="G12" s="921">
        <v>0.1</v>
      </c>
      <c r="H12" s="921">
        <v>0.1</v>
      </c>
      <c r="I12" s="910"/>
      <c r="M12" s="1361" t="s">
        <v>878</v>
      </c>
      <c r="N12" s="1362"/>
      <c r="O12" s="916">
        <v>560</v>
      </c>
    </row>
    <row r="13" spans="2:15">
      <c r="B13" s="917" t="s">
        <v>883</v>
      </c>
      <c r="C13" s="918">
        <v>0.12</v>
      </c>
      <c r="D13" s="918">
        <v>0.12</v>
      </c>
      <c r="E13" s="918">
        <v>0.15</v>
      </c>
      <c r="F13" s="918">
        <v>0.15</v>
      </c>
      <c r="G13" s="918">
        <v>0.15</v>
      </c>
      <c r="H13" s="918">
        <v>0.15</v>
      </c>
      <c r="I13" s="910"/>
    </row>
    <row r="14" spans="2:15" hidden="1">
      <c r="B14" s="909"/>
      <c r="C14" s="909"/>
      <c r="D14" s="909"/>
      <c r="E14" s="909"/>
      <c r="F14" s="909"/>
      <c r="G14" s="909"/>
      <c r="H14" s="909"/>
      <c r="I14" s="909"/>
      <c r="N14" s="93">
        <v>649</v>
      </c>
      <c r="O14" s="93">
        <f>N14*54</f>
        <v>35046</v>
      </c>
    </row>
    <row r="15" spans="2:15">
      <c r="B15" s="909"/>
      <c r="C15" s="909"/>
      <c r="D15" s="909"/>
      <c r="E15" s="909"/>
      <c r="F15" s="909"/>
      <c r="G15" s="909"/>
      <c r="H15" s="909"/>
      <c r="I15" s="909"/>
      <c r="N15" s="93">
        <f>N14/2</f>
        <v>324.5</v>
      </c>
      <c r="O15" s="93">
        <f>N15*6</f>
        <v>1947</v>
      </c>
    </row>
    <row r="16" spans="2:15">
      <c r="B16" s="909"/>
      <c r="C16" s="909"/>
      <c r="D16" s="909"/>
      <c r="E16" s="909"/>
      <c r="F16" s="909"/>
      <c r="G16" s="909"/>
      <c r="H16" s="909"/>
      <c r="I16" s="909"/>
      <c r="O16" s="93">
        <f>O15+O14</f>
        <v>36993</v>
      </c>
    </row>
    <row r="17" spans="2:15">
      <c r="B17" s="909"/>
      <c r="C17" s="909"/>
      <c r="D17" s="909"/>
      <c r="E17" s="909"/>
      <c r="F17" s="909"/>
      <c r="G17" s="909"/>
      <c r="H17" s="909"/>
      <c r="I17" s="909"/>
      <c r="O17" s="93">
        <f>O16*0.85</f>
        <v>31444.05</v>
      </c>
    </row>
    <row r="18" spans="2:15" hidden="1">
      <c r="B18" s="909" t="s">
        <v>263</v>
      </c>
      <c r="C18" s="909"/>
      <c r="D18" s="909"/>
      <c r="E18" s="909"/>
      <c r="F18" s="909"/>
      <c r="G18" s="909"/>
      <c r="H18" s="909"/>
      <c r="I18" s="909"/>
      <c r="O18" s="93">
        <f>O17/60</f>
        <v>524.0675</v>
      </c>
    </row>
    <row r="19" spans="2:15" hidden="1">
      <c r="B19" s="910"/>
      <c r="C19" s="910" t="s">
        <v>445</v>
      </c>
      <c r="D19" s="910" t="s">
        <v>446</v>
      </c>
      <c r="E19" s="910" t="s">
        <v>447</v>
      </c>
      <c r="F19" s="910" t="s">
        <v>448</v>
      </c>
      <c r="G19" s="910" t="s">
        <v>449</v>
      </c>
      <c r="H19" s="910" t="s">
        <v>450</v>
      </c>
      <c r="I19" s="437" t="s">
        <v>395</v>
      </c>
    </row>
    <row r="20" spans="2:15" hidden="1">
      <c r="B20" s="910" t="s">
        <v>264</v>
      </c>
      <c r="C20" s="911">
        <v>0</v>
      </c>
      <c r="D20" s="911">
        <v>0.05</v>
      </c>
      <c r="E20" s="911">
        <v>7.0000000000000007E-2</v>
      </c>
      <c r="F20" s="911">
        <v>0.09</v>
      </c>
      <c r="G20" s="911">
        <v>0.1</v>
      </c>
      <c r="H20" s="911">
        <v>0.1</v>
      </c>
      <c r="I20" s="437"/>
    </row>
    <row r="21" spans="2:15" hidden="1">
      <c r="B21" s="912" t="s">
        <v>879</v>
      </c>
      <c r="C21" s="913">
        <v>0</v>
      </c>
      <c r="D21" s="913">
        <v>0.05</v>
      </c>
      <c r="E21" s="913">
        <v>7.0000000000000007E-2</v>
      </c>
      <c r="F21" s="913">
        <v>0.09</v>
      </c>
      <c r="G21" s="913">
        <v>0.1</v>
      </c>
      <c r="H21" s="913">
        <v>0.1</v>
      </c>
      <c r="I21" s="910"/>
    </row>
    <row r="22" spans="2:15" hidden="1">
      <c r="B22" s="914" t="s">
        <v>880</v>
      </c>
      <c r="C22" s="915">
        <v>0</v>
      </c>
      <c r="D22" s="915">
        <v>0.1</v>
      </c>
      <c r="E22" s="915">
        <v>0.1</v>
      </c>
      <c r="F22" s="915">
        <v>0.1</v>
      </c>
      <c r="G22" s="915">
        <v>0.1</v>
      </c>
      <c r="H22" s="915">
        <v>0.1</v>
      </c>
      <c r="I22" s="910"/>
    </row>
    <row r="23" spans="2:15" hidden="1">
      <c r="B23" s="909"/>
      <c r="C23" s="909"/>
      <c r="D23" s="909"/>
      <c r="E23" s="909"/>
      <c r="F23" s="909"/>
      <c r="G23" s="909"/>
      <c r="H23" s="909"/>
      <c r="I23" s="909"/>
    </row>
    <row r="24" spans="2:15" hidden="1">
      <c r="B24" s="909" t="s">
        <v>451</v>
      </c>
      <c r="C24" s="909"/>
      <c r="D24" s="909"/>
      <c r="E24" s="909"/>
      <c r="F24" s="909"/>
      <c r="G24" s="909"/>
      <c r="H24" s="909"/>
      <c r="I24" s="909"/>
    </row>
    <row r="25" spans="2:15" hidden="1">
      <c r="B25" s="910"/>
      <c r="C25" s="910" t="s">
        <v>445</v>
      </c>
      <c r="D25" s="910" t="s">
        <v>446</v>
      </c>
      <c r="E25" s="910" t="s">
        <v>447</v>
      </c>
      <c r="F25" s="910" t="s">
        <v>448</v>
      </c>
      <c r="G25" s="910" t="s">
        <v>449</v>
      </c>
      <c r="H25" s="910" t="s">
        <v>452</v>
      </c>
      <c r="I25" s="437" t="s">
        <v>395</v>
      </c>
    </row>
    <row r="26" spans="2:15" hidden="1">
      <c r="B26" s="910" t="s">
        <v>264</v>
      </c>
      <c r="C26" s="911">
        <v>0.05</v>
      </c>
      <c r="D26" s="911">
        <v>7.0000000000000007E-2</v>
      </c>
      <c r="E26" s="911">
        <v>0.09</v>
      </c>
      <c r="F26" s="911">
        <v>0.1</v>
      </c>
      <c r="G26" s="911">
        <v>0.1</v>
      </c>
      <c r="H26" s="911">
        <v>0.1</v>
      </c>
      <c r="I26" s="910"/>
    </row>
    <row r="27" spans="2:15" hidden="1">
      <c r="B27" s="912" t="s">
        <v>881</v>
      </c>
      <c r="C27" s="913">
        <v>0.1</v>
      </c>
      <c r="D27" s="913">
        <v>0.1</v>
      </c>
      <c r="E27" s="913">
        <v>0.1</v>
      </c>
      <c r="F27" s="913">
        <v>0.1</v>
      </c>
      <c r="G27" s="913">
        <v>0.1</v>
      </c>
      <c r="H27" s="913">
        <v>0.1</v>
      </c>
      <c r="I27" s="910"/>
    </row>
    <row r="28" spans="2:15" hidden="1">
      <c r="B28" s="914" t="s">
        <v>880</v>
      </c>
      <c r="C28" s="915">
        <v>0.12</v>
      </c>
      <c r="D28" s="915">
        <v>0.12</v>
      </c>
      <c r="E28" s="915">
        <v>0.15</v>
      </c>
      <c r="F28" s="915">
        <v>0.15</v>
      </c>
      <c r="G28" s="915">
        <v>0.15</v>
      </c>
      <c r="H28" s="915">
        <v>0.15</v>
      </c>
      <c r="I28" s="910"/>
    </row>
    <row r="29" spans="2:15" hidden="1"/>
  </sheetData>
  <mergeCells count="3">
    <mergeCell ref="M10:N10"/>
    <mergeCell ref="M11:N11"/>
    <mergeCell ref="M12:N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35FBA-D43C-4D5D-9571-734460216CFA}">
  <dimension ref="C2:L38"/>
  <sheetViews>
    <sheetView zoomScale="90" zoomScaleNormal="90" workbookViewId="0">
      <pane xSplit="1" ySplit="11" topLeftCell="B18" activePane="bottomRight" state="frozen"/>
      <selection pane="topRight" activeCell="B9" sqref="B9"/>
      <selection pane="bottomLeft" activeCell="A12" sqref="A12"/>
      <selection pane="bottomRight" activeCell="D34" sqref="D34"/>
    </sheetView>
  </sheetViews>
  <sheetFormatPr defaultColWidth="9.36328125" defaultRowHeight="14.5"/>
  <cols>
    <col min="1" max="2" width="2.81640625" style="93" customWidth="1"/>
    <col min="3" max="3" width="30.6328125" style="93" bestFit="1" customWidth="1"/>
    <col min="4" max="4" width="121.1796875" style="93" customWidth="1"/>
    <col min="5" max="5" width="28.26953125" style="222" bestFit="1" customWidth="1"/>
    <col min="6" max="6" width="29.08984375" style="222" bestFit="1" customWidth="1"/>
    <col min="7" max="7" width="9.36328125" style="93" customWidth="1"/>
    <col min="8" max="8" width="30.453125" style="93" customWidth="1"/>
    <col min="9" max="9" width="9.36328125" style="93" customWidth="1"/>
    <col min="13" max="16384" width="9.36328125" style="93"/>
  </cols>
  <sheetData>
    <row r="2" spans="3:6" ht="56" hidden="1">
      <c r="C2" s="221" t="s">
        <v>491</v>
      </c>
      <c r="D2" s="696" t="s">
        <v>492</v>
      </c>
    </row>
    <row r="3" spans="3:6" ht="42" hidden="1">
      <c r="C3" s="1374" t="s">
        <v>493</v>
      </c>
      <c r="D3" s="696" t="s">
        <v>494</v>
      </c>
    </row>
    <row r="4" spans="3:6" ht="28" hidden="1">
      <c r="C4" s="1375"/>
      <c r="D4" s="697" t="s">
        <v>495</v>
      </c>
    </row>
    <row r="5" spans="3:6" ht="70" hidden="1">
      <c r="C5" s="221" t="s">
        <v>496</v>
      </c>
      <c r="D5" s="696" t="s">
        <v>497</v>
      </c>
    </row>
    <row r="6" spans="3:6" ht="42" hidden="1">
      <c r="C6" s="1376" t="s">
        <v>498</v>
      </c>
      <c r="D6" s="696" t="s">
        <v>499</v>
      </c>
    </row>
    <row r="7" spans="3:6" ht="28" hidden="1">
      <c r="C7" s="1375"/>
      <c r="D7" s="696" t="s">
        <v>500</v>
      </c>
    </row>
    <row r="10" spans="3:6">
      <c r="C10" s="699" t="s">
        <v>501</v>
      </c>
      <c r="D10" s="700" t="s">
        <v>260</v>
      </c>
    </row>
    <row r="11" spans="3:6">
      <c r="C11" s="701" t="s">
        <v>259</v>
      </c>
      <c r="D11" s="702" t="s">
        <v>266</v>
      </c>
      <c r="E11" s="703">
        <v>46113</v>
      </c>
      <c r="F11" s="704">
        <v>46143</v>
      </c>
    </row>
    <row r="12" spans="3:6">
      <c r="C12" s="705" t="s">
        <v>261</v>
      </c>
      <c r="D12" s="788" t="s">
        <v>502</v>
      </c>
      <c r="E12" s="698" t="s">
        <v>730</v>
      </c>
      <c r="F12" s="698" t="s">
        <v>730</v>
      </c>
    </row>
    <row r="13" spans="3:6" ht="56">
      <c r="C13" s="1377" t="s">
        <v>503</v>
      </c>
      <c r="D13" s="789" t="s">
        <v>504</v>
      </c>
      <c r="E13" s="1379" t="s">
        <v>267</v>
      </c>
      <c r="F13" s="1380"/>
    </row>
    <row r="14" spans="3:6" ht="98">
      <c r="C14" s="1378"/>
      <c r="D14" s="790" t="s">
        <v>766</v>
      </c>
      <c r="E14" s="1370"/>
      <c r="F14" s="1371"/>
    </row>
    <row r="15" spans="3:6" ht="66" customHeight="1">
      <c r="C15" s="1378"/>
      <c r="D15" s="790" t="s">
        <v>505</v>
      </c>
      <c r="E15" s="1370"/>
      <c r="F15" s="1371"/>
    </row>
    <row r="16" spans="3:6" ht="33" customHeight="1">
      <c r="C16" s="1377" t="s">
        <v>506</v>
      </c>
      <c r="D16" s="790" t="s">
        <v>731</v>
      </c>
      <c r="E16" s="1370"/>
      <c r="F16" s="1371"/>
    </row>
    <row r="17" spans="3:8" ht="42.5" customHeight="1">
      <c r="C17" s="1381"/>
      <c r="D17" s="790" t="s">
        <v>507</v>
      </c>
      <c r="E17" s="1370"/>
      <c r="F17" s="1371"/>
    </row>
    <row r="18" spans="3:8" ht="25.5" customHeight="1">
      <c r="C18" s="1381"/>
      <c r="D18" s="791" t="s">
        <v>732</v>
      </c>
      <c r="E18" s="1370"/>
      <c r="F18" s="1371"/>
    </row>
    <row r="19" spans="3:8" ht="36" customHeight="1">
      <c r="C19" s="806" t="s">
        <v>767</v>
      </c>
      <c r="D19" s="794" t="s">
        <v>733</v>
      </c>
      <c r="E19" s="807" t="s">
        <v>389</v>
      </c>
      <c r="F19" s="808" t="s">
        <v>734</v>
      </c>
    </row>
    <row r="20" spans="3:8" ht="23" customHeight="1">
      <c r="C20" s="1382" t="s">
        <v>768</v>
      </c>
      <c r="D20" s="794" t="s">
        <v>769</v>
      </c>
      <c r="E20" s="1383"/>
      <c r="F20" s="1384"/>
    </row>
    <row r="21" spans="3:8" ht="54.5" customHeight="1">
      <c r="C21" s="1382"/>
      <c r="D21" s="794" t="s">
        <v>770</v>
      </c>
      <c r="E21" s="807" t="s">
        <v>771</v>
      </c>
      <c r="F21" s="807" t="s">
        <v>772</v>
      </c>
    </row>
    <row r="22" spans="3:8" ht="34.5" customHeight="1">
      <c r="C22" s="1382"/>
      <c r="D22" s="794" t="s">
        <v>773</v>
      </c>
      <c r="E22" s="807" t="s">
        <v>774</v>
      </c>
      <c r="F22" s="807" t="s">
        <v>775</v>
      </c>
    </row>
    <row r="23" spans="3:8" ht="28">
      <c r="C23" s="1382"/>
      <c r="D23" s="794" t="s">
        <v>776</v>
      </c>
      <c r="E23" s="807" t="s">
        <v>777</v>
      </c>
      <c r="F23" s="807" t="s">
        <v>778</v>
      </c>
    </row>
    <row r="24" spans="3:8" ht="28">
      <c r="C24" s="1382"/>
      <c r="D24" s="794" t="s">
        <v>779</v>
      </c>
      <c r="E24" s="807" t="s">
        <v>780</v>
      </c>
      <c r="F24" s="807" t="s">
        <v>781</v>
      </c>
    </row>
    <row r="25" spans="3:8" ht="33" customHeight="1">
      <c r="C25" s="1382"/>
      <c r="D25" s="794" t="s">
        <v>782</v>
      </c>
      <c r="E25" s="807" t="s">
        <v>783</v>
      </c>
      <c r="F25" s="807" t="s">
        <v>784</v>
      </c>
    </row>
    <row r="26" spans="3:8" ht="56">
      <c r="C26" s="1363" t="s">
        <v>508</v>
      </c>
      <c r="D26" s="791" t="s">
        <v>716</v>
      </c>
      <c r="E26" s="809" t="s">
        <v>717</v>
      </c>
      <c r="F26" s="810" t="s">
        <v>735</v>
      </c>
    </row>
    <row r="27" spans="3:8" ht="42">
      <c r="C27" s="1364"/>
      <c r="D27" s="794" t="s">
        <v>736</v>
      </c>
      <c r="E27" s="811" t="s">
        <v>737</v>
      </c>
      <c r="F27" s="810" t="s">
        <v>738</v>
      </c>
    </row>
    <row r="28" spans="3:8" ht="28">
      <c r="C28" s="1365" t="s">
        <v>718</v>
      </c>
      <c r="D28" s="795" t="s">
        <v>509</v>
      </c>
      <c r="E28" s="812" t="s">
        <v>719</v>
      </c>
      <c r="F28" s="813" t="s">
        <v>720</v>
      </c>
      <c r="H28" s="700"/>
    </row>
    <row r="29" spans="3:8" ht="28">
      <c r="C29" s="1366"/>
      <c r="D29" s="796" t="s">
        <v>739</v>
      </c>
      <c r="E29" s="814" t="s">
        <v>740</v>
      </c>
      <c r="F29" s="814" t="s">
        <v>741</v>
      </c>
      <c r="H29" s="700"/>
    </row>
    <row r="30" spans="3:8" ht="38" customHeight="1">
      <c r="C30" s="1366"/>
      <c r="D30" s="794" t="s">
        <v>742</v>
      </c>
      <c r="E30" s="815" t="s">
        <v>743</v>
      </c>
      <c r="F30" s="815" t="s">
        <v>744</v>
      </c>
      <c r="H30" s="700"/>
    </row>
    <row r="31" spans="3:8" ht="35.15" customHeight="1">
      <c r="C31" s="1366"/>
      <c r="D31" s="797" t="s">
        <v>745</v>
      </c>
      <c r="E31" s="816" t="s">
        <v>746</v>
      </c>
      <c r="F31" s="816" t="s">
        <v>747</v>
      </c>
      <c r="H31" s="700"/>
    </row>
    <row r="32" spans="3:8" ht="28">
      <c r="C32" s="1366"/>
      <c r="D32" s="792" t="s">
        <v>748</v>
      </c>
      <c r="E32" s="817" t="s">
        <v>749</v>
      </c>
      <c r="F32" s="817" t="s">
        <v>750</v>
      </c>
      <c r="H32" s="700"/>
    </row>
    <row r="33" spans="3:6" ht="28">
      <c r="C33" s="1367"/>
      <c r="D33" s="792" t="s">
        <v>751</v>
      </c>
      <c r="E33" s="818" t="s">
        <v>252</v>
      </c>
      <c r="F33" s="817" t="s">
        <v>752</v>
      </c>
    </row>
    <row r="34" spans="3:6" ht="70.5" customHeight="1">
      <c r="C34" s="780" t="s">
        <v>753</v>
      </c>
      <c r="D34" s="793" t="s">
        <v>754</v>
      </c>
      <c r="E34" s="819" t="s">
        <v>252</v>
      </c>
      <c r="F34" s="817" t="s">
        <v>721</v>
      </c>
    </row>
    <row r="35" spans="3:6" ht="56">
      <c r="C35" s="1368" t="s">
        <v>785</v>
      </c>
      <c r="D35" s="793" t="s">
        <v>755</v>
      </c>
      <c r="E35" s="1370" t="s">
        <v>389</v>
      </c>
      <c r="F35" s="1371"/>
    </row>
    <row r="36" spans="3:6" ht="33" customHeight="1">
      <c r="C36" s="1365"/>
      <c r="D36" s="793" t="s">
        <v>510</v>
      </c>
      <c r="E36" s="1370"/>
      <c r="F36" s="1371"/>
    </row>
    <row r="37" spans="3:6" ht="33" customHeight="1">
      <c r="C37" s="1365"/>
      <c r="D37" s="793" t="s">
        <v>511</v>
      </c>
      <c r="E37" s="1370"/>
      <c r="F37" s="1371"/>
    </row>
    <row r="38" spans="3:6">
      <c r="C38" s="1369"/>
      <c r="D38" s="798" t="s">
        <v>512</v>
      </c>
      <c r="E38" s="1372"/>
      <c r="F38" s="1373"/>
    </row>
  </sheetData>
  <mergeCells count="11">
    <mergeCell ref="C26:C27"/>
    <mergeCell ref="C28:C33"/>
    <mergeCell ref="C35:C38"/>
    <mergeCell ref="E35:F38"/>
    <mergeCell ref="C3:C4"/>
    <mergeCell ref="C6:C7"/>
    <mergeCell ref="C13:C15"/>
    <mergeCell ref="E13:F18"/>
    <mergeCell ref="C16:C18"/>
    <mergeCell ref="C20:C25"/>
    <mergeCell ref="E20:F20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26CFD-591B-4713-A82E-F4C41D50332E}">
  <sheetPr filterMode="1"/>
  <dimension ref="A1:BQ401"/>
  <sheetViews>
    <sheetView zoomScaleNormal="100" workbookViewId="0">
      <pane xSplit="9" ySplit="70" topLeftCell="Y237" activePane="bottomRight" state="frozen"/>
      <selection pane="topRight" activeCell="J1" sqref="J1"/>
      <selection pane="bottomLeft" activeCell="A71" sqref="A71"/>
      <selection pane="bottomRight" activeCell="AE285" sqref="AE285"/>
    </sheetView>
  </sheetViews>
  <sheetFormatPr defaultColWidth="9.81640625" defaultRowHeight="16.5" customHeight="1" outlineLevelCol="1"/>
  <cols>
    <col min="1" max="1" width="3.1796875" style="93" customWidth="1"/>
    <col min="2" max="2" width="6.6328125" style="222" customWidth="1"/>
    <col min="3" max="3" width="12.6328125" style="222" customWidth="1"/>
    <col min="4" max="5" width="10.26953125" style="222" customWidth="1"/>
    <col min="6" max="6" width="26.1796875" style="222" customWidth="1"/>
    <col min="7" max="8" width="28.26953125" style="222" hidden="1" customWidth="1" outlineLevel="1"/>
    <col min="9" max="9" width="21.1796875" style="222" hidden="1" customWidth="1" outlineLevel="1"/>
    <col min="10" max="10" width="8.08984375" style="93" customWidth="1" collapsed="1"/>
    <col min="11" max="12" width="13.54296875" style="93" customWidth="1"/>
    <col min="13" max="13" width="11.453125" style="222" customWidth="1"/>
    <col min="14" max="14" width="13.54296875" style="222" customWidth="1" outlineLevel="1"/>
    <col min="15" max="15" width="13.54296875" style="93" customWidth="1" outlineLevel="1"/>
    <col min="16" max="16" width="10" style="611" bestFit="1" customWidth="1" outlineLevel="1"/>
    <col min="17" max="17" width="8.6328125" style="93" customWidth="1" outlineLevel="1"/>
    <col min="18" max="18" width="8.6328125" style="612" customWidth="1" outlineLevel="1"/>
    <col min="19" max="19" width="8.6328125" style="613" customWidth="1" outlineLevel="1"/>
    <col min="20" max="20" width="10.453125" style="93" customWidth="1"/>
    <col min="21" max="21" width="10.453125" style="93" customWidth="1" outlineLevel="1"/>
    <col min="22" max="22" width="12.08984375" style="93" customWidth="1" outlineLevel="1"/>
    <col min="23" max="23" width="13.1796875" style="93" customWidth="1" outlineLevel="1"/>
    <col min="24" max="25" width="15.81640625" style="93" customWidth="1" outlineLevel="1"/>
    <col min="26" max="26" width="9.90625" style="93" customWidth="1" outlineLevel="1"/>
    <col min="27" max="27" width="13.1796875" style="93" customWidth="1" outlineLevel="1"/>
    <col min="28" max="28" width="11.54296875" style="93" customWidth="1" outlineLevel="1"/>
    <col min="29" max="29" width="11.54296875" style="93" customWidth="1"/>
    <col min="30" max="30" width="11.54296875" style="93" customWidth="1" outlineLevel="1"/>
    <col min="31" max="31" width="11.54296875" style="729" customWidth="1" outlineLevel="1"/>
    <col min="32" max="38" width="11.54296875" style="93" customWidth="1" outlineLevel="1"/>
    <col min="39" max="39" width="7" style="93" hidden="1" customWidth="1"/>
    <col min="40" max="40" width="34.90625" style="93" hidden="1" customWidth="1"/>
    <col min="41" max="41" width="9.81640625" style="93" hidden="1" customWidth="1"/>
    <col min="42" max="42" width="9.36328125" style="93" customWidth="1"/>
    <col min="43" max="16384" width="9.81640625" style="93"/>
  </cols>
  <sheetData>
    <row r="1" spans="2:41" ht="17.149999999999999" customHeight="1">
      <c r="B1" s="564"/>
      <c r="C1" s="564"/>
      <c r="D1" s="564" t="s">
        <v>513</v>
      </c>
      <c r="E1" s="564"/>
      <c r="F1" s="564"/>
      <c r="G1" s="564"/>
      <c r="H1" s="564"/>
      <c r="I1" s="564"/>
      <c r="J1" s="706"/>
      <c r="K1" s="707"/>
      <c r="L1" s="707"/>
      <c r="M1" s="707"/>
      <c r="N1" s="707"/>
      <c r="O1" s="707"/>
      <c r="P1" s="707"/>
      <c r="Q1" s="707"/>
      <c r="R1" s="707"/>
      <c r="S1" s="707"/>
      <c r="T1" s="1385" t="s">
        <v>268</v>
      </c>
      <c r="U1" s="1385"/>
      <c r="V1" s="1385"/>
      <c r="W1" s="1385"/>
      <c r="X1" s="1385"/>
      <c r="Y1" s="1385"/>
      <c r="Z1" s="1385"/>
      <c r="AA1" s="1385"/>
      <c r="AB1" s="1386"/>
      <c r="AC1" s="1387" t="s">
        <v>269</v>
      </c>
      <c r="AD1" s="1388"/>
      <c r="AE1" s="1389"/>
      <c r="AF1" s="1388"/>
      <c r="AG1" s="1388"/>
      <c r="AH1" s="1388"/>
      <c r="AI1" s="1388"/>
      <c r="AJ1" s="1388"/>
      <c r="AK1" s="1388"/>
      <c r="AL1" s="1390"/>
      <c r="AM1" s="565"/>
      <c r="AN1" s="565"/>
      <c r="AO1" s="565"/>
    </row>
    <row r="2" spans="2:41" s="222" customFormat="1" ht="72" customHeight="1">
      <c r="B2" s="566" t="s">
        <v>756</v>
      </c>
      <c r="C2" s="566" t="s">
        <v>270</v>
      </c>
      <c r="D2" s="566" t="s">
        <v>33</v>
      </c>
      <c r="E2" s="566" t="s">
        <v>271</v>
      </c>
      <c r="F2" s="566" t="s">
        <v>40</v>
      </c>
      <c r="G2" s="566"/>
      <c r="H2" s="566"/>
      <c r="I2" s="567" t="s">
        <v>272</v>
      </c>
      <c r="J2" s="568" t="s">
        <v>514</v>
      </c>
      <c r="K2" s="569" t="s">
        <v>273</v>
      </c>
      <c r="L2" s="569" t="s">
        <v>274</v>
      </c>
      <c r="M2" s="569" t="s">
        <v>368</v>
      </c>
      <c r="N2" s="569" t="s">
        <v>369</v>
      </c>
      <c r="O2" s="569" t="s">
        <v>274</v>
      </c>
      <c r="P2" s="570" t="s">
        <v>458</v>
      </c>
      <c r="Q2" s="568" t="s">
        <v>459</v>
      </c>
      <c r="R2" s="571" t="s">
        <v>460</v>
      </c>
      <c r="S2" s="568" t="s">
        <v>461</v>
      </c>
      <c r="T2" s="572" t="s">
        <v>757</v>
      </c>
      <c r="U2" s="572" t="s">
        <v>758</v>
      </c>
      <c r="V2" s="572" t="s">
        <v>275</v>
      </c>
      <c r="W2" s="572" t="s">
        <v>276</v>
      </c>
      <c r="X2" s="572" t="s">
        <v>370</v>
      </c>
      <c r="Y2" s="572" t="s">
        <v>462</v>
      </c>
      <c r="Z2" s="572" t="s">
        <v>278</v>
      </c>
      <c r="AA2" s="572" t="s">
        <v>279</v>
      </c>
      <c r="AB2" s="573" t="s">
        <v>280</v>
      </c>
      <c r="AC2" s="574" t="s">
        <v>371</v>
      </c>
      <c r="AD2" s="574" t="s">
        <v>759</v>
      </c>
      <c r="AE2" s="708" t="s">
        <v>515</v>
      </c>
      <c r="AF2" s="574" t="s">
        <v>275</v>
      </c>
      <c r="AG2" s="574" t="s">
        <v>276</v>
      </c>
      <c r="AH2" s="574" t="s">
        <v>277</v>
      </c>
      <c r="AI2" s="574" t="s">
        <v>281</v>
      </c>
      <c r="AJ2" s="574" t="s">
        <v>282</v>
      </c>
      <c r="AK2" s="574" t="s">
        <v>278</v>
      </c>
      <c r="AL2" s="575" t="s">
        <v>280</v>
      </c>
      <c r="AM2" s="566" t="s">
        <v>283</v>
      </c>
      <c r="AN2" s="567" t="s">
        <v>284</v>
      </c>
      <c r="AO2" s="566" t="s">
        <v>267</v>
      </c>
    </row>
    <row r="3" spans="2:41" s="436" customFormat="1" ht="14" hidden="1">
      <c r="B3" s="799">
        <v>2605</v>
      </c>
      <c r="C3" s="1391" t="s">
        <v>285</v>
      </c>
      <c r="D3" s="1391"/>
      <c r="E3" s="1391"/>
      <c r="F3" s="1394" t="s">
        <v>97</v>
      </c>
      <c r="G3" s="566" t="s">
        <v>97</v>
      </c>
      <c r="H3" s="566"/>
      <c r="I3" s="566"/>
      <c r="J3" s="566">
        <v>3</v>
      </c>
      <c r="K3" s="566" t="s">
        <v>286</v>
      </c>
      <c r="L3" s="566">
        <v>6</v>
      </c>
      <c r="M3" s="576">
        <v>649</v>
      </c>
      <c r="N3" s="576">
        <f>M3*LEFT(J3,1)*12</f>
        <v>23364</v>
      </c>
      <c r="O3" s="566">
        <v>6</v>
      </c>
      <c r="P3" s="577">
        <f>IFERROR(_xlfn.XLOOKUP($F$3,'[4]By Model'!$A:$A,'[4]By Model'!$K:$K),"")</f>
        <v>0.36121334945622274</v>
      </c>
      <c r="Q3" s="578">
        <f>IFERROR(_xlfn.XLOOKUP(F3,'[5]By Model'!$A:$A,'[5]By Model'!$B:$B),"")</f>
        <v>16</v>
      </c>
      <c r="R3" s="579">
        <f>IFERROR(_xlfn.XLOOKUP($F$3,'[4]By Model'!$A:$A,'[4]By Model'!$I:$I),"")</f>
        <v>473.41684093428569</v>
      </c>
      <c r="S3" s="578">
        <f>IFERROR(_xlfn.XLOOKUP(F3,[6]Sum!$G:$G,[6]Sum!$AM:$AM),"")</f>
        <v>594</v>
      </c>
      <c r="T3" s="576">
        <v>649</v>
      </c>
      <c r="U3" s="576">
        <f t="shared" ref="U3:U66" si="0">T3*LEFT(J3,1)*12</f>
        <v>23364</v>
      </c>
      <c r="V3" s="580">
        <v>0</v>
      </c>
      <c r="W3" s="576">
        <f t="shared" ref="W3:W66" si="1">V3*T3*0.5</f>
        <v>0</v>
      </c>
      <c r="X3" s="576">
        <f t="shared" ref="X3:X66" si="2">U3-W3</f>
        <v>23364</v>
      </c>
      <c r="Y3" s="581">
        <f t="shared" ref="Y3:Y66" si="3">X3/N3-1</f>
        <v>0</v>
      </c>
      <c r="Z3" s="577">
        <f>IFERROR(P3+Y3*0.5,"")</f>
        <v>0.36121334945622274</v>
      </c>
      <c r="AA3" s="577">
        <v>0.2741908102637779</v>
      </c>
      <c r="AB3" s="582"/>
      <c r="AC3" s="576">
        <v>499</v>
      </c>
      <c r="AD3" s="576">
        <f t="shared" ref="AD3:AD66" si="4">AC3*LEFT(J3,1)*12</f>
        <v>17964</v>
      </c>
      <c r="AE3" s="581">
        <f>AD3/AD7</f>
        <v>0.6</v>
      </c>
      <c r="AF3" s="580">
        <v>0</v>
      </c>
      <c r="AG3" s="576">
        <f t="shared" ref="AG3:AG66" si="5">AF3*AC3*0.5</f>
        <v>0</v>
      </c>
      <c r="AH3" s="709">
        <f t="shared" ref="AH3:AH66" si="6">AD3-AG3</f>
        <v>17964</v>
      </c>
      <c r="AI3" s="709">
        <f t="shared" ref="AI3:AI66" si="7">AH3-X3</f>
        <v>-5400</v>
      </c>
      <c r="AJ3" s="577">
        <f t="shared" ref="AJ3:AJ66" si="8">AI3/X3</f>
        <v>-0.23112480739599384</v>
      </c>
      <c r="AK3" s="582">
        <f>IFERROR(Z3+AJ3*0.5,"")</f>
        <v>0.24565094575822582</v>
      </c>
      <c r="AL3" s="582"/>
      <c r="AM3" s="580" t="e">
        <f>VLOOKUP(F3,[7]PRM!E:R,14,FALSE)</f>
        <v>#N/A</v>
      </c>
      <c r="AN3" s="576" t="e">
        <f>T3-#REF!</f>
        <v>#REF!</v>
      </c>
      <c r="AO3" s="580"/>
    </row>
    <row r="4" spans="2:41" s="436" customFormat="1" ht="14" hidden="1">
      <c r="B4" s="800">
        <v>2605</v>
      </c>
      <c r="C4" s="1392" t="s">
        <v>285</v>
      </c>
      <c r="D4" s="1392"/>
      <c r="E4" s="1392"/>
      <c r="F4" s="1395"/>
      <c r="G4" s="566" t="s">
        <v>97</v>
      </c>
      <c r="H4" s="566"/>
      <c r="I4" s="566"/>
      <c r="J4" s="566">
        <v>3</v>
      </c>
      <c r="K4" s="566" t="s">
        <v>286</v>
      </c>
      <c r="L4" s="566">
        <v>12</v>
      </c>
      <c r="M4" s="710">
        <v>599</v>
      </c>
      <c r="N4" s="576">
        <f>M4*LEFT(J4,1)*12</f>
        <v>21564</v>
      </c>
      <c r="O4" s="566">
        <v>12</v>
      </c>
      <c r="P4" s="577">
        <f>IFERROR(_xlfn.XLOOKUP($F$3,'[4]By Model'!$A:$A,'[4]By Model'!$K:$K),"")</f>
        <v>0.36121334945622274</v>
      </c>
      <c r="Q4" s="578" t="str">
        <f>IFERROR(_xlfn.XLOOKUP(F4,'[5]By Model'!$A:$A,'[5]By Model'!$B:$B),"")</f>
        <v/>
      </c>
      <c r="R4" s="579">
        <f>IFERROR(_xlfn.XLOOKUP($F$3,'[4]By Model'!$A:$A,'[4]By Model'!$I:$I),"")</f>
        <v>473.41684093428569</v>
      </c>
      <c r="S4" s="578" t="str">
        <f>IFERROR(_xlfn.XLOOKUP(F4,[6]Sum!$G:$G,[6]Sum!$AM:$AM),"")</f>
        <v/>
      </c>
      <c r="T4" s="710">
        <v>549</v>
      </c>
      <c r="U4" s="576">
        <f t="shared" si="0"/>
        <v>19764</v>
      </c>
      <c r="V4" s="580">
        <v>0</v>
      </c>
      <c r="W4" s="576">
        <f t="shared" si="1"/>
        <v>0</v>
      </c>
      <c r="X4" s="576">
        <f t="shared" si="2"/>
        <v>19764</v>
      </c>
      <c r="Y4" s="581">
        <f t="shared" si="3"/>
        <v>-8.347245409015025E-2</v>
      </c>
      <c r="Z4" s="577">
        <f t="shared" ref="Z4:Z67" si="9">IFERROR(P4+Y4*0.5,"")</f>
        <v>0.31947712241114762</v>
      </c>
      <c r="AA4" s="577">
        <v>0.27891101003773688</v>
      </c>
      <c r="AB4" s="582"/>
      <c r="AC4" s="710">
        <v>449</v>
      </c>
      <c r="AD4" s="576">
        <f t="shared" si="4"/>
        <v>16164</v>
      </c>
      <c r="AE4" s="581">
        <f>AD4/AD8</f>
        <v>0.6</v>
      </c>
      <c r="AF4" s="580">
        <v>0</v>
      </c>
      <c r="AG4" s="576">
        <f t="shared" si="5"/>
        <v>0</v>
      </c>
      <c r="AH4" s="709">
        <f t="shared" si="6"/>
        <v>16164</v>
      </c>
      <c r="AI4" s="709">
        <f t="shared" si="7"/>
        <v>-3600</v>
      </c>
      <c r="AJ4" s="577">
        <f t="shared" si="8"/>
        <v>-0.18214936247723132</v>
      </c>
      <c r="AK4" s="582">
        <f t="shared" ref="AK4:AK67" si="10">IFERROR(Z4+AJ4*0.5,"")</f>
        <v>0.22840244117253194</v>
      </c>
      <c r="AL4" s="582"/>
      <c r="AM4" s="580" t="e">
        <f>VLOOKUP(F4,[7]PRM!E:R,14,FALSE)</f>
        <v>#N/A</v>
      </c>
      <c r="AN4" s="576" t="e">
        <f>T4-#REF!</f>
        <v>#REF!</v>
      </c>
      <c r="AO4" s="580"/>
    </row>
    <row r="5" spans="2:41" s="436" customFormat="1" ht="14" hidden="1">
      <c r="B5" s="800">
        <v>2605</v>
      </c>
      <c r="C5" s="1392" t="s">
        <v>285</v>
      </c>
      <c r="D5" s="1392"/>
      <c r="E5" s="1392"/>
      <c r="F5" s="1395"/>
      <c r="G5" s="566" t="s">
        <v>97</v>
      </c>
      <c r="H5" s="566"/>
      <c r="I5" s="566"/>
      <c r="J5" s="566">
        <v>3</v>
      </c>
      <c r="K5" s="566" t="s">
        <v>288</v>
      </c>
      <c r="L5" s="566">
        <v>6</v>
      </c>
      <c r="M5" s="576">
        <v>499</v>
      </c>
      <c r="N5" s="576">
        <f>M5*LEFT(J5,1)*12</f>
        <v>17964</v>
      </c>
      <c r="O5" s="566">
        <v>6</v>
      </c>
      <c r="P5" s="577">
        <f>IFERROR(_xlfn.XLOOKUP($F$3,'[4]By Model'!$A:$A,'[4]By Model'!$K:$K),"")</f>
        <v>0.36121334945622274</v>
      </c>
      <c r="Q5" s="578" t="str">
        <f>IFERROR(_xlfn.XLOOKUP(F5,'[5]By Model'!$A:$A,'[5]By Model'!$B:$B),"")</f>
        <v/>
      </c>
      <c r="R5" s="579">
        <f>IFERROR(_xlfn.XLOOKUP($F$3,'[4]By Model'!$A:$A,'[4]By Model'!$I:$I),"")</f>
        <v>473.41684093428569</v>
      </c>
      <c r="S5" s="578" t="str">
        <f>IFERROR(_xlfn.XLOOKUP(F5,[6]Sum!$G:$G,[6]Sum!$AM:$AM),"")</f>
        <v/>
      </c>
      <c r="T5" s="576">
        <v>499</v>
      </c>
      <c r="U5" s="576">
        <f t="shared" si="0"/>
        <v>17964</v>
      </c>
      <c r="V5" s="580">
        <v>0</v>
      </c>
      <c r="W5" s="576">
        <f t="shared" si="1"/>
        <v>0</v>
      </c>
      <c r="X5" s="576">
        <f t="shared" si="2"/>
        <v>17964</v>
      </c>
      <c r="Y5" s="581">
        <f t="shared" si="3"/>
        <v>0</v>
      </c>
      <c r="Z5" s="577">
        <f t="shared" si="9"/>
        <v>0.36121334945622274</v>
      </c>
      <c r="AA5" s="577">
        <v>0.27891101003773688</v>
      </c>
      <c r="AB5" s="582"/>
      <c r="AC5" s="576">
        <v>499</v>
      </c>
      <c r="AD5" s="576">
        <f t="shared" si="4"/>
        <v>17964</v>
      </c>
      <c r="AE5" s="711">
        <f>AD5/AD9</f>
        <v>0.66681514476614701</v>
      </c>
      <c r="AF5" s="580">
        <v>0</v>
      </c>
      <c r="AG5" s="576">
        <f t="shared" si="5"/>
        <v>0</v>
      </c>
      <c r="AH5" s="709">
        <f t="shared" si="6"/>
        <v>17964</v>
      </c>
      <c r="AI5" s="709">
        <f t="shared" si="7"/>
        <v>0</v>
      </c>
      <c r="AJ5" s="577">
        <f t="shared" si="8"/>
        <v>0</v>
      </c>
      <c r="AK5" s="582">
        <f t="shared" si="10"/>
        <v>0.36121334945622274</v>
      </c>
      <c r="AL5" s="582"/>
      <c r="AM5" s="580" t="e">
        <f>VLOOKUP(F5,[7]PRM!E:R,14,FALSE)</f>
        <v>#N/A</v>
      </c>
      <c r="AN5" s="576" t="e">
        <f>T5-#REF!</f>
        <v>#REF!</v>
      </c>
      <c r="AO5" s="580"/>
    </row>
    <row r="6" spans="2:41" s="436" customFormat="1" ht="14" hidden="1">
      <c r="B6" s="800">
        <v>2605</v>
      </c>
      <c r="C6" s="1392" t="s">
        <v>285</v>
      </c>
      <c r="D6" s="1392"/>
      <c r="E6" s="1392"/>
      <c r="F6" s="1395"/>
      <c r="G6" s="566" t="s">
        <v>97</v>
      </c>
      <c r="H6" s="566"/>
      <c r="I6" s="566"/>
      <c r="J6" s="566">
        <v>3</v>
      </c>
      <c r="K6" s="566" t="s">
        <v>288</v>
      </c>
      <c r="L6" s="566">
        <v>12</v>
      </c>
      <c r="M6" s="576">
        <v>449</v>
      </c>
      <c r="N6" s="576">
        <f t="shared" ref="N6:N69" si="11">M6*LEFT(J6,1)*12</f>
        <v>16164</v>
      </c>
      <c r="O6" s="566">
        <v>12</v>
      </c>
      <c r="P6" s="577">
        <f>IFERROR(_xlfn.XLOOKUP($F$3,'[4]By Model'!$A:$A,'[4]By Model'!$K:$K),"")</f>
        <v>0.36121334945622274</v>
      </c>
      <c r="Q6" s="578" t="str">
        <f>IFERROR(_xlfn.XLOOKUP(F6,'[5]By Model'!$A:$A,'[5]By Model'!$B:$B),"")</f>
        <v/>
      </c>
      <c r="R6" s="579">
        <f>IFERROR(_xlfn.XLOOKUP($F$3,'[4]By Model'!$A:$A,'[4]By Model'!$I:$I),"")</f>
        <v>473.41684093428569</v>
      </c>
      <c r="S6" s="578" t="str">
        <f>IFERROR(_xlfn.XLOOKUP(F6,[6]Sum!$G:$G,[6]Sum!$AM:$AM),"")</f>
        <v/>
      </c>
      <c r="T6" s="576">
        <v>449</v>
      </c>
      <c r="U6" s="576">
        <f t="shared" si="0"/>
        <v>16164</v>
      </c>
      <c r="V6" s="580">
        <v>0</v>
      </c>
      <c r="W6" s="576">
        <f t="shared" si="1"/>
        <v>0</v>
      </c>
      <c r="X6" s="576">
        <f t="shared" si="2"/>
        <v>16164</v>
      </c>
      <c r="Y6" s="581">
        <f t="shared" si="3"/>
        <v>0</v>
      </c>
      <c r="Z6" s="577">
        <f t="shared" si="9"/>
        <v>0.36121334945622274</v>
      </c>
      <c r="AA6" s="577">
        <v>0.28468247924910339</v>
      </c>
      <c r="AB6" s="582"/>
      <c r="AC6" s="576">
        <v>449</v>
      </c>
      <c r="AD6" s="576">
        <f t="shared" si="4"/>
        <v>16164</v>
      </c>
      <c r="AE6" s="711">
        <f>AD6/AD10</f>
        <v>0.675187969924812</v>
      </c>
      <c r="AF6" s="580">
        <v>0</v>
      </c>
      <c r="AG6" s="576">
        <f t="shared" si="5"/>
        <v>0</v>
      </c>
      <c r="AH6" s="709">
        <f t="shared" si="6"/>
        <v>16164</v>
      </c>
      <c r="AI6" s="709">
        <f t="shared" si="7"/>
        <v>0</v>
      </c>
      <c r="AJ6" s="577">
        <f t="shared" si="8"/>
        <v>0</v>
      </c>
      <c r="AK6" s="582">
        <f t="shared" si="10"/>
        <v>0.36121334945622274</v>
      </c>
      <c r="AL6" s="582"/>
      <c r="AM6" s="580" t="e">
        <f>VLOOKUP(F6,[7]PRM!E:R,14,FALSE)</f>
        <v>#N/A</v>
      </c>
      <c r="AN6" s="576" t="e">
        <f>T6-#REF!</f>
        <v>#REF!</v>
      </c>
      <c r="AO6" s="580"/>
    </row>
    <row r="7" spans="2:41" s="436" customFormat="1" ht="14" hidden="1">
      <c r="B7" s="800">
        <v>2605</v>
      </c>
      <c r="C7" s="1392" t="s">
        <v>285</v>
      </c>
      <c r="D7" s="1392"/>
      <c r="E7" s="1392"/>
      <c r="F7" s="1395"/>
      <c r="G7" s="566" t="s">
        <v>97</v>
      </c>
      <c r="H7" s="566"/>
      <c r="I7" s="566"/>
      <c r="J7" s="566">
        <v>5</v>
      </c>
      <c r="K7" s="566" t="s">
        <v>286</v>
      </c>
      <c r="L7" s="566">
        <v>6</v>
      </c>
      <c r="M7" s="576">
        <v>599</v>
      </c>
      <c r="N7" s="576">
        <f t="shared" si="11"/>
        <v>35940</v>
      </c>
      <c r="O7" s="566">
        <v>6</v>
      </c>
      <c r="P7" s="577">
        <f>IFERROR(_xlfn.XLOOKUP($F$3,'[4]By Model'!$A:$A,'[4]By Model'!$K:$K),"")</f>
        <v>0.36121334945622274</v>
      </c>
      <c r="Q7" s="578" t="str">
        <f>IFERROR(_xlfn.XLOOKUP(F7,'[5]By Model'!$A:$A,'[5]By Model'!$B:$B),"")</f>
        <v/>
      </c>
      <c r="R7" s="579">
        <f>IFERROR(_xlfn.XLOOKUP($F$3,'[4]By Model'!$A:$A,'[4]By Model'!$I:$I),"")</f>
        <v>473.41684093428569</v>
      </c>
      <c r="S7" s="578" t="str">
        <f>IFERROR(_xlfn.XLOOKUP(F7,[6]Sum!$G:$G,[6]Sum!$AM:$AM),"")</f>
        <v/>
      </c>
      <c r="T7" s="576">
        <v>499</v>
      </c>
      <c r="U7" s="576">
        <f t="shared" si="0"/>
        <v>29940</v>
      </c>
      <c r="V7" s="580">
        <v>6</v>
      </c>
      <c r="W7" s="576">
        <f t="shared" si="1"/>
        <v>1497</v>
      </c>
      <c r="X7" s="576">
        <f t="shared" si="2"/>
        <v>28443</v>
      </c>
      <c r="Y7" s="581">
        <f t="shared" si="3"/>
        <v>-0.20859766277128544</v>
      </c>
      <c r="Z7" s="577">
        <f t="shared" si="9"/>
        <v>0.25691451807058002</v>
      </c>
      <c r="AA7" s="577">
        <v>0.2741908102637779</v>
      </c>
      <c r="AB7" s="582"/>
      <c r="AC7" s="576">
        <v>499</v>
      </c>
      <c r="AD7" s="576">
        <f t="shared" si="4"/>
        <v>29940</v>
      </c>
      <c r="AE7" s="711"/>
      <c r="AF7" s="583">
        <v>6</v>
      </c>
      <c r="AG7" s="576">
        <f t="shared" si="5"/>
        <v>1497</v>
      </c>
      <c r="AH7" s="709">
        <f t="shared" si="6"/>
        <v>28443</v>
      </c>
      <c r="AI7" s="709">
        <f t="shared" si="7"/>
        <v>0</v>
      </c>
      <c r="AJ7" s="577">
        <f t="shared" si="8"/>
        <v>0</v>
      </c>
      <c r="AK7" s="582">
        <f t="shared" si="10"/>
        <v>0.25691451807058002</v>
      </c>
      <c r="AL7" s="582"/>
      <c r="AM7" s="580" t="e">
        <f>VLOOKUP(F7,[7]PRM!E:R,14,FALSE)</f>
        <v>#N/A</v>
      </c>
      <c r="AN7" s="576" t="e">
        <f>T7-#REF!</f>
        <v>#REF!</v>
      </c>
      <c r="AO7" s="580"/>
    </row>
    <row r="8" spans="2:41" s="436" customFormat="1" ht="14" hidden="1">
      <c r="B8" s="800">
        <v>2605</v>
      </c>
      <c r="C8" s="1392" t="s">
        <v>285</v>
      </c>
      <c r="D8" s="1392"/>
      <c r="E8" s="1392"/>
      <c r="F8" s="1395"/>
      <c r="G8" s="566" t="s">
        <v>97</v>
      </c>
      <c r="H8" s="566"/>
      <c r="I8" s="566"/>
      <c r="J8" s="566">
        <v>5</v>
      </c>
      <c r="K8" s="566" t="s">
        <v>286</v>
      </c>
      <c r="L8" s="566">
        <v>12</v>
      </c>
      <c r="M8" s="576">
        <v>549</v>
      </c>
      <c r="N8" s="576">
        <f t="shared" si="11"/>
        <v>32940</v>
      </c>
      <c r="O8" s="566">
        <v>12</v>
      </c>
      <c r="P8" s="577">
        <f>IFERROR(_xlfn.XLOOKUP($F$3,'[4]By Model'!$A:$A,'[4]By Model'!$K:$K),"")</f>
        <v>0.36121334945622274</v>
      </c>
      <c r="Q8" s="578" t="str">
        <f>IFERROR(_xlfn.XLOOKUP(F8,'[5]By Model'!$A:$A,'[5]By Model'!$B:$B),"")</f>
        <v/>
      </c>
      <c r="R8" s="579">
        <f>IFERROR(_xlfn.XLOOKUP($F$3,'[4]By Model'!$A:$A,'[4]By Model'!$I:$I),"")</f>
        <v>473.41684093428569</v>
      </c>
      <c r="S8" s="578" t="str">
        <f>IFERROR(_xlfn.XLOOKUP(F8,[6]Sum!$G:$G,[6]Sum!$AM:$AM),"")</f>
        <v/>
      </c>
      <c r="T8" s="576">
        <v>449</v>
      </c>
      <c r="U8" s="576">
        <f t="shared" si="0"/>
        <v>26940</v>
      </c>
      <c r="V8" s="580">
        <v>6</v>
      </c>
      <c r="W8" s="576">
        <f t="shared" si="1"/>
        <v>1347</v>
      </c>
      <c r="X8" s="576">
        <f t="shared" si="2"/>
        <v>25593</v>
      </c>
      <c r="Y8" s="581">
        <f t="shared" si="3"/>
        <v>-0.22304189435336974</v>
      </c>
      <c r="Z8" s="577">
        <f t="shared" si="9"/>
        <v>0.24969240227953787</v>
      </c>
      <c r="AA8" s="577">
        <v>0.27891101003773688</v>
      </c>
      <c r="AB8" s="582"/>
      <c r="AC8" s="576">
        <v>449</v>
      </c>
      <c r="AD8" s="576">
        <f t="shared" si="4"/>
        <v>26940</v>
      </c>
      <c r="AE8" s="711"/>
      <c r="AF8" s="583">
        <v>6</v>
      </c>
      <c r="AG8" s="576">
        <f t="shared" si="5"/>
        <v>1347</v>
      </c>
      <c r="AH8" s="709">
        <f t="shared" si="6"/>
        <v>25593</v>
      </c>
      <c r="AI8" s="709">
        <f t="shared" si="7"/>
        <v>0</v>
      </c>
      <c r="AJ8" s="577">
        <f t="shared" si="8"/>
        <v>0</v>
      </c>
      <c r="AK8" s="582">
        <f t="shared" si="10"/>
        <v>0.24969240227953787</v>
      </c>
      <c r="AL8" s="582"/>
      <c r="AM8" s="580" t="e">
        <f>VLOOKUP(F8,[7]PRM!E:R,14,FALSE)</f>
        <v>#N/A</v>
      </c>
      <c r="AN8" s="576" t="e">
        <f>T8-#REF!</f>
        <v>#REF!</v>
      </c>
      <c r="AO8" s="580"/>
    </row>
    <row r="9" spans="2:41" s="436" customFormat="1" ht="14" hidden="1">
      <c r="B9" s="800">
        <v>2605</v>
      </c>
      <c r="C9" s="1392" t="s">
        <v>285</v>
      </c>
      <c r="D9" s="1392"/>
      <c r="E9" s="1392"/>
      <c r="F9" s="1395"/>
      <c r="G9" s="566" t="s">
        <v>97</v>
      </c>
      <c r="H9" s="566"/>
      <c r="I9" s="566"/>
      <c r="J9" s="566">
        <v>5</v>
      </c>
      <c r="K9" s="566" t="s">
        <v>288</v>
      </c>
      <c r="L9" s="566">
        <v>6</v>
      </c>
      <c r="M9" s="576">
        <v>549</v>
      </c>
      <c r="N9" s="576">
        <f t="shared" si="11"/>
        <v>32940</v>
      </c>
      <c r="O9" s="566">
        <v>6</v>
      </c>
      <c r="P9" s="577">
        <f>IFERROR(_xlfn.XLOOKUP($F$3,'[4]By Model'!$A:$A,'[4]By Model'!$K:$K),"")</f>
        <v>0.36121334945622274</v>
      </c>
      <c r="Q9" s="578" t="str">
        <f>IFERROR(_xlfn.XLOOKUP(F9,'[5]By Model'!$A:$A,'[5]By Model'!$B:$B),"")</f>
        <v/>
      </c>
      <c r="R9" s="579">
        <f>IFERROR(_xlfn.XLOOKUP($F$3,'[4]By Model'!$A:$A,'[4]By Model'!$I:$I),"")</f>
        <v>473.41684093428569</v>
      </c>
      <c r="S9" s="578" t="str">
        <f>IFERROR(_xlfn.XLOOKUP(F9,[6]Sum!$G:$G,[6]Sum!$AM:$AM),"")</f>
        <v/>
      </c>
      <c r="T9" s="576">
        <v>449</v>
      </c>
      <c r="U9" s="576">
        <f t="shared" si="0"/>
        <v>26940</v>
      </c>
      <c r="V9" s="580">
        <v>6</v>
      </c>
      <c r="W9" s="576">
        <f t="shared" si="1"/>
        <v>1347</v>
      </c>
      <c r="X9" s="576">
        <f t="shared" si="2"/>
        <v>25593</v>
      </c>
      <c r="Y9" s="581">
        <f t="shared" si="3"/>
        <v>-0.22304189435336974</v>
      </c>
      <c r="Z9" s="577">
        <f t="shared" si="9"/>
        <v>0.24969240227953787</v>
      </c>
      <c r="AA9" s="577">
        <v>0.27891101003773688</v>
      </c>
      <c r="AB9" s="582"/>
      <c r="AC9" s="576">
        <v>449</v>
      </c>
      <c r="AD9" s="576">
        <f t="shared" si="4"/>
        <v>26940</v>
      </c>
      <c r="AE9" s="711"/>
      <c r="AF9" s="583">
        <v>6</v>
      </c>
      <c r="AG9" s="576">
        <f t="shared" si="5"/>
        <v>1347</v>
      </c>
      <c r="AH9" s="709">
        <f t="shared" si="6"/>
        <v>25593</v>
      </c>
      <c r="AI9" s="709">
        <f t="shared" si="7"/>
        <v>0</v>
      </c>
      <c r="AJ9" s="577">
        <f t="shared" si="8"/>
        <v>0</v>
      </c>
      <c r="AK9" s="582">
        <f t="shared" si="10"/>
        <v>0.24969240227953787</v>
      </c>
      <c r="AL9" s="582"/>
      <c r="AM9" s="580" t="e">
        <f>VLOOKUP(F9,[7]PRM!E:R,14,FALSE)</f>
        <v>#N/A</v>
      </c>
      <c r="AN9" s="576" t="e">
        <f>T9-#REF!</f>
        <v>#REF!</v>
      </c>
      <c r="AO9" s="580"/>
    </row>
    <row r="10" spans="2:41" s="436" customFormat="1" ht="14" hidden="1">
      <c r="B10" s="801">
        <v>2605</v>
      </c>
      <c r="C10" s="1393" t="s">
        <v>285</v>
      </c>
      <c r="D10" s="1393"/>
      <c r="E10" s="1393"/>
      <c r="F10" s="1396"/>
      <c r="G10" s="566" t="s">
        <v>97</v>
      </c>
      <c r="H10" s="566"/>
      <c r="I10" s="566"/>
      <c r="J10" s="566">
        <v>5</v>
      </c>
      <c r="K10" s="566" t="s">
        <v>288</v>
      </c>
      <c r="L10" s="566">
        <v>12</v>
      </c>
      <c r="M10" s="576">
        <v>499</v>
      </c>
      <c r="N10" s="576">
        <f t="shared" si="11"/>
        <v>29940</v>
      </c>
      <c r="O10" s="566">
        <v>12</v>
      </c>
      <c r="P10" s="577">
        <f>IFERROR(_xlfn.XLOOKUP($F$3,'[4]By Model'!$A:$A,'[4]By Model'!$K:$K),"")</f>
        <v>0.36121334945622274</v>
      </c>
      <c r="Q10" s="578" t="str">
        <f>IFERROR(_xlfn.XLOOKUP(F10,'[5]By Model'!$A:$A,'[5]By Model'!$B:$B),"")</f>
        <v/>
      </c>
      <c r="R10" s="579">
        <f>IFERROR(_xlfn.XLOOKUP($F$3,'[4]By Model'!$A:$A,'[4]By Model'!$I:$I),"")</f>
        <v>473.41684093428569</v>
      </c>
      <c r="S10" s="578" t="str">
        <f>IFERROR(_xlfn.XLOOKUP(F10,[6]Sum!$G:$G,[6]Sum!$AM:$AM),"")</f>
        <v/>
      </c>
      <c r="T10" s="576">
        <v>399</v>
      </c>
      <c r="U10" s="576">
        <f t="shared" si="0"/>
        <v>23940</v>
      </c>
      <c r="V10" s="580">
        <v>6</v>
      </c>
      <c r="W10" s="576">
        <f t="shared" si="1"/>
        <v>1197</v>
      </c>
      <c r="X10" s="576">
        <f t="shared" si="2"/>
        <v>22743</v>
      </c>
      <c r="Y10" s="581">
        <f t="shared" si="3"/>
        <v>-0.2403807615230461</v>
      </c>
      <c r="Z10" s="577">
        <f t="shared" si="9"/>
        <v>0.24102296869469969</v>
      </c>
      <c r="AA10" s="577">
        <v>0.28468247924910339</v>
      </c>
      <c r="AB10" s="582"/>
      <c r="AC10" s="576">
        <v>399</v>
      </c>
      <c r="AD10" s="576">
        <f t="shared" si="4"/>
        <v>23940</v>
      </c>
      <c r="AE10" s="711"/>
      <c r="AF10" s="583">
        <v>6</v>
      </c>
      <c r="AG10" s="576">
        <f t="shared" si="5"/>
        <v>1197</v>
      </c>
      <c r="AH10" s="709">
        <f t="shared" si="6"/>
        <v>22743</v>
      </c>
      <c r="AI10" s="709">
        <f t="shared" si="7"/>
        <v>0</v>
      </c>
      <c r="AJ10" s="577">
        <f t="shared" si="8"/>
        <v>0</v>
      </c>
      <c r="AK10" s="582">
        <f t="shared" si="10"/>
        <v>0.24102296869469969</v>
      </c>
      <c r="AL10" s="582"/>
      <c r="AM10" s="580" t="e">
        <f>VLOOKUP(F10,[7]PRM!E:R,14,FALSE)</f>
        <v>#N/A</v>
      </c>
      <c r="AN10" s="576" t="e">
        <f>T10-#REF!</f>
        <v>#REF!</v>
      </c>
      <c r="AO10" s="580"/>
    </row>
    <row r="11" spans="2:41" s="436" customFormat="1" ht="14" hidden="1">
      <c r="B11" s="799">
        <v>2605</v>
      </c>
      <c r="C11" s="1391" t="s">
        <v>285</v>
      </c>
      <c r="D11" s="1391"/>
      <c r="E11" s="1391"/>
      <c r="F11" s="1391" t="s">
        <v>72</v>
      </c>
      <c r="G11" s="566" t="s">
        <v>72</v>
      </c>
      <c r="H11" s="566"/>
      <c r="I11" s="566"/>
      <c r="J11" s="566">
        <v>3</v>
      </c>
      <c r="K11" s="566" t="s">
        <v>286</v>
      </c>
      <c r="L11" s="566">
        <v>6</v>
      </c>
      <c r="M11" s="576">
        <v>1149</v>
      </c>
      <c r="N11" s="576">
        <f t="shared" si="11"/>
        <v>41364</v>
      </c>
      <c r="O11" s="566">
        <v>6</v>
      </c>
      <c r="P11" s="577">
        <f>IFERROR(_xlfn.XLOOKUP($F$11,'[4]By Model'!$A:$A,'[4]By Model'!$K:$K),"")</f>
        <v>0.36139658208234104</v>
      </c>
      <c r="Q11" s="578">
        <f>IFERROR(_xlfn.XLOOKUP(F11,'[5]By Model'!$A:$A,'[5]By Model'!$B:$B),"")</f>
        <v>87</v>
      </c>
      <c r="R11" s="579">
        <f>IFERROR(_xlfn.XLOOKUP($F$11,'[4]By Model'!$A:$A,'[4]By Model'!$I:$I),"")</f>
        <v>769.4241485941177</v>
      </c>
      <c r="S11" s="578" t="str">
        <f>IFERROR(_xlfn.XLOOKUP(F11,[6]Sum!$G:$G,[6]Sum!$AM:$AM),"")</f>
        <v/>
      </c>
      <c r="T11" s="576">
        <v>1099</v>
      </c>
      <c r="U11" s="576">
        <f t="shared" si="0"/>
        <v>39564</v>
      </c>
      <c r="V11" s="580">
        <v>0</v>
      </c>
      <c r="W11" s="576">
        <f t="shared" si="1"/>
        <v>0</v>
      </c>
      <c r="X11" s="576">
        <f t="shared" si="2"/>
        <v>39564</v>
      </c>
      <c r="Y11" s="581">
        <f t="shared" si="3"/>
        <v>-4.3516100957354253E-2</v>
      </c>
      <c r="Z11" s="577">
        <f t="shared" si="9"/>
        <v>0.33963853160366392</v>
      </c>
      <c r="AA11" s="577">
        <v>0.36516840680282137</v>
      </c>
      <c r="AB11" s="582"/>
      <c r="AC11" s="576">
        <v>949</v>
      </c>
      <c r="AD11" s="576">
        <f t="shared" si="4"/>
        <v>34164</v>
      </c>
      <c r="AE11" s="581">
        <f t="shared" ref="AE11:AE12" si="12">AD11/AD15</f>
        <v>0.75014821158026479</v>
      </c>
      <c r="AF11" s="580">
        <v>0</v>
      </c>
      <c r="AG11" s="576">
        <f t="shared" si="5"/>
        <v>0</v>
      </c>
      <c r="AH11" s="709">
        <f t="shared" si="6"/>
        <v>34164</v>
      </c>
      <c r="AI11" s="709">
        <f t="shared" si="7"/>
        <v>-5400</v>
      </c>
      <c r="AJ11" s="577">
        <f t="shared" si="8"/>
        <v>-0.13648771610555049</v>
      </c>
      <c r="AK11" s="582">
        <f t="shared" si="10"/>
        <v>0.27139467355088864</v>
      </c>
      <c r="AL11" s="582"/>
      <c r="AM11" s="580" t="e">
        <f>VLOOKUP(F11,[7]PRM!E:R,14,FALSE)</f>
        <v>#N/A</v>
      </c>
      <c r="AN11" s="576" t="e">
        <f>T11-#REF!</f>
        <v>#REF!</v>
      </c>
      <c r="AO11" s="580"/>
    </row>
    <row r="12" spans="2:41" s="436" customFormat="1" ht="14" hidden="1">
      <c r="B12" s="800">
        <v>2605</v>
      </c>
      <c r="C12" s="1392" t="s">
        <v>285</v>
      </c>
      <c r="D12" s="1392"/>
      <c r="E12" s="1392"/>
      <c r="F12" s="1392"/>
      <c r="G12" s="566" t="s">
        <v>72</v>
      </c>
      <c r="H12" s="566"/>
      <c r="I12" s="566"/>
      <c r="J12" s="566">
        <v>3</v>
      </c>
      <c r="K12" s="566" t="s">
        <v>286</v>
      </c>
      <c r="L12" s="566">
        <v>12</v>
      </c>
      <c r="M12" s="576">
        <v>1049</v>
      </c>
      <c r="N12" s="576">
        <f t="shared" si="11"/>
        <v>37764</v>
      </c>
      <c r="O12" s="566">
        <v>12</v>
      </c>
      <c r="P12" s="577">
        <f>IFERROR(_xlfn.XLOOKUP($F$11,'[4]By Model'!$A:$A,'[4]By Model'!$K:$K),"")</f>
        <v>0.36139658208234104</v>
      </c>
      <c r="Q12" s="578" t="str">
        <f>IFERROR(_xlfn.XLOOKUP(F12,'[5]By Model'!$A:$A,'[5]By Model'!$B:$B),"")</f>
        <v/>
      </c>
      <c r="R12" s="579">
        <f>IFERROR(_xlfn.XLOOKUP($F$11,'[4]By Model'!$A:$A,'[4]By Model'!$I:$I),"")</f>
        <v>769.4241485941177</v>
      </c>
      <c r="S12" s="578" t="str">
        <f>IFERROR(_xlfn.XLOOKUP(F12,[6]Sum!$G:$G,[6]Sum!$AM:$AM),"")</f>
        <v/>
      </c>
      <c r="T12" s="576">
        <v>999</v>
      </c>
      <c r="U12" s="576">
        <f t="shared" si="0"/>
        <v>35964</v>
      </c>
      <c r="V12" s="580">
        <v>0</v>
      </c>
      <c r="W12" s="576">
        <f t="shared" si="1"/>
        <v>0</v>
      </c>
      <c r="X12" s="576">
        <f t="shared" si="2"/>
        <v>35964</v>
      </c>
      <c r="Y12" s="581">
        <f t="shared" si="3"/>
        <v>-4.7664442326024736E-2</v>
      </c>
      <c r="Z12" s="577">
        <f t="shared" si="9"/>
        <v>0.33756436091932868</v>
      </c>
      <c r="AA12" s="577">
        <v>0.36707465216587953</v>
      </c>
      <c r="AB12" s="582"/>
      <c r="AC12" s="576">
        <v>899</v>
      </c>
      <c r="AD12" s="576">
        <f t="shared" si="4"/>
        <v>32364</v>
      </c>
      <c r="AE12" s="581">
        <f t="shared" si="12"/>
        <v>0.75806338275595531</v>
      </c>
      <c r="AF12" s="580">
        <v>0</v>
      </c>
      <c r="AG12" s="576">
        <f t="shared" si="5"/>
        <v>0</v>
      </c>
      <c r="AH12" s="709">
        <f t="shared" si="6"/>
        <v>32364</v>
      </c>
      <c r="AI12" s="709">
        <f t="shared" si="7"/>
        <v>-3600</v>
      </c>
      <c r="AJ12" s="577">
        <f t="shared" si="8"/>
        <v>-0.10010010010010011</v>
      </c>
      <c r="AK12" s="582">
        <f t="shared" si="10"/>
        <v>0.28751431086927864</v>
      </c>
      <c r="AL12" s="582"/>
      <c r="AM12" s="580" t="e">
        <f>VLOOKUP(F12,[7]PRM!E:R,14,FALSE)</f>
        <v>#N/A</v>
      </c>
      <c r="AN12" s="576" t="e">
        <f>T12-#REF!</f>
        <v>#REF!</v>
      </c>
      <c r="AO12" s="580"/>
    </row>
    <row r="13" spans="2:41" s="436" customFormat="1" ht="14" hidden="1">
      <c r="B13" s="800">
        <v>2605</v>
      </c>
      <c r="C13" s="1392" t="s">
        <v>285</v>
      </c>
      <c r="D13" s="1392"/>
      <c r="E13" s="1392"/>
      <c r="F13" s="1392"/>
      <c r="G13" s="566" t="s">
        <v>72</v>
      </c>
      <c r="H13" s="566"/>
      <c r="I13" s="566"/>
      <c r="J13" s="566">
        <v>3</v>
      </c>
      <c r="K13" s="566" t="s">
        <v>288</v>
      </c>
      <c r="L13" s="566">
        <v>6</v>
      </c>
      <c r="M13" s="576">
        <v>949</v>
      </c>
      <c r="N13" s="576">
        <f t="shared" si="11"/>
        <v>34164</v>
      </c>
      <c r="O13" s="566">
        <v>6</v>
      </c>
      <c r="P13" s="577">
        <f>IFERROR(_xlfn.XLOOKUP($F$11,'[4]By Model'!$A:$A,'[4]By Model'!$K:$K),"")</f>
        <v>0.36139658208234104</v>
      </c>
      <c r="Q13" s="578" t="str">
        <f>IFERROR(_xlfn.XLOOKUP(F13,'[5]By Model'!$A:$A,'[5]By Model'!$B:$B),"")</f>
        <v/>
      </c>
      <c r="R13" s="579">
        <f>IFERROR(_xlfn.XLOOKUP($F$11,'[4]By Model'!$A:$A,'[4]By Model'!$I:$I),"")</f>
        <v>769.4241485941177</v>
      </c>
      <c r="S13" s="578" t="str">
        <f>IFERROR(_xlfn.XLOOKUP(F13,[6]Sum!$G:$G,[6]Sum!$AM:$AM),"")</f>
        <v/>
      </c>
      <c r="T13" s="576">
        <v>949</v>
      </c>
      <c r="U13" s="576">
        <f t="shared" si="0"/>
        <v>34164</v>
      </c>
      <c r="V13" s="580">
        <v>0</v>
      </c>
      <c r="W13" s="576">
        <f t="shared" si="1"/>
        <v>0</v>
      </c>
      <c r="X13" s="576">
        <f t="shared" si="2"/>
        <v>34164</v>
      </c>
      <c r="Y13" s="581">
        <f t="shared" si="3"/>
        <v>0</v>
      </c>
      <c r="Z13" s="577">
        <f t="shared" si="9"/>
        <v>0.36139658208234104</v>
      </c>
      <c r="AA13" s="577">
        <v>0.36707465216587953</v>
      </c>
      <c r="AB13" s="582"/>
      <c r="AC13" s="576">
        <v>949</v>
      </c>
      <c r="AD13" s="576">
        <f t="shared" si="4"/>
        <v>34164</v>
      </c>
      <c r="AE13" s="711">
        <f>AD13/AD17</f>
        <v>0.8002248612184667</v>
      </c>
      <c r="AF13" s="580">
        <v>0</v>
      </c>
      <c r="AG13" s="576">
        <f t="shared" si="5"/>
        <v>0</v>
      </c>
      <c r="AH13" s="709">
        <f t="shared" si="6"/>
        <v>34164</v>
      </c>
      <c r="AI13" s="709">
        <f t="shared" si="7"/>
        <v>0</v>
      </c>
      <c r="AJ13" s="577">
        <f t="shared" si="8"/>
        <v>0</v>
      </c>
      <c r="AK13" s="582">
        <f t="shared" si="10"/>
        <v>0.36139658208234104</v>
      </c>
      <c r="AL13" s="582"/>
      <c r="AM13" s="580" t="e">
        <f>VLOOKUP(F13,[7]PRM!E:R,14,FALSE)</f>
        <v>#N/A</v>
      </c>
      <c r="AN13" s="576" t="e">
        <f>T13-#REF!</f>
        <v>#REF!</v>
      </c>
      <c r="AO13" s="580"/>
    </row>
    <row r="14" spans="2:41" s="436" customFormat="1" ht="14" hidden="1">
      <c r="B14" s="800">
        <v>2605</v>
      </c>
      <c r="C14" s="1392" t="s">
        <v>285</v>
      </c>
      <c r="D14" s="1392"/>
      <c r="E14" s="1392"/>
      <c r="F14" s="1392"/>
      <c r="G14" s="566" t="s">
        <v>72</v>
      </c>
      <c r="H14" s="566"/>
      <c r="I14" s="566"/>
      <c r="J14" s="566">
        <v>3</v>
      </c>
      <c r="K14" s="566" t="s">
        <v>288</v>
      </c>
      <c r="L14" s="566">
        <v>12</v>
      </c>
      <c r="M14" s="576">
        <v>899</v>
      </c>
      <c r="N14" s="576">
        <f t="shared" si="11"/>
        <v>32364</v>
      </c>
      <c r="O14" s="566">
        <v>12</v>
      </c>
      <c r="P14" s="577">
        <f>IFERROR(_xlfn.XLOOKUP($F$11,'[4]By Model'!$A:$A,'[4]By Model'!$K:$K),"")</f>
        <v>0.36139658208234104</v>
      </c>
      <c r="Q14" s="578" t="str">
        <f>IFERROR(_xlfn.XLOOKUP(F14,'[5]By Model'!$A:$A,'[5]By Model'!$B:$B),"")</f>
        <v/>
      </c>
      <c r="R14" s="579">
        <f>IFERROR(_xlfn.XLOOKUP($F$11,'[4]By Model'!$A:$A,'[4]By Model'!$I:$I),"")</f>
        <v>769.4241485941177</v>
      </c>
      <c r="S14" s="578" t="str">
        <f>IFERROR(_xlfn.XLOOKUP(F14,[6]Sum!$G:$G,[6]Sum!$AM:$AM),"")</f>
        <v/>
      </c>
      <c r="T14" s="576">
        <v>899</v>
      </c>
      <c r="U14" s="576">
        <f t="shared" si="0"/>
        <v>32364</v>
      </c>
      <c r="V14" s="580">
        <v>0</v>
      </c>
      <c r="W14" s="576">
        <f t="shared" si="1"/>
        <v>0</v>
      </c>
      <c r="X14" s="576">
        <f t="shared" si="2"/>
        <v>32364</v>
      </c>
      <c r="Y14" s="581">
        <f t="shared" si="3"/>
        <v>0</v>
      </c>
      <c r="Z14" s="577">
        <f t="shared" si="9"/>
        <v>0.36139658208234104</v>
      </c>
      <c r="AA14" s="577">
        <v>0.36923540291786394</v>
      </c>
      <c r="AB14" s="582"/>
      <c r="AC14" s="576">
        <v>899</v>
      </c>
      <c r="AD14" s="576">
        <f t="shared" si="4"/>
        <v>32364</v>
      </c>
      <c r="AE14" s="711">
        <f>AD14/AD18</f>
        <v>0.81228823130788341</v>
      </c>
      <c r="AF14" s="580">
        <v>0</v>
      </c>
      <c r="AG14" s="576">
        <f t="shared" si="5"/>
        <v>0</v>
      </c>
      <c r="AH14" s="709">
        <f t="shared" si="6"/>
        <v>32364</v>
      </c>
      <c r="AI14" s="709">
        <f t="shared" si="7"/>
        <v>0</v>
      </c>
      <c r="AJ14" s="577">
        <f t="shared" si="8"/>
        <v>0</v>
      </c>
      <c r="AK14" s="582">
        <f t="shared" si="10"/>
        <v>0.36139658208234104</v>
      </c>
      <c r="AL14" s="582"/>
      <c r="AM14" s="580" t="e">
        <f>VLOOKUP(F14,[7]PRM!E:R,14,FALSE)</f>
        <v>#N/A</v>
      </c>
      <c r="AN14" s="576" t="e">
        <f>T14-#REF!</f>
        <v>#REF!</v>
      </c>
      <c r="AO14" s="580"/>
    </row>
    <row r="15" spans="2:41" s="436" customFormat="1" ht="14" hidden="1">
      <c r="B15" s="800">
        <v>2605</v>
      </c>
      <c r="C15" s="1392" t="s">
        <v>285</v>
      </c>
      <c r="D15" s="1392"/>
      <c r="E15" s="1392"/>
      <c r="F15" s="1392"/>
      <c r="G15" s="566" t="s">
        <v>72</v>
      </c>
      <c r="H15" s="566"/>
      <c r="I15" s="566"/>
      <c r="J15" s="566">
        <v>5</v>
      </c>
      <c r="K15" s="566" t="s">
        <v>286</v>
      </c>
      <c r="L15" s="566">
        <v>6</v>
      </c>
      <c r="M15" s="576">
        <v>899</v>
      </c>
      <c r="N15" s="576">
        <f t="shared" si="11"/>
        <v>53940</v>
      </c>
      <c r="O15" s="566">
        <v>6</v>
      </c>
      <c r="P15" s="577">
        <f>IFERROR(_xlfn.XLOOKUP($F$11,'[4]By Model'!$A:$A,'[4]By Model'!$K:$K),"")</f>
        <v>0.36139658208234104</v>
      </c>
      <c r="Q15" s="578" t="str">
        <f>IFERROR(_xlfn.XLOOKUP(F15,'[5]By Model'!$A:$A,'[5]By Model'!$B:$B),"")</f>
        <v/>
      </c>
      <c r="R15" s="579">
        <f>IFERROR(_xlfn.XLOOKUP($F$11,'[4]By Model'!$A:$A,'[4]By Model'!$I:$I),"")</f>
        <v>769.4241485941177</v>
      </c>
      <c r="S15" s="578" t="str">
        <f>IFERROR(_xlfn.XLOOKUP(F15,[6]Sum!$G:$G,[6]Sum!$AM:$AM),"")</f>
        <v/>
      </c>
      <c r="T15" s="576">
        <v>799</v>
      </c>
      <c r="U15" s="576">
        <f t="shared" si="0"/>
        <v>47940</v>
      </c>
      <c r="V15" s="580">
        <v>6</v>
      </c>
      <c r="W15" s="576">
        <f t="shared" si="1"/>
        <v>2397</v>
      </c>
      <c r="X15" s="576">
        <f t="shared" si="2"/>
        <v>45543</v>
      </c>
      <c r="Y15" s="581">
        <f t="shared" si="3"/>
        <v>-0.1556729699666296</v>
      </c>
      <c r="Z15" s="577">
        <f t="shared" si="9"/>
        <v>0.28356009709902624</v>
      </c>
      <c r="AA15" s="577">
        <v>0.36516840680282137</v>
      </c>
      <c r="AB15" s="582"/>
      <c r="AC15" s="576">
        <v>799</v>
      </c>
      <c r="AD15" s="576">
        <f t="shared" ref="AD15:AD18" si="13">(T15*((J15*12)-AF15))</f>
        <v>45543</v>
      </c>
      <c r="AE15" s="580">
        <v>149</v>
      </c>
      <c r="AF15" s="583">
        <v>3</v>
      </c>
      <c r="AG15" s="576">
        <f t="shared" ref="AG15:AG18" si="14">AE15*AF15</f>
        <v>447</v>
      </c>
      <c r="AH15" s="709">
        <f t="shared" ref="AH15:AH18" si="15">AD15+AG15</f>
        <v>45990</v>
      </c>
      <c r="AI15" s="709">
        <f t="shared" si="7"/>
        <v>447</v>
      </c>
      <c r="AJ15" s="577">
        <f t="shared" si="8"/>
        <v>9.8149002042026215E-3</v>
      </c>
      <c r="AK15" s="582">
        <f t="shared" si="10"/>
        <v>0.28846754720112755</v>
      </c>
      <c r="AL15" s="582"/>
      <c r="AM15" s="580" t="e">
        <f>VLOOKUP(F15,[7]PRM!E:R,14,FALSE)</f>
        <v>#N/A</v>
      </c>
      <c r="AN15" s="576" t="e">
        <f>T15-#REF!</f>
        <v>#REF!</v>
      </c>
      <c r="AO15" s="580"/>
    </row>
    <row r="16" spans="2:41" s="436" customFormat="1" ht="14" hidden="1">
      <c r="B16" s="800">
        <v>2605</v>
      </c>
      <c r="C16" s="1392" t="s">
        <v>285</v>
      </c>
      <c r="D16" s="1392"/>
      <c r="E16" s="1392"/>
      <c r="F16" s="1392"/>
      <c r="G16" s="566" t="s">
        <v>72</v>
      </c>
      <c r="H16" s="566"/>
      <c r="I16" s="566"/>
      <c r="J16" s="566">
        <v>5</v>
      </c>
      <c r="K16" s="566" t="s">
        <v>286</v>
      </c>
      <c r="L16" s="566">
        <v>12</v>
      </c>
      <c r="M16" s="576">
        <v>849</v>
      </c>
      <c r="N16" s="576">
        <f t="shared" si="11"/>
        <v>50940</v>
      </c>
      <c r="O16" s="566">
        <v>12</v>
      </c>
      <c r="P16" s="577">
        <f>IFERROR(_xlfn.XLOOKUP($F$11,'[4]By Model'!$A:$A,'[4]By Model'!$K:$K),"")</f>
        <v>0.36139658208234104</v>
      </c>
      <c r="Q16" s="578" t="str">
        <f>IFERROR(_xlfn.XLOOKUP(F16,'[5]By Model'!$A:$A,'[5]By Model'!$B:$B),"")</f>
        <v/>
      </c>
      <c r="R16" s="579">
        <f>IFERROR(_xlfn.XLOOKUP($F$11,'[4]By Model'!$A:$A,'[4]By Model'!$I:$I),"")</f>
        <v>769.4241485941177</v>
      </c>
      <c r="S16" s="578" t="str">
        <f>IFERROR(_xlfn.XLOOKUP(F16,[6]Sum!$G:$G,[6]Sum!$AM:$AM),"")</f>
        <v/>
      </c>
      <c r="T16" s="576">
        <v>749</v>
      </c>
      <c r="U16" s="576">
        <f t="shared" si="0"/>
        <v>44940</v>
      </c>
      <c r="V16" s="580">
        <v>6</v>
      </c>
      <c r="W16" s="576">
        <f t="shared" si="1"/>
        <v>2247</v>
      </c>
      <c r="X16" s="576">
        <f t="shared" si="2"/>
        <v>42693</v>
      </c>
      <c r="Y16" s="581">
        <f t="shared" si="3"/>
        <v>-0.1618963486454652</v>
      </c>
      <c r="Z16" s="577">
        <f t="shared" si="9"/>
        <v>0.28044840775960844</v>
      </c>
      <c r="AA16" s="577">
        <v>0.36707465216587953</v>
      </c>
      <c r="AB16" s="582"/>
      <c r="AC16" s="576">
        <v>749</v>
      </c>
      <c r="AD16" s="576">
        <f t="shared" si="13"/>
        <v>42693</v>
      </c>
      <c r="AE16" s="580">
        <v>149</v>
      </c>
      <c r="AF16" s="583">
        <v>3</v>
      </c>
      <c r="AG16" s="576">
        <f t="shared" si="14"/>
        <v>447</v>
      </c>
      <c r="AH16" s="709">
        <f t="shared" si="15"/>
        <v>43140</v>
      </c>
      <c r="AI16" s="709">
        <f t="shared" si="7"/>
        <v>447</v>
      </c>
      <c r="AJ16" s="577">
        <f t="shared" si="8"/>
        <v>1.0470100484857003E-2</v>
      </c>
      <c r="AK16" s="582">
        <f t="shared" si="10"/>
        <v>0.28568345800203693</v>
      </c>
      <c r="AL16" s="582"/>
      <c r="AM16" s="580" t="e">
        <f>VLOOKUP(F16,[7]PRM!E:R,14,FALSE)</f>
        <v>#N/A</v>
      </c>
      <c r="AN16" s="576" t="e">
        <f>T16-#REF!</f>
        <v>#REF!</v>
      </c>
      <c r="AO16" s="580"/>
    </row>
    <row r="17" spans="2:41" s="436" customFormat="1" ht="14" hidden="1">
      <c r="B17" s="800">
        <v>2605</v>
      </c>
      <c r="C17" s="1392" t="s">
        <v>285</v>
      </c>
      <c r="D17" s="1392"/>
      <c r="E17" s="1392"/>
      <c r="F17" s="1392"/>
      <c r="G17" s="566" t="s">
        <v>72</v>
      </c>
      <c r="H17" s="566"/>
      <c r="I17" s="566"/>
      <c r="J17" s="566">
        <v>5</v>
      </c>
      <c r="K17" s="566" t="s">
        <v>288</v>
      </c>
      <c r="L17" s="566">
        <v>6</v>
      </c>
      <c r="M17" s="576">
        <v>849</v>
      </c>
      <c r="N17" s="576">
        <f t="shared" si="11"/>
        <v>50940</v>
      </c>
      <c r="O17" s="566">
        <v>6</v>
      </c>
      <c r="P17" s="577">
        <f>IFERROR(_xlfn.XLOOKUP($F$11,'[4]By Model'!$A:$A,'[4]By Model'!$K:$K),"")</f>
        <v>0.36139658208234104</v>
      </c>
      <c r="Q17" s="578" t="str">
        <f>IFERROR(_xlfn.XLOOKUP(F17,'[5]By Model'!$A:$A,'[5]By Model'!$B:$B),"")</f>
        <v/>
      </c>
      <c r="R17" s="579">
        <f>IFERROR(_xlfn.XLOOKUP($F$11,'[4]By Model'!$A:$A,'[4]By Model'!$I:$I),"")</f>
        <v>769.4241485941177</v>
      </c>
      <c r="S17" s="578" t="str">
        <f>IFERROR(_xlfn.XLOOKUP(F17,[6]Sum!$G:$G,[6]Sum!$AM:$AM),"")</f>
        <v/>
      </c>
      <c r="T17" s="576">
        <v>749</v>
      </c>
      <c r="U17" s="576">
        <f t="shared" si="0"/>
        <v>44940</v>
      </c>
      <c r="V17" s="580">
        <v>6</v>
      </c>
      <c r="W17" s="576">
        <f t="shared" si="1"/>
        <v>2247</v>
      </c>
      <c r="X17" s="576">
        <f t="shared" si="2"/>
        <v>42693</v>
      </c>
      <c r="Y17" s="581">
        <f t="shared" si="3"/>
        <v>-0.1618963486454652</v>
      </c>
      <c r="Z17" s="577">
        <f t="shared" si="9"/>
        <v>0.28044840775960844</v>
      </c>
      <c r="AA17" s="577">
        <v>0.36707465216587953</v>
      </c>
      <c r="AB17" s="582"/>
      <c r="AC17" s="576">
        <v>749</v>
      </c>
      <c r="AD17" s="576">
        <f t="shared" si="13"/>
        <v>42693</v>
      </c>
      <c r="AE17" s="580">
        <v>149</v>
      </c>
      <c r="AF17" s="583">
        <v>3</v>
      </c>
      <c r="AG17" s="576">
        <f t="shared" si="14"/>
        <v>447</v>
      </c>
      <c r="AH17" s="709">
        <f t="shared" si="15"/>
        <v>43140</v>
      </c>
      <c r="AI17" s="709">
        <f t="shared" si="7"/>
        <v>447</v>
      </c>
      <c r="AJ17" s="577">
        <f t="shared" si="8"/>
        <v>1.0470100484857003E-2</v>
      </c>
      <c r="AK17" s="582">
        <f t="shared" si="10"/>
        <v>0.28568345800203693</v>
      </c>
      <c r="AL17" s="582"/>
      <c r="AM17" s="580" t="e">
        <f>VLOOKUP(F17,[7]PRM!E:R,14,FALSE)</f>
        <v>#N/A</v>
      </c>
      <c r="AN17" s="576" t="e">
        <f>T17-#REF!</f>
        <v>#REF!</v>
      </c>
      <c r="AO17" s="580"/>
    </row>
    <row r="18" spans="2:41" s="436" customFormat="1" ht="14" hidden="1">
      <c r="B18" s="801">
        <v>2605</v>
      </c>
      <c r="C18" s="1393" t="s">
        <v>285</v>
      </c>
      <c r="D18" s="1393"/>
      <c r="E18" s="1393"/>
      <c r="F18" s="1393"/>
      <c r="G18" s="566" t="s">
        <v>72</v>
      </c>
      <c r="H18" s="566"/>
      <c r="I18" s="566"/>
      <c r="J18" s="566">
        <v>5</v>
      </c>
      <c r="K18" s="566" t="s">
        <v>288</v>
      </c>
      <c r="L18" s="566">
        <v>12</v>
      </c>
      <c r="M18" s="576">
        <v>799</v>
      </c>
      <c r="N18" s="576">
        <f t="shared" si="11"/>
        <v>47940</v>
      </c>
      <c r="O18" s="566">
        <v>12</v>
      </c>
      <c r="P18" s="577">
        <f>IFERROR(_xlfn.XLOOKUP($F$11,'[4]By Model'!$A:$A,'[4]By Model'!$K:$K),"")</f>
        <v>0.36139658208234104</v>
      </c>
      <c r="Q18" s="578" t="str">
        <f>IFERROR(_xlfn.XLOOKUP(F18,'[5]By Model'!$A:$A,'[5]By Model'!$B:$B),"")</f>
        <v/>
      </c>
      <c r="R18" s="579">
        <f>IFERROR(_xlfn.XLOOKUP($F$11,'[4]By Model'!$A:$A,'[4]By Model'!$I:$I),"")</f>
        <v>769.4241485941177</v>
      </c>
      <c r="S18" s="578" t="str">
        <f>IFERROR(_xlfn.XLOOKUP(F18,[6]Sum!$G:$G,[6]Sum!$AM:$AM),"")</f>
        <v/>
      </c>
      <c r="T18" s="576">
        <v>699</v>
      </c>
      <c r="U18" s="576">
        <f t="shared" si="0"/>
        <v>41940</v>
      </c>
      <c r="V18" s="580">
        <v>6</v>
      </c>
      <c r="W18" s="576">
        <f t="shared" si="1"/>
        <v>2097</v>
      </c>
      <c r="X18" s="576">
        <f t="shared" si="2"/>
        <v>39843</v>
      </c>
      <c r="Y18" s="581">
        <f t="shared" si="3"/>
        <v>-0.16889862327909888</v>
      </c>
      <c r="Z18" s="577">
        <f t="shared" si="9"/>
        <v>0.2769472704427916</v>
      </c>
      <c r="AA18" s="577">
        <v>0.36923540291786394</v>
      </c>
      <c r="AB18" s="582"/>
      <c r="AC18" s="576">
        <v>699</v>
      </c>
      <c r="AD18" s="576">
        <f t="shared" si="13"/>
        <v>39843</v>
      </c>
      <c r="AE18" s="580">
        <v>149</v>
      </c>
      <c r="AF18" s="583">
        <v>3</v>
      </c>
      <c r="AG18" s="576">
        <f t="shared" si="14"/>
        <v>447</v>
      </c>
      <c r="AH18" s="709">
        <f t="shared" si="15"/>
        <v>40290</v>
      </c>
      <c r="AI18" s="709">
        <f t="shared" si="7"/>
        <v>447</v>
      </c>
      <c r="AJ18" s="577">
        <f t="shared" si="8"/>
        <v>1.1219034711241624E-2</v>
      </c>
      <c r="AK18" s="582">
        <f t="shared" si="10"/>
        <v>0.28255678779841242</v>
      </c>
      <c r="AL18" s="582"/>
      <c r="AM18" s="580" t="e">
        <f>VLOOKUP(F18,[7]PRM!E:R,14,FALSE)</f>
        <v>#N/A</v>
      </c>
      <c r="AN18" s="576" t="e">
        <f>T18-#REF!</f>
        <v>#REF!</v>
      </c>
      <c r="AO18" s="580"/>
    </row>
    <row r="19" spans="2:41" s="436" customFormat="1" ht="14" hidden="1">
      <c r="B19" s="799">
        <v>2605</v>
      </c>
      <c r="C19" s="1391" t="s">
        <v>285</v>
      </c>
      <c r="D19" s="1391"/>
      <c r="E19" s="1391"/>
      <c r="F19" s="1391" t="s">
        <v>73</v>
      </c>
      <c r="G19" s="566" t="s">
        <v>73</v>
      </c>
      <c r="H19" s="566"/>
      <c r="I19" s="566"/>
      <c r="J19" s="566">
        <v>3</v>
      </c>
      <c r="K19" s="566" t="s">
        <v>286</v>
      </c>
      <c r="L19" s="566">
        <v>6</v>
      </c>
      <c r="M19" s="576">
        <v>1799</v>
      </c>
      <c r="N19" s="576">
        <f t="shared" si="11"/>
        <v>64764</v>
      </c>
      <c r="O19" s="566">
        <v>6</v>
      </c>
      <c r="P19" s="577">
        <f>IFERROR(_xlfn.XLOOKUP($F$19,'[4]By Model'!$A:$A,'[4]By Model'!$K:$K),"")</f>
        <v>0.45415639650322714</v>
      </c>
      <c r="Q19" s="578">
        <f>IFERROR(_xlfn.XLOOKUP(F19,'[5]By Model'!$A:$A,'[5]By Model'!$B:$B),"")</f>
        <v>29</v>
      </c>
      <c r="R19" s="579">
        <f>IFERROR(_xlfn.XLOOKUP($F$19,'[4]By Model'!$A:$A,'[4]By Model'!$I:$I),"")</f>
        <v>1127.2107555714285</v>
      </c>
      <c r="S19" s="578">
        <f>IFERROR(_xlfn.XLOOKUP(F19,[6]Sum!$G:$G,[6]Sum!$AM:$AM),"")</f>
        <v>0</v>
      </c>
      <c r="T19" s="576">
        <v>1749</v>
      </c>
      <c r="U19" s="576">
        <f t="shared" si="0"/>
        <v>62964</v>
      </c>
      <c r="V19" s="580">
        <v>0</v>
      </c>
      <c r="W19" s="576">
        <f t="shared" si="1"/>
        <v>0</v>
      </c>
      <c r="X19" s="576">
        <f t="shared" si="2"/>
        <v>62964</v>
      </c>
      <c r="Y19" s="581">
        <f t="shared" si="3"/>
        <v>-2.7793218454697066E-2</v>
      </c>
      <c r="Z19" s="577">
        <f t="shared" si="9"/>
        <v>0.44025978727587861</v>
      </c>
      <c r="AA19" s="577">
        <v>0.31016121238676014</v>
      </c>
      <c r="AB19" s="582"/>
      <c r="AC19" s="576">
        <v>1399</v>
      </c>
      <c r="AD19" s="576">
        <f t="shared" si="4"/>
        <v>50364</v>
      </c>
      <c r="AE19" s="581">
        <f>AD19/AD23</f>
        <v>0.73692989772178574</v>
      </c>
      <c r="AF19" s="580">
        <v>0</v>
      </c>
      <c r="AG19" s="576">
        <f t="shared" si="5"/>
        <v>0</v>
      </c>
      <c r="AH19" s="709">
        <f t="shared" si="6"/>
        <v>50364</v>
      </c>
      <c r="AI19" s="709">
        <f t="shared" si="7"/>
        <v>-12600</v>
      </c>
      <c r="AJ19" s="577">
        <f t="shared" si="8"/>
        <v>-0.20011435105774728</v>
      </c>
      <c r="AK19" s="582">
        <f t="shared" si="10"/>
        <v>0.34020261174700495</v>
      </c>
      <c r="AL19" s="582"/>
      <c r="AM19" s="580" t="e">
        <f>VLOOKUP(F19,[7]PRM!E:R,14,FALSE)</f>
        <v>#N/A</v>
      </c>
      <c r="AN19" s="576" t="e">
        <f>T19-#REF!</f>
        <v>#REF!</v>
      </c>
      <c r="AO19" s="580"/>
    </row>
    <row r="20" spans="2:41" s="436" customFormat="1" ht="14" hidden="1">
      <c r="B20" s="800">
        <v>2605</v>
      </c>
      <c r="C20" s="1392" t="s">
        <v>285</v>
      </c>
      <c r="D20" s="1392"/>
      <c r="E20" s="1392"/>
      <c r="F20" s="1392"/>
      <c r="G20" s="566" t="s">
        <v>73</v>
      </c>
      <c r="H20" s="566"/>
      <c r="I20" s="566"/>
      <c r="J20" s="566">
        <v>3</v>
      </c>
      <c r="K20" s="566" t="s">
        <v>286</v>
      </c>
      <c r="L20" s="566">
        <v>12</v>
      </c>
      <c r="M20" s="576">
        <v>1699</v>
      </c>
      <c r="N20" s="576">
        <f t="shared" si="11"/>
        <v>61164</v>
      </c>
      <c r="O20" s="566">
        <v>12</v>
      </c>
      <c r="P20" s="577">
        <f>IFERROR(_xlfn.XLOOKUP($F$19,'[4]By Model'!$A:$A,'[4]By Model'!$K:$K),"")</f>
        <v>0.45415639650322714</v>
      </c>
      <c r="Q20" s="578" t="str">
        <f>IFERROR(_xlfn.XLOOKUP(F20,'[5]By Model'!$A:$A,'[5]By Model'!$B:$B),"")</f>
        <v/>
      </c>
      <c r="R20" s="579">
        <f>IFERROR(_xlfn.XLOOKUP($F$19,'[4]By Model'!$A:$A,'[4]By Model'!$I:$I),"")</f>
        <v>1127.2107555714285</v>
      </c>
      <c r="S20" s="578" t="str">
        <f>IFERROR(_xlfn.XLOOKUP(F20,[6]Sum!$G:$G,[6]Sum!$AM:$AM),"")</f>
        <v/>
      </c>
      <c r="T20" s="576">
        <v>1599</v>
      </c>
      <c r="U20" s="576">
        <f t="shared" si="0"/>
        <v>57564</v>
      </c>
      <c r="V20" s="580">
        <v>0</v>
      </c>
      <c r="W20" s="576">
        <f t="shared" si="1"/>
        <v>0</v>
      </c>
      <c r="X20" s="576">
        <f t="shared" si="2"/>
        <v>57564</v>
      </c>
      <c r="Y20" s="581">
        <f t="shared" si="3"/>
        <v>-5.8858151854031759E-2</v>
      </c>
      <c r="Z20" s="577">
        <f t="shared" si="9"/>
        <v>0.42472732057621126</v>
      </c>
      <c r="AA20" s="577">
        <v>0.31095821855106093</v>
      </c>
      <c r="AB20" s="582"/>
      <c r="AC20" s="576">
        <v>1299</v>
      </c>
      <c r="AD20" s="576">
        <f t="shared" si="4"/>
        <v>46764</v>
      </c>
      <c r="AE20" s="581">
        <f t="shared" ref="AE20" si="16">AD20/AD24</f>
        <v>0.71403050707709226</v>
      </c>
      <c r="AF20" s="580">
        <v>0</v>
      </c>
      <c r="AG20" s="576">
        <f t="shared" si="5"/>
        <v>0</v>
      </c>
      <c r="AH20" s="709">
        <f t="shared" si="6"/>
        <v>46764</v>
      </c>
      <c r="AI20" s="709">
        <f t="shared" si="7"/>
        <v>-10800</v>
      </c>
      <c r="AJ20" s="577">
        <f t="shared" si="8"/>
        <v>-0.18761726078799248</v>
      </c>
      <c r="AK20" s="582">
        <f t="shared" si="10"/>
        <v>0.33091869018221504</v>
      </c>
      <c r="AL20" s="582"/>
      <c r="AM20" s="580" t="e">
        <f>VLOOKUP(F20,[7]PRM!E:R,14,FALSE)</f>
        <v>#N/A</v>
      </c>
      <c r="AN20" s="576" t="e">
        <f>T20-#REF!</f>
        <v>#REF!</v>
      </c>
      <c r="AO20" s="580"/>
    </row>
    <row r="21" spans="2:41" s="436" customFormat="1" ht="14" hidden="1">
      <c r="B21" s="800">
        <v>2605</v>
      </c>
      <c r="C21" s="1392" t="s">
        <v>285</v>
      </c>
      <c r="D21" s="1392"/>
      <c r="E21" s="1392"/>
      <c r="F21" s="1392"/>
      <c r="G21" s="566" t="s">
        <v>73</v>
      </c>
      <c r="H21" s="566"/>
      <c r="I21" s="566"/>
      <c r="J21" s="566">
        <v>3</v>
      </c>
      <c r="K21" s="566" t="s">
        <v>288</v>
      </c>
      <c r="L21" s="566">
        <v>6</v>
      </c>
      <c r="M21" s="576">
        <v>1599</v>
      </c>
      <c r="N21" s="576">
        <f t="shared" si="11"/>
        <v>57564</v>
      </c>
      <c r="O21" s="566">
        <v>6</v>
      </c>
      <c r="P21" s="577">
        <f>IFERROR(_xlfn.XLOOKUP($F$19,'[4]By Model'!$A:$A,'[4]By Model'!$K:$K),"")</f>
        <v>0.45415639650322714</v>
      </c>
      <c r="Q21" s="578" t="str">
        <f>IFERROR(_xlfn.XLOOKUP(F21,'[5]By Model'!$A:$A,'[5]By Model'!$B:$B),"")</f>
        <v/>
      </c>
      <c r="R21" s="579">
        <f>IFERROR(_xlfn.XLOOKUP($F$19,'[4]By Model'!$A:$A,'[4]By Model'!$I:$I),"")</f>
        <v>1127.2107555714285</v>
      </c>
      <c r="S21" s="578" t="str">
        <f>IFERROR(_xlfn.XLOOKUP(F21,[6]Sum!$G:$G,[6]Sum!$AM:$AM),"")</f>
        <v/>
      </c>
      <c r="T21" s="576">
        <v>1549</v>
      </c>
      <c r="U21" s="576">
        <f t="shared" si="0"/>
        <v>55764</v>
      </c>
      <c r="V21" s="580">
        <v>0</v>
      </c>
      <c r="W21" s="576">
        <f t="shared" si="1"/>
        <v>0</v>
      </c>
      <c r="X21" s="576">
        <f t="shared" si="2"/>
        <v>55764</v>
      </c>
      <c r="Y21" s="581">
        <f t="shared" si="3"/>
        <v>-3.1269543464665372E-2</v>
      </c>
      <c r="Z21" s="577">
        <f t="shared" si="9"/>
        <v>0.43852162477089446</v>
      </c>
      <c r="AA21" s="577">
        <v>0.31095821855106093</v>
      </c>
      <c r="AB21" s="582"/>
      <c r="AC21" s="576">
        <v>1549</v>
      </c>
      <c r="AD21" s="576">
        <f t="shared" si="4"/>
        <v>55764</v>
      </c>
      <c r="AE21" s="711">
        <f>AD21/AD25</f>
        <v>0.85144977325821081</v>
      </c>
      <c r="AF21" s="580">
        <v>0</v>
      </c>
      <c r="AG21" s="576">
        <f t="shared" si="5"/>
        <v>0</v>
      </c>
      <c r="AH21" s="709">
        <f t="shared" si="6"/>
        <v>55764</v>
      </c>
      <c r="AI21" s="709">
        <f t="shared" si="7"/>
        <v>0</v>
      </c>
      <c r="AJ21" s="577">
        <f t="shared" si="8"/>
        <v>0</v>
      </c>
      <c r="AK21" s="582">
        <f t="shared" si="10"/>
        <v>0.43852162477089446</v>
      </c>
      <c r="AL21" s="582"/>
      <c r="AM21" s="580" t="e">
        <f>VLOOKUP(F21,[7]PRM!E:R,14,FALSE)</f>
        <v>#N/A</v>
      </c>
      <c r="AN21" s="576" t="e">
        <f>T21-#REF!</f>
        <v>#REF!</v>
      </c>
      <c r="AO21" s="580"/>
    </row>
    <row r="22" spans="2:41" s="436" customFormat="1" ht="14" hidden="1">
      <c r="B22" s="800">
        <v>2605</v>
      </c>
      <c r="C22" s="1392" t="s">
        <v>285</v>
      </c>
      <c r="D22" s="1392"/>
      <c r="E22" s="1392"/>
      <c r="F22" s="1392"/>
      <c r="G22" s="566" t="s">
        <v>73</v>
      </c>
      <c r="H22" s="566"/>
      <c r="I22" s="566"/>
      <c r="J22" s="566">
        <v>3</v>
      </c>
      <c r="K22" s="566" t="s">
        <v>288</v>
      </c>
      <c r="L22" s="566">
        <v>12</v>
      </c>
      <c r="M22" s="576">
        <v>1499</v>
      </c>
      <c r="N22" s="576">
        <f t="shared" si="11"/>
        <v>53964</v>
      </c>
      <c r="O22" s="566">
        <v>12</v>
      </c>
      <c r="P22" s="577">
        <f>IFERROR(_xlfn.XLOOKUP($F$19,'[4]By Model'!$A:$A,'[4]By Model'!$K:$K),"")</f>
        <v>0.45415639650322714</v>
      </c>
      <c r="Q22" s="578" t="str">
        <f>IFERROR(_xlfn.XLOOKUP(F22,'[5]By Model'!$A:$A,'[5]By Model'!$B:$B),"")</f>
        <v/>
      </c>
      <c r="R22" s="579">
        <f>IFERROR(_xlfn.XLOOKUP($F$19,'[4]By Model'!$A:$A,'[4]By Model'!$I:$I),"")</f>
        <v>1127.2107555714285</v>
      </c>
      <c r="S22" s="578" t="str">
        <f>IFERROR(_xlfn.XLOOKUP(F22,[6]Sum!$G:$G,[6]Sum!$AM:$AM),"")</f>
        <v/>
      </c>
      <c r="T22" s="576">
        <v>1499</v>
      </c>
      <c r="U22" s="576">
        <f t="shared" si="0"/>
        <v>53964</v>
      </c>
      <c r="V22" s="580">
        <v>0</v>
      </c>
      <c r="W22" s="576">
        <f t="shared" si="1"/>
        <v>0</v>
      </c>
      <c r="X22" s="576">
        <f t="shared" si="2"/>
        <v>53964</v>
      </c>
      <c r="Y22" s="581">
        <f t="shared" si="3"/>
        <v>0</v>
      </c>
      <c r="Z22" s="577">
        <f t="shared" si="9"/>
        <v>0.45415639650322714</v>
      </c>
      <c r="AA22" s="577">
        <v>0.31182169728953185</v>
      </c>
      <c r="AB22" s="582"/>
      <c r="AC22" s="576">
        <v>1499</v>
      </c>
      <c r="AD22" s="576">
        <f t="shared" si="4"/>
        <v>53964</v>
      </c>
      <c r="AE22" s="711">
        <f>AD22/AD26</f>
        <v>0.86145299554619037</v>
      </c>
      <c r="AF22" s="580">
        <v>0</v>
      </c>
      <c r="AG22" s="576">
        <f t="shared" si="5"/>
        <v>0</v>
      </c>
      <c r="AH22" s="709">
        <f t="shared" si="6"/>
        <v>53964</v>
      </c>
      <c r="AI22" s="709">
        <f t="shared" si="7"/>
        <v>0</v>
      </c>
      <c r="AJ22" s="577">
        <f t="shared" si="8"/>
        <v>0</v>
      </c>
      <c r="AK22" s="582">
        <f t="shared" si="10"/>
        <v>0.45415639650322714</v>
      </c>
      <c r="AL22" s="582"/>
      <c r="AM22" s="580" t="e">
        <f>VLOOKUP(F22,[7]PRM!E:R,14,FALSE)</f>
        <v>#N/A</v>
      </c>
      <c r="AN22" s="576" t="e">
        <f>T22-#REF!</f>
        <v>#REF!</v>
      </c>
      <c r="AO22" s="580"/>
    </row>
    <row r="23" spans="2:41" s="436" customFormat="1" ht="14" hidden="1">
      <c r="B23" s="800">
        <v>2605</v>
      </c>
      <c r="C23" s="1392" t="s">
        <v>285</v>
      </c>
      <c r="D23" s="1392"/>
      <c r="E23" s="1392"/>
      <c r="F23" s="1392"/>
      <c r="G23" s="566" t="s">
        <v>73</v>
      </c>
      <c r="H23" s="566"/>
      <c r="I23" s="566"/>
      <c r="J23" s="566">
        <v>5</v>
      </c>
      <c r="K23" s="566" t="s">
        <v>286</v>
      </c>
      <c r="L23" s="566">
        <v>6</v>
      </c>
      <c r="M23" s="576">
        <v>1349</v>
      </c>
      <c r="N23" s="576">
        <f t="shared" si="11"/>
        <v>80940</v>
      </c>
      <c r="O23" s="566">
        <v>6</v>
      </c>
      <c r="P23" s="577">
        <f>IFERROR(_xlfn.XLOOKUP($F$19,'[4]By Model'!$A:$A,'[4]By Model'!$K:$K),"")</f>
        <v>0.45415639650322714</v>
      </c>
      <c r="Q23" s="578" t="str">
        <f>IFERROR(_xlfn.XLOOKUP(F23,'[5]By Model'!$A:$A,'[5]By Model'!$B:$B),"")</f>
        <v/>
      </c>
      <c r="R23" s="579">
        <f>IFERROR(_xlfn.XLOOKUP($F$19,'[4]By Model'!$A:$A,'[4]By Model'!$I:$I),"")</f>
        <v>1127.2107555714285</v>
      </c>
      <c r="S23" s="578" t="str">
        <f>IFERROR(_xlfn.XLOOKUP(F23,[6]Sum!$G:$G,[6]Sum!$AM:$AM),"")</f>
        <v/>
      </c>
      <c r="T23" s="576">
        <v>1199</v>
      </c>
      <c r="U23" s="576">
        <f t="shared" si="0"/>
        <v>71940</v>
      </c>
      <c r="V23" s="580">
        <v>6</v>
      </c>
      <c r="W23" s="576">
        <f t="shared" si="1"/>
        <v>3597</v>
      </c>
      <c r="X23" s="576">
        <f t="shared" si="2"/>
        <v>68343</v>
      </c>
      <c r="Y23" s="581">
        <f t="shared" si="3"/>
        <v>-0.15563380281690142</v>
      </c>
      <c r="Z23" s="577">
        <f t="shared" si="9"/>
        <v>0.37633949509477643</v>
      </c>
      <c r="AA23" s="577">
        <v>0.31016121238676014</v>
      </c>
      <c r="AB23" s="582"/>
      <c r="AC23" s="576">
        <v>1199</v>
      </c>
      <c r="AD23" s="576">
        <f t="shared" ref="AD23:AD26" si="17">(T23*((J23*12)-AF23))</f>
        <v>68343</v>
      </c>
      <c r="AE23" s="580">
        <v>149</v>
      </c>
      <c r="AF23" s="583">
        <v>3</v>
      </c>
      <c r="AG23" s="576">
        <f t="shared" ref="AG23:AG26" si="18">AE23*AF23</f>
        <v>447</v>
      </c>
      <c r="AH23" s="709">
        <f t="shared" ref="AH23:AH26" si="19">AD23+AG23</f>
        <v>68790</v>
      </c>
      <c r="AI23" s="709">
        <f t="shared" si="7"/>
        <v>447</v>
      </c>
      <c r="AJ23" s="577">
        <f t="shared" si="8"/>
        <v>6.5405381677713882E-3</v>
      </c>
      <c r="AK23" s="582">
        <f t="shared" si="10"/>
        <v>0.3796097641786621</v>
      </c>
      <c r="AL23" s="582"/>
      <c r="AM23" s="580" t="e">
        <f>VLOOKUP(F23,[7]PRM!E:R,14,FALSE)</f>
        <v>#N/A</v>
      </c>
      <c r="AN23" s="576" t="e">
        <f>T23-#REF!</f>
        <v>#REF!</v>
      </c>
      <c r="AO23" s="580"/>
    </row>
    <row r="24" spans="2:41" s="436" customFormat="1" ht="14" hidden="1">
      <c r="B24" s="800">
        <v>2605</v>
      </c>
      <c r="C24" s="1392" t="s">
        <v>285</v>
      </c>
      <c r="D24" s="1392"/>
      <c r="E24" s="1392"/>
      <c r="F24" s="1392"/>
      <c r="G24" s="566" t="s">
        <v>73</v>
      </c>
      <c r="H24" s="566"/>
      <c r="I24" s="566"/>
      <c r="J24" s="566">
        <v>5</v>
      </c>
      <c r="K24" s="566" t="s">
        <v>286</v>
      </c>
      <c r="L24" s="566">
        <v>12</v>
      </c>
      <c r="M24" s="576">
        <v>1299</v>
      </c>
      <c r="N24" s="576">
        <f t="shared" si="11"/>
        <v>77940</v>
      </c>
      <c r="O24" s="566">
        <v>12</v>
      </c>
      <c r="P24" s="577">
        <f>IFERROR(_xlfn.XLOOKUP($F$19,'[4]By Model'!$A:$A,'[4]By Model'!$K:$K),"")</f>
        <v>0.45415639650322714</v>
      </c>
      <c r="Q24" s="578" t="str">
        <f>IFERROR(_xlfn.XLOOKUP(F24,'[5]By Model'!$A:$A,'[5]By Model'!$B:$B),"")</f>
        <v/>
      </c>
      <c r="R24" s="579">
        <f>IFERROR(_xlfn.XLOOKUP($F$19,'[4]By Model'!$A:$A,'[4]By Model'!$I:$I),"")</f>
        <v>1127.2107555714285</v>
      </c>
      <c r="S24" s="578" t="str">
        <f>IFERROR(_xlfn.XLOOKUP(F24,[6]Sum!$G:$G,[6]Sum!$AM:$AM),"")</f>
        <v/>
      </c>
      <c r="T24" s="576">
        <v>1149</v>
      </c>
      <c r="U24" s="576">
        <f t="shared" si="0"/>
        <v>68940</v>
      </c>
      <c r="V24" s="580">
        <v>6</v>
      </c>
      <c r="W24" s="576">
        <f t="shared" si="1"/>
        <v>3447</v>
      </c>
      <c r="X24" s="576">
        <f t="shared" si="2"/>
        <v>65493</v>
      </c>
      <c r="Y24" s="581">
        <f t="shared" si="3"/>
        <v>-0.15969976905311778</v>
      </c>
      <c r="Z24" s="577">
        <f t="shared" si="9"/>
        <v>0.37430651197666825</v>
      </c>
      <c r="AA24" s="577">
        <v>0.31095821855106093</v>
      </c>
      <c r="AB24" s="582"/>
      <c r="AC24" s="576">
        <v>1149</v>
      </c>
      <c r="AD24" s="576">
        <f t="shared" si="17"/>
        <v>65493</v>
      </c>
      <c r="AE24" s="580">
        <v>149</v>
      </c>
      <c r="AF24" s="583">
        <v>3</v>
      </c>
      <c r="AG24" s="576">
        <f t="shared" si="18"/>
        <v>447</v>
      </c>
      <c r="AH24" s="709">
        <f t="shared" si="19"/>
        <v>65940</v>
      </c>
      <c r="AI24" s="709">
        <f t="shared" si="7"/>
        <v>447</v>
      </c>
      <c r="AJ24" s="577">
        <f t="shared" si="8"/>
        <v>6.8251568869955566E-3</v>
      </c>
      <c r="AK24" s="582">
        <f t="shared" si="10"/>
        <v>0.37771909042016605</v>
      </c>
      <c r="AL24" s="582"/>
      <c r="AM24" s="580" t="e">
        <f>VLOOKUP(F24,[7]PRM!E:R,14,FALSE)</f>
        <v>#N/A</v>
      </c>
      <c r="AN24" s="576" t="e">
        <f>T24-#REF!</f>
        <v>#REF!</v>
      </c>
      <c r="AO24" s="580"/>
    </row>
    <row r="25" spans="2:41" s="436" customFormat="1" ht="14" hidden="1">
      <c r="B25" s="800">
        <v>2605</v>
      </c>
      <c r="C25" s="1392" t="s">
        <v>285</v>
      </c>
      <c r="D25" s="1392"/>
      <c r="E25" s="1392"/>
      <c r="F25" s="1392"/>
      <c r="G25" s="566" t="s">
        <v>73</v>
      </c>
      <c r="H25" s="566"/>
      <c r="I25" s="566"/>
      <c r="J25" s="566">
        <v>5</v>
      </c>
      <c r="K25" s="566" t="s">
        <v>288</v>
      </c>
      <c r="L25" s="566">
        <v>6</v>
      </c>
      <c r="M25" s="576">
        <v>1299</v>
      </c>
      <c r="N25" s="576">
        <f t="shared" si="11"/>
        <v>77940</v>
      </c>
      <c r="O25" s="566">
        <v>6</v>
      </c>
      <c r="P25" s="577">
        <f>IFERROR(_xlfn.XLOOKUP($F$19,'[4]By Model'!$A:$A,'[4]By Model'!$K:$K),"")</f>
        <v>0.45415639650322714</v>
      </c>
      <c r="Q25" s="578" t="str">
        <f>IFERROR(_xlfn.XLOOKUP(F25,'[5]By Model'!$A:$A,'[5]By Model'!$B:$B),"")</f>
        <v/>
      </c>
      <c r="R25" s="579">
        <f>IFERROR(_xlfn.XLOOKUP($F$19,'[4]By Model'!$A:$A,'[4]By Model'!$I:$I),"")</f>
        <v>1127.2107555714285</v>
      </c>
      <c r="S25" s="578" t="str">
        <f>IFERROR(_xlfn.XLOOKUP(F25,[6]Sum!$G:$G,[6]Sum!$AM:$AM),"")</f>
        <v/>
      </c>
      <c r="T25" s="576">
        <v>1149</v>
      </c>
      <c r="U25" s="576">
        <f t="shared" si="0"/>
        <v>68940</v>
      </c>
      <c r="V25" s="580">
        <v>6</v>
      </c>
      <c r="W25" s="576">
        <f t="shared" si="1"/>
        <v>3447</v>
      </c>
      <c r="X25" s="576">
        <f t="shared" si="2"/>
        <v>65493</v>
      </c>
      <c r="Y25" s="581">
        <f t="shared" si="3"/>
        <v>-0.15969976905311778</v>
      </c>
      <c r="Z25" s="577">
        <f t="shared" si="9"/>
        <v>0.37430651197666825</v>
      </c>
      <c r="AA25" s="577">
        <v>0.31095821855106093</v>
      </c>
      <c r="AB25" s="582"/>
      <c r="AC25" s="576">
        <v>1149</v>
      </c>
      <c r="AD25" s="576">
        <f t="shared" si="17"/>
        <v>65493</v>
      </c>
      <c r="AE25" s="580">
        <v>149</v>
      </c>
      <c r="AF25" s="583">
        <v>3</v>
      </c>
      <c r="AG25" s="576">
        <f t="shared" si="18"/>
        <v>447</v>
      </c>
      <c r="AH25" s="709">
        <f t="shared" si="19"/>
        <v>65940</v>
      </c>
      <c r="AI25" s="709">
        <f t="shared" si="7"/>
        <v>447</v>
      </c>
      <c r="AJ25" s="577">
        <f t="shared" si="8"/>
        <v>6.8251568869955566E-3</v>
      </c>
      <c r="AK25" s="582">
        <f t="shared" si="10"/>
        <v>0.37771909042016605</v>
      </c>
      <c r="AL25" s="582"/>
      <c r="AM25" s="580" t="e">
        <f>VLOOKUP(F25,[7]PRM!E:R,14,FALSE)</f>
        <v>#N/A</v>
      </c>
      <c r="AN25" s="576" t="e">
        <f>T25-#REF!</f>
        <v>#REF!</v>
      </c>
      <c r="AO25" s="580"/>
    </row>
    <row r="26" spans="2:41" s="436" customFormat="1" ht="14" hidden="1">
      <c r="B26" s="801">
        <v>2605</v>
      </c>
      <c r="C26" s="1393" t="s">
        <v>285</v>
      </c>
      <c r="D26" s="1393"/>
      <c r="E26" s="1393"/>
      <c r="F26" s="1393"/>
      <c r="G26" s="566" t="s">
        <v>73</v>
      </c>
      <c r="H26" s="566"/>
      <c r="I26" s="566"/>
      <c r="J26" s="566">
        <v>5</v>
      </c>
      <c r="K26" s="566" t="s">
        <v>288</v>
      </c>
      <c r="L26" s="566">
        <v>12</v>
      </c>
      <c r="M26" s="576">
        <v>1249</v>
      </c>
      <c r="N26" s="576">
        <f t="shared" si="11"/>
        <v>74940</v>
      </c>
      <c r="O26" s="566">
        <v>12</v>
      </c>
      <c r="P26" s="577">
        <f>IFERROR(_xlfn.XLOOKUP($F$19,'[4]By Model'!$A:$A,'[4]By Model'!$K:$K),"")</f>
        <v>0.45415639650322714</v>
      </c>
      <c r="Q26" s="578" t="str">
        <f>IFERROR(_xlfn.XLOOKUP(F26,'[5]By Model'!$A:$A,'[5]By Model'!$B:$B),"")</f>
        <v/>
      </c>
      <c r="R26" s="579">
        <f>IFERROR(_xlfn.XLOOKUP($F$19,'[4]By Model'!$A:$A,'[4]By Model'!$I:$I),"")</f>
        <v>1127.2107555714285</v>
      </c>
      <c r="S26" s="578" t="str">
        <f>IFERROR(_xlfn.XLOOKUP(F26,[6]Sum!$G:$G,[6]Sum!$AM:$AM),"")</f>
        <v/>
      </c>
      <c r="T26" s="576">
        <v>1099</v>
      </c>
      <c r="U26" s="576">
        <f t="shared" si="0"/>
        <v>65940</v>
      </c>
      <c r="V26" s="580">
        <v>6</v>
      </c>
      <c r="W26" s="576">
        <f t="shared" si="1"/>
        <v>3297</v>
      </c>
      <c r="X26" s="576">
        <f t="shared" si="2"/>
        <v>62643</v>
      </c>
      <c r="Y26" s="581">
        <f t="shared" si="3"/>
        <v>-0.16409127301841475</v>
      </c>
      <c r="Z26" s="577">
        <f t="shared" si="9"/>
        <v>0.37211075999401977</v>
      </c>
      <c r="AA26" s="577">
        <v>0.31182169728953185</v>
      </c>
      <c r="AB26" s="582"/>
      <c r="AC26" s="576">
        <v>1099</v>
      </c>
      <c r="AD26" s="576">
        <f t="shared" si="17"/>
        <v>62643</v>
      </c>
      <c r="AE26" s="580">
        <v>149</v>
      </c>
      <c r="AF26" s="583">
        <v>3</v>
      </c>
      <c r="AG26" s="576">
        <f t="shared" si="18"/>
        <v>447</v>
      </c>
      <c r="AH26" s="709">
        <f t="shared" si="19"/>
        <v>63090</v>
      </c>
      <c r="AI26" s="709">
        <f t="shared" si="7"/>
        <v>447</v>
      </c>
      <c r="AJ26" s="577">
        <f t="shared" si="8"/>
        <v>7.1356735788515877E-3</v>
      </c>
      <c r="AK26" s="582">
        <f t="shared" si="10"/>
        <v>0.37567859678344556</v>
      </c>
      <c r="AL26" s="582"/>
      <c r="AM26" s="580" t="e">
        <f>VLOOKUP(F26,[7]PRM!E:R,14,FALSE)</f>
        <v>#N/A</v>
      </c>
      <c r="AN26" s="576" t="e">
        <f>T26-#REF!</f>
        <v>#REF!</v>
      </c>
      <c r="AO26" s="580"/>
    </row>
    <row r="27" spans="2:41" s="436" customFormat="1" ht="14" hidden="1">
      <c r="B27" s="799">
        <v>2605</v>
      </c>
      <c r="C27" s="1391" t="s">
        <v>285</v>
      </c>
      <c r="D27" s="1391"/>
      <c r="E27" s="1391"/>
      <c r="F27" s="1391" t="s">
        <v>99</v>
      </c>
      <c r="G27" s="566" t="s">
        <v>99</v>
      </c>
      <c r="H27" s="566"/>
      <c r="I27" s="566"/>
      <c r="J27" s="566">
        <v>3</v>
      </c>
      <c r="K27" s="566" t="s">
        <v>286</v>
      </c>
      <c r="L27" s="566">
        <v>6</v>
      </c>
      <c r="M27" s="576">
        <v>1049</v>
      </c>
      <c r="N27" s="576">
        <f t="shared" si="11"/>
        <v>37764</v>
      </c>
      <c r="O27" s="566">
        <v>6</v>
      </c>
      <c r="P27" s="577">
        <f>IFERROR(_xlfn.XLOOKUP($F$27,'[4]By Model'!$A:$A,'[4]By Model'!$K:$K),"")</f>
        <v>0.22515963590354562</v>
      </c>
      <c r="Q27" s="578">
        <f>IFERROR(_xlfn.XLOOKUP(F27,'[5]By Model'!$A:$A,'[5]By Model'!$B:$B),"")</f>
        <v>24</v>
      </c>
      <c r="R27" s="579">
        <f>IFERROR(_xlfn.XLOOKUP($F$27,'[4]By Model'!$A:$A,'[4]By Model'!$I:$I),"")</f>
        <v>539.09012331904762</v>
      </c>
      <c r="S27" s="578">
        <f>IFERROR(_xlfn.XLOOKUP(F27,[6]Sum!$G:$G,[6]Sum!$AM:$AM),"")</f>
        <v>7</v>
      </c>
      <c r="T27" s="576">
        <v>999</v>
      </c>
      <c r="U27" s="576">
        <f t="shared" si="0"/>
        <v>35964</v>
      </c>
      <c r="V27" s="580">
        <v>0</v>
      </c>
      <c r="W27" s="576">
        <f t="shared" si="1"/>
        <v>0</v>
      </c>
      <c r="X27" s="576">
        <f t="shared" si="2"/>
        <v>35964</v>
      </c>
      <c r="Y27" s="581">
        <f t="shared" si="3"/>
        <v>-4.7664442326024736E-2</v>
      </c>
      <c r="Z27" s="577">
        <f t="shared" si="9"/>
        <v>0.20132741474053326</v>
      </c>
      <c r="AA27" s="577">
        <v>0.34921236068258876</v>
      </c>
      <c r="AB27" s="582"/>
      <c r="AC27" s="576">
        <v>899</v>
      </c>
      <c r="AD27" s="576">
        <f t="shared" si="4"/>
        <v>32364</v>
      </c>
      <c r="AE27" s="581">
        <f t="shared" ref="AE27:AE28" si="20">AD27/AD31</f>
        <v>0.77167381974248928</v>
      </c>
      <c r="AF27" s="580">
        <v>0</v>
      </c>
      <c r="AG27" s="576">
        <f t="shared" si="5"/>
        <v>0</v>
      </c>
      <c r="AH27" s="709">
        <f t="shared" si="6"/>
        <v>32364</v>
      </c>
      <c r="AI27" s="709">
        <f t="shared" si="7"/>
        <v>-3600</v>
      </c>
      <c r="AJ27" s="577">
        <f t="shared" si="8"/>
        <v>-0.10010010010010011</v>
      </c>
      <c r="AK27" s="582">
        <f t="shared" si="10"/>
        <v>0.1512773646904832</v>
      </c>
      <c r="AL27" s="582"/>
      <c r="AM27" s="580" t="e">
        <f>VLOOKUP(F27,[7]PRM!E:R,14,FALSE)</f>
        <v>#N/A</v>
      </c>
      <c r="AN27" s="576" t="e">
        <f>T27-#REF!</f>
        <v>#REF!</v>
      </c>
      <c r="AO27" s="580"/>
    </row>
    <row r="28" spans="2:41" s="436" customFormat="1" ht="14" hidden="1">
      <c r="B28" s="800">
        <v>2605</v>
      </c>
      <c r="C28" s="1392" t="s">
        <v>285</v>
      </c>
      <c r="D28" s="1392"/>
      <c r="E28" s="1392"/>
      <c r="F28" s="1392"/>
      <c r="G28" s="566" t="s">
        <v>99</v>
      </c>
      <c r="H28" s="566"/>
      <c r="I28" s="566"/>
      <c r="J28" s="566">
        <v>3</v>
      </c>
      <c r="K28" s="566" t="s">
        <v>286</v>
      </c>
      <c r="L28" s="566">
        <v>12</v>
      </c>
      <c r="M28" s="576">
        <v>899</v>
      </c>
      <c r="N28" s="576">
        <f t="shared" si="11"/>
        <v>32364</v>
      </c>
      <c r="O28" s="566">
        <v>12</v>
      </c>
      <c r="P28" s="577">
        <f>IFERROR(_xlfn.XLOOKUP($F$27,'[4]By Model'!$A:$A,'[4]By Model'!$K:$K),"")</f>
        <v>0.22515963590354562</v>
      </c>
      <c r="Q28" s="578" t="str">
        <f>IFERROR(_xlfn.XLOOKUP(F28,'[5]By Model'!$A:$A,'[5]By Model'!$B:$B),"")</f>
        <v/>
      </c>
      <c r="R28" s="579">
        <f>IFERROR(_xlfn.XLOOKUP($F$27,'[4]By Model'!$A:$A,'[4]By Model'!$I:$I),"")</f>
        <v>539.09012331904762</v>
      </c>
      <c r="S28" s="578" t="str">
        <f>IFERROR(_xlfn.XLOOKUP(F28,[6]Sum!$G:$G,[6]Sum!$AM:$AM),"")</f>
        <v/>
      </c>
      <c r="T28" s="576">
        <v>849</v>
      </c>
      <c r="U28" s="576">
        <f t="shared" si="0"/>
        <v>30564</v>
      </c>
      <c r="V28" s="580">
        <v>0</v>
      </c>
      <c r="W28" s="576">
        <f t="shared" si="1"/>
        <v>0</v>
      </c>
      <c r="X28" s="576">
        <f t="shared" si="2"/>
        <v>30564</v>
      </c>
      <c r="Y28" s="581">
        <f t="shared" si="3"/>
        <v>-5.5617352614015569E-2</v>
      </c>
      <c r="Z28" s="577">
        <f t="shared" si="9"/>
        <v>0.19735095959653784</v>
      </c>
      <c r="AA28" s="577">
        <v>0.35168223171382718</v>
      </c>
      <c r="AB28" s="582"/>
      <c r="AC28" s="576">
        <v>799</v>
      </c>
      <c r="AD28" s="576">
        <f t="shared" si="4"/>
        <v>28764</v>
      </c>
      <c r="AE28" s="581">
        <f t="shared" si="20"/>
        <v>0.73867488443759632</v>
      </c>
      <c r="AF28" s="580">
        <v>0</v>
      </c>
      <c r="AG28" s="576">
        <f t="shared" si="5"/>
        <v>0</v>
      </c>
      <c r="AH28" s="709">
        <f t="shared" si="6"/>
        <v>28764</v>
      </c>
      <c r="AI28" s="709">
        <f t="shared" si="7"/>
        <v>-1800</v>
      </c>
      <c r="AJ28" s="577">
        <f t="shared" si="8"/>
        <v>-5.8892815076560662E-2</v>
      </c>
      <c r="AK28" s="582">
        <f t="shared" si="10"/>
        <v>0.16790455205825749</v>
      </c>
      <c r="AL28" s="582"/>
      <c r="AM28" s="580" t="e">
        <f>VLOOKUP(F28,[7]PRM!E:R,14,FALSE)</f>
        <v>#N/A</v>
      </c>
      <c r="AN28" s="576" t="e">
        <f>T28-#REF!</f>
        <v>#REF!</v>
      </c>
      <c r="AO28" s="580"/>
    </row>
    <row r="29" spans="2:41" s="436" customFormat="1" ht="14" hidden="1">
      <c r="B29" s="800">
        <v>2605</v>
      </c>
      <c r="C29" s="1392" t="s">
        <v>285</v>
      </c>
      <c r="D29" s="1392"/>
      <c r="E29" s="1392"/>
      <c r="F29" s="1392"/>
      <c r="G29" s="566" t="s">
        <v>99</v>
      </c>
      <c r="H29" s="566"/>
      <c r="I29" s="566"/>
      <c r="J29" s="566">
        <v>3</v>
      </c>
      <c r="K29" s="566" t="s">
        <v>288</v>
      </c>
      <c r="L29" s="566">
        <v>6</v>
      </c>
      <c r="M29" s="576">
        <v>799</v>
      </c>
      <c r="N29" s="576">
        <f t="shared" si="11"/>
        <v>28764</v>
      </c>
      <c r="O29" s="566">
        <v>6</v>
      </c>
      <c r="P29" s="577">
        <f>IFERROR(_xlfn.XLOOKUP($F$27,'[4]By Model'!$A:$A,'[4]By Model'!$K:$K),"")</f>
        <v>0.22515963590354562</v>
      </c>
      <c r="Q29" s="578" t="str">
        <f>IFERROR(_xlfn.XLOOKUP(F29,'[5]By Model'!$A:$A,'[5]By Model'!$B:$B),"")</f>
        <v/>
      </c>
      <c r="R29" s="579">
        <f>IFERROR(_xlfn.XLOOKUP($F$27,'[4]By Model'!$A:$A,'[4]By Model'!$I:$I),"")</f>
        <v>539.09012331904762</v>
      </c>
      <c r="S29" s="578" t="str">
        <f>IFERROR(_xlfn.XLOOKUP(F29,[6]Sum!$G:$G,[6]Sum!$AM:$AM),"")</f>
        <v/>
      </c>
      <c r="T29" s="576">
        <v>799</v>
      </c>
      <c r="U29" s="576">
        <f t="shared" si="0"/>
        <v>28764</v>
      </c>
      <c r="V29" s="580">
        <v>0</v>
      </c>
      <c r="W29" s="576">
        <f t="shared" si="1"/>
        <v>0</v>
      </c>
      <c r="X29" s="576">
        <f t="shared" si="2"/>
        <v>28764</v>
      </c>
      <c r="Y29" s="581">
        <f t="shared" si="3"/>
        <v>0</v>
      </c>
      <c r="Z29" s="577">
        <f t="shared" si="9"/>
        <v>0.22515963590354562</v>
      </c>
      <c r="AA29" s="577">
        <v>0.35168223171382718</v>
      </c>
      <c r="AB29" s="582"/>
      <c r="AC29" s="576">
        <v>799</v>
      </c>
      <c r="AD29" s="576">
        <f t="shared" si="4"/>
        <v>28764</v>
      </c>
      <c r="AE29" s="711">
        <f>AD29/AD33</f>
        <v>0.73867488443759632</v>
      </c>
      <c r="AF29" s="580">
        <v>0</v>
      </c>
      <c r="AG29" s="576">
        <f t="shared" si="5"/>
        <v>0</v>
      </c>
      <c r="AH29" s="709">
        <f t="shared" si="6"/>
        <v>28764</v>
      </c>
      <c r="AI29" s="709">
        <f t="shared" si="7"/>
        <v>0</v>
      </c>
      <c r="AJ29" s="577">
        <f t="shared" si="8"/>
        <v>0</v>
      </c>
      <c r="AK29" s="582">
        <f t="shared" si="10"/>
        <v>0.22515963590354562</v>
      </c>
      <c r="AL29" s="582"/>
      <c r="AM29" s="580" t="e">
        <f>VLOOKUP(F29,[7]PRM!E:R,14,FALSE)</f>
        <v>#N/A</v>
      </c>
      <c r="AN29" s="576" t="e">
        <f>T29-#REF!</f>
        <v>#REF!</v>
      </c>
      <c r="AO29" s="580"/>
    </row>
    <row r="30" spans="2:41" s="436" customFormat="1" ht="14" hidden="1">
      <c r="B30" s="800">
        <v>2605</v>
      </c>
      <c r="C30" s="1392" t="s">
        <v>285</v>
      </c>
      <c r="D30" s="1392"/>
      <c r="E30" s="1392"/>
      <c r="F30" s="1392"/>
      <c r="G30" s="566" t="s">
        <v>99</v>
      </c>
      <c r="H30" s="566"/>
      <c r="I30" s="566"/>
      <c r="J30" s="566">
        <v>3</v>
      </c>
      <c r="K30" s="566" t="s">
        <v>288</v>
      </c>
      <c r="L30" s="566">
        <v>12</v>
      </c>
      <c r="M30" s="576">
        <v>749</v>
      </c>
      <c r="N30" s="576">
        <f t="shared" si="11"/>
        <v>26964</v>
      </c>
      <c r="O30" s="566">
        <v>12</v>
      </c>
      <c r="P30" s="577">
        <f>IFERROR(_xlfn.XLOOKUP($F$27,'[4]By Model'!$A:$A,'[4]By Model'!$K:$K),"")</f>
        <v>0.22515963590354562</v>
      </c>
      <c r="Q30" s="578" t="str">
        <f>IFERROR(_xlfn.XLOOKUP(F30,'[5]By Model'!$A:$A,'[5]By Model'!$B:$B),"")</f>
        <v/>
      </c>
      <c r="R30" s="579">
        <f>IFERROR(_xlfn.XLOOKUP($F$27,'[4]By Model'!$A:$A,'[4]By Model'!$I:$I),"")</f>
        <v>539.09012331904762</v>
      </c>
      <c r="S30" s="578" t="str">
        <f>IFERROR(_xlfn.XLOOKUP(F30,[6]Sum!$G:$G,[6]Sum!$AM:$AM),"")</f>
        <v/>
      </c>
      <c r="T30" s="576">
        <v>749</v>
      </c>
      <c r="U30" s="576">
        <f t="shared" si="0"/>
        <v>26964</v>
      </c>
      <c r="V30" s="580">
        <v>0</v>
      </c>
      <c r="W30" s="576">
        <f t="shared" si="1"/>
        <v>0</v>
      </c>
      <c r="X30" s="576">
        <f t="shared" si="2"/>
        <v>26964</v>
      </c>
      <c r="Y30" s="581">
        <f t="shared" si="3"/>
        <v>0</v>
      </c>
      <c r="Z30" s="577">
        <f t="shared" si="9"/>
        <v>0.22515963590354562</v>
      </c>
      <c r="AA30" s="577">
        <v>0.35453266838932407</v>
      </c>
      <c r="AB30" s="582"/>
      <c r="AC30" s="576">
        <v>749</v>
      </c>
      <c r="AD30" s="576">
        <f t="shared" si="4"/>
        <v>26964</v>
      </c>
      <c r="AE30" s="711">
        <f>AD30/AD34</f>
        <v>0.75025041736227049</v>
      </c>
      <c r="AF30" s="580">
        <v>0</v>
      </c>
      <c r="AG30" s="576">
        <f t="shared" si="5"/>
        <v>0</v>
      </c>
      <c r="AH30" s="709">
        <f t="shared" si="6"/>
        <v>26964</v>
      </c>
      <c r="AI30" s="709">
        <f t="shared" si="7"/>
        <v>0</v>
      </c>
      <c r="AJ30" s="577">
        <f t="shared" si="8"/>
        <v>0</v>
      </c>
      <c r="AK30" s="582">
        <f t="shared" si="10"/>
        <v>0.22515963590354562</v>
      </c>
      <c r="AL30" s="582"/>
      <c r="AM30" s="580" t="e">
        <f>VLOOKUP(F30,[7]PRM!E:R,14,FALSE)</f>
        <v>#N/A</v>
      </c>
      <c r="AN30" s="576" t="e">
        <f>T30-#REF!</f>
        <v>#REF!</v>
      </c>
      <c r="AO30" s="580"/>
    </row>
    <row r="31" spans="2:41" s="436" customFormat="1" ht="14" hidden="1">
      <c r="B31" s="800">
        <v>2605</v>
      </c>
      <c r="C31" s="1392" t="s">
        <v>285</v>
      </c>
      <c r="D31" s="1392"/>
      <c r="E31" s="1392"/>
      <c r="F31" s="1392"/>
      <c r="G31" s="566" t="s">
        <v>99</v>
      </c>
      <c r="H31" s="566"/>
      <c r="I31" s="566"/>
      <c r="J31" s="566">
        <v>5</v>
      </c>
      <c r="K31" s="566" t="s">
        <v>286</v>
      </c>
      <c r="L31" s="566">
        <v>6</v>
      </c>
      <c r="M31" s="576">
        <v>799</v>
      </c>
      <c r="N31" s="576">
        <f t="shared" si="11"/>
        <v>47940</v>
      </c>
      <c r="O31" s="566">
        <v>6</v>
      </c>
      <c r="P31" s="577">
        <f>IFERROR(_xlfn.XLOOKUP($F$27,'[4]By Model'!$A:$A,'[4]By Model'!$K:$K),"")</f>
        <v>0.22515963590354562</v>
      </c>
      <c r="Q31" s="578" t="str">
        <f>IFERROR(_xlfn.XLOOKUP(F31,'[5]By Model'!$A:$A,'[5]By Model'!$B:$B),"")</f>
        <v/>
      </c>
      <c r="R31" s="579">
        <f>IFERROR(_xlfn.XLOOKUP($F$27,'[4]By Model'!$A:$A,'[4]By Model'!$I:$I),"")</f>
        <v>539.09012331904762</v>
      </c>
      <c r="S31" s="578" t="str">
        <f>IFERROR(_xlfn.XLOOKUP(F31,[6]Sum!$G:$G,[6]Sum!$AM:$AM),"")</f>
        <v/>
      </c>
      <c r="T31" s="576">
        <v>699</v>
      </c>
      <c r="U31" s="576">
        <f t="shared" si="0"/>
        <v>41940</v>
      </c>
      <c r="V31" s="580">
        <v>6</v>
      </c>
      <c r="W31" s="576">
        <f t="shared" si="1"/>
        <v>2097</v>
      </c>
      <c r="X31" s="576">
        <f t="shared" si="2"/>
        <v>39843</v>
      </c>
      <c r="Y31" s="581">
        <f t="shared" si="3"/>
        <v>-0.16889862327909888</v>
      </c>
      <c r="Z31" s="577">
        <f t="shared" si="9"/>
        <v>0.14071032426399618</v>
      </c>
      <c r="AA31" s="577">
        <v>0.34921236068258876</v>
      </c>
      <c r="AB31" s="582"/>
      <c r="AC31" s="576">
        <v>699</v>
      </c>
      <c r="AD31" s="576">
        <f t="shared" si="4"/>
        <v>41940</v>
      </c>
      <c r="AE31" s="711"/>
      <c r="AF31" s="583">
        <v>6</v>
      </c>
      <c r="AG31" s="576">
        <f t="shared" si="5"/>
        <v>2097</v>
      </c>
      <c r="AH31" s="709">
        <f t="shared" si="6"/>
        <v>39843</v>
      </c>
      <c r="AI31" s="709">
        <f t="shared" si="7"/>
        <v>0</v>
      </c>
      <c r="AJ31" s="577">
        <f t="shared" si="8"/>
        <v>0</v>
      </c>
      <c r="AK31" s="582">
        <f t="shared" si="10"/>
        <v>0.14071032426399618</v>
      </c>
      <c r="AL31" s="582"/>
      <c r="AM31" s="580" t="e">
        <f>VLOOKUP(F31,[7]PRM!E:R,14,FALSE)</f>
        <v>#N/A</v>
      </c>
      <c r="AN31" s="576" t="e">
        <f>T31-#REF!</f>
        <v>#REF!</v>
      </c>
      <c r="AO31" s="580"/>
    </row>
    <row r="32" spans="2:41" s="436" customFormat="1" ht="14" hidden="1">
      <c r="B32" s="800">
        <v>2605</v>
      </c>
      <c r="C32" s="1392" t="s">
        <v>285</v>
      </c>
      <c r="D32" s="1392"/>
      <c r="E32" s="1392"/>
      <c r="F32" s="1392"/>
      <c r="G32" s="566" t="s">
        <v>99</v>
      </c>
      <c r="H32" s="566"/>
      <c r="I32" s="566"/>
      <c r="J32" s="566">
        <v>5</v>
      </c>
      <c r="K32" s="566" t="s">
        <v>286</v>
      </c>
      <c r="L32" s="566">
        <v>12</v>
      </c>
      <c r="M32" s="576">
        <v>749</v>
      </c>
      <c r="N32" s="576">
        <f t="shared" si="11"/>
        <v>44940</v>
      </c>
      <c r="O32" s="566">
        <v>12</v>
      </c>
      <c r="P32" s="577">
        <f>IFERROR(_xlfn.XLOOKUP($F$27,'[4]By Model'!$A:$A,'[4]By Model'!$K:$K),"")</f>
        <v>0.22515963590354562</v>
      </c>
      <c r="Q32" s="578" t="str">
        <f>IFERROR(_xlfn.XLOOKUP(F32,'[5]By Model'!$A:$A,'[5]By Model'!$B:$B),"")</f>
        <v/>
      </c>
      <c r="R32" s="579">
        <f>IFERROR(_xlfn.XLOOKUP($F$27,'[4]By Model'!$A:$A,'[4]By Model'!$I:$I),"")</f>
        <v>539.09012331904762</v>
      </c>
      <c r="S32" s="578" t="str">
        <f>IFERROR(_xlfn.XLOOKUP(F32,[6]Sum!$G:$G,[6]Sum!$AM:$AM),"")</f>
        <v/>
      </c>
      <c r="T32" s="576">
        <v>649</v>
      </c>
      <c r="U32" s="576">
        <f t="shared" si="0"/>
        <v>38940</v>
      </c>
      <c r="V32" s="580">
        <v>6</v>
      </c>
      <c r="W32" s="576">
        <f t="shared" si="1"/>
        <v>1947</v>
      </c>
      <c r="X32" s="576">
        <f t="shared" si="2"/>
        <v>36993</v>
      </c>
      <c r="Y32" s="581">
        <f t="shared" si="3"/>
        <v>-0.17683578104138853</v>
      </c>
      <c r="Z32" s="577">
        <f t="shared" si="9"/>
        <v>0.13674174538285136</v>
      </c>
      <c r="AA32" s="577">
        <v>0.35168223171382718</v>
      </c>
      <c r="AB32" s="582"/>
      <c r="AC32" s="576">
        <v>649</v>
      </c>
      <c r="AD32" s="576">
        <f t="shared" si="4"/>
        <v>38940</v>
      </c>
      <c r="AE32" s="711"/>
      <c r="AF32" s="583">
        <v>6</v>
      </c>
      <c r="AG32" s="576">
        <f t="shared" si="5"/>
        <v>1947</v>
      </c>
      <c r="AH32" s="709">
        <f t="shared" si="6"/>
        <v>36993</v>
      </c>
      <c r="AI32" s="709">
        <f t="shared" si="7"/>
        <v>0</v>
      </c>
      <c r="AJ32" s="577">
        <f t="shared" si="8"/>
        <v>0</v>
      </c>
      <c r="AK32" s="582">
        <f t="shared" si="10"/>
        <v>0.13674174538285136</v>
      </c>
      <c r="AL32" s="582"/>
      <c r="AM32" s="580" t="e">
        <f>VLOOKUP(F32,[7]PRM!E:R,14,FALSE)</f>
        <v>#N/A</v>
      </c>
      <c r="AN32" s="576" t="e">
        <f>T32-#REF!</f>
        <v>#REF!</v>
      </c>
      <c r="AO32" s="580"/>
    </row>
    <row r="33" spans="2:41" s="436" customFormat="1" ht="14" hidden="1">
      <c r="B33" s="800">
        <v>2605</v>
      </c>
      <c r="C33" s="1392" t="s">
        <v>285</v>
      </c>
      <c r="D33" s="1392"/>
      <c r="E33" s="1392"/>
      <c r="F33" s="1392"/>
      <c r="G33" s="566" t="s">
        <v>99</v>
      </c>
      <c r="H33" s="566"/>
      <c r="I33" s="566"/>
      <c r="J33" s="566">
        <v>5</v>
      </c>
      <c r="K33" s="566" t="s">
        <v>288</v>
      </c>
      <c r="L33" s="566">
        <v>6</v>
      </c>
      <c r="M33" s="576">
        <v>749</v>
      </c>
      <c r="N33" s="576">
        <f t="shared" si="11"/>
        <v>44940</v>
      </c>
      <c r="O33" s="566">
        <v>6</v>
      </c>
      <c r="P33" s="577">
        <f>IFERROR(_xlfn.XLOOKUP($F$27,'[4]By Model'!$A:$A,'[4]By Model'!$K:$K),"")</f>
        <v>0.22515963590354562</v>
      </c>
      <c r="Q33" s="578" t="str">
        <f>IFERROR(_xlfn.XLOOKUP(F33,'[5]By Model'!$A:$A,'[5]By Model'!$B:$B),"")</f>
        <v/>
      </c>
      <c r="R33" s="579">
        <f>IFERROR(_xlfn.XLOOKUP($F$27,'[4]By Model'!$A:$A,'[4]By Model'!$I:$I),"")</f>
        <v>539.09012331904762</v>
      </c>
      <c r="S33" s="578" t="str">
        <f>IFERROR(_xlfn.XLOOKUP(F33,[6]Sum!$G:$G,[6]Sum!$AM:$AM),"")</f>
        <v/>
      </c>
      <c r="T33" s="576">
        <v>649</v>
      </c>
      <c r="U33" s="576">
        <f t="shared" si="0"/>
        <v>38940</v>
      </c>
      <c r="V33" s="580">
        <v>6</v>
      </c>
      <c r="W33" s="576">
        <f t="shared" si="1"/>
        <v>1947</v>
      </c>
      <c r="X33" s="576">
        <f t="shared" si="2"/>
        <v>36993</v>
      </c>
      <c r="Y33" s="581">
        <f t="shared" si="3"/>
        <v>-0.17683578104138853</v>
      </c>
      <c r="Z33" s="577">
        <f t="shared" si="9"/>
        <v>0.13674174538285136</v>
      </c>
      <c r="AA33" s="577">
        <v>0.35168223171382718</v>
      </c>
      <c r="AB33" s="582"/>
      <c r="AC33" s="576">
        <v>649</v>
      </c>
      <c r="AD33" s="576">
        <f t="shared" si="4"/>
        <v>38940</v>
      </c>
      <c r="AE33" s="711"/>
      <c r="AF33" s="583">
        <v>6</v>
      </c>
      <c r="AG33" s="576">
        <f t="shared" si="5"/>
        <v>1947</v>
      </c>
      <c r="AH33" s="709">
        <f t="shared" si="6"/>
        <v>36993</v>
      </c>
      <c r="AI33" s="709">
        <f t="shared" si="7"/>
        <v>0</v>
      </c>
      <c r="AJ33" s="577">
        <f t="shared" si="8"/>
        <v>0</v>
      </c>
      <c r="AK33" s="582">
        <f t="shared" si="10"/>
        <v>0.13674174538285136</v>
      </c>
      <c r="AL33" s="582"/>
      <c r="AM33" s="580" t="e">
        <f>VLOOKUP(F33,[7]PRM!E:R,14,FALSE)</f>
        <v>#N/A</v>
      </c>
      <c r="AN33" s="576" t="e">
        <f>T33-#REF!</f>
        <v>#REF!</v>
      </c>
      <c r="AO33" s="580"/>
    </row>
    <row r="34" spans="2:41" s="436" customFormat="1" ht="14" hidden="1">
      <c r="B34" s="801">
        <v>2605</v>
      </c>
      <c r="C34" s="1393" t="s">
        <v>285</v>
      </c>
      <c r="D34" s="1393"/>
      <c r="E34" s="1393"/>
      <c r="F34" s="1393"/>
      <c r="G34" s="566" t="s">
        <v>99</v>
      </c>
      <c r="H34" s="566"/>
      <c r="I34" s="566"/>
      <c r="J34" s="566">
        <v>5</v>
      </c>
      <c r="K34" s="566" t="s">
        <v>288</v>
      </c>
      <c r="L34" s="566">
        <v>12</v>
      </c>
      <c r="M34" s="576">
        <v>699</v>
      </c>
      <c r="N34" s="576">
        <f t="shared" si="11"/>
        <v>41940</v>
      </c>
      <c r="O34" s="566">
        <v>12</v>
      </c>
      <c r="P34" s="577">
        <f>IFERROR(_xlfn.XLOOKUP($F$27,'[4]By Model'!$A:$A,'[4]By Model'!$K:$K),"")</f>
        <v>0.22515963590354562</v>
      </c>
      <c r="Q34" s="578" t="str">
        <f>IFERROR(_xlfn.XLOOKUP(F34,'[5]By Model'!$A:$A,'[5]By Model'!$B:$B),"")</f>
        <v/>
      </c>
      <c r="R34" s="579">
        <f>IFERROR(_xlfn.XLOOKUP($F$27,'[4]By Model'!$A:$A,'[4]By Model'!$I:$I),"")</f>
        <v>539.09012331904762</v>
      </c>
      <c r="S34" s="578" t="str">
        <f>IFERROR(_xlfn.XLOOKUP(F34,[6]Sum!$G:$G,[6]Sum!$AM:$AM),"")</f>
        <v/>
      </c>
      <c r="T34" s="576">
        <v>599</v>
      </c>
      <c r="U34" s="576">
        <f t="shared" si="0"/>
        <v>35940</v>
      </c>
      <c r="V34" s="580">
        <v>6</v>
      </c>
      <c r="W34" s="576">
        <f t="shared" si="1"/>
        <v>1797</v>
      </c>
      <c r="X34" s="576">
        <f t="shared" si="2"/>
        <v>34143</v>
      </c>
      <c r="Y34" s="581">
        <f t="shared" si="3"/>
        <v>-0.18590844062947065</v>
      </c>
      <c r="Z34" s="577">
        <f t="shared" si="9"/>
        <v>0.1322054155888103</v>
      </c>
      <c r="AA34" s="577">
        <v>0.35453266838932407</v>
      </c>
      <c r="AB34" s="582"/>
      <c r="AC34" s="576">
        <v>599</v>
      </c>
      <c r="AD34" s="576">
        <f t="shared" si="4"/>
        <v>35940</v>
      </c>
      <c r="AE34" s="711"/>
      <c r="AF34" s="583">
        <v>6</v>
      </c>
      <c r="AG34" s="576">
        <f t="shared" si="5"/>
        <v>1797</v>
      </c>
      <c r="AH34" s="709">
        <f t="shared" si="6"/>
        <v>34143</v>
      </c>
      <c r="AI34" s="709">
        <f t="shared" si="7"/>
        <v>0</v>
      </c>
      <c r="AJ34" s="577">
        <f t="shared" si="8"/>
        <v>0</v>
      </c>
      <c r="AK34" s="582">
        <f t="shared" si="10"/>
        <v>0.1322054155888103</v>
      </c>
      <c r="AL34" s="582"/>
      <c r="AM34" s="580" t="e">
        <f>VLOOKUP(F34,[7]PRM!E:R,14,FALSE)</f>
        <v>#N/A</v>
      </c>
      <c r="AN34" s="576" t="e">
        <f>T34-#REF!</f>
        <v>#REF!</v>
      </c>
      <c r="AO34" s="580"/>
    </row>
    <row r="35" spans="2:41" s="436" customFormat="1" ht="14" hidden="1">
      <c r="B35" s="799">
        <v>2605</v>
      </c>
      <c r="C35" s="1391" t="s">
        <v>285</v>
      </c>
      <c r="D35" s="1391"/>
      <c r="E35" s="1391"/>
      <c r="F35" s="1394" t="s">
        <v>337</v>
      </c>
      <c r="G35" s="566" t="s">
        <v>337</v>
      </c>
      <c r="H35" s="566"/>
      <c r="I35" s="566"/>
      <c r="J35" s="566">
        <v>3</v>
      </c>
      <c r="K35" s="566" t="s">
        <v>286</v>
      </c>
      <c r="L35" s="566">
        <v>12</v>
      </c>
      <c r="M35" s="710">
        <v>699</v>
      </c>
      <c r="N35" s="576">
        <f t="shared" si="11"/>
        <v>25164</v>
      </c>
      <c r="O35" s="566">
        <v>12</v>
      </c>
      <c r="P35" s="577">
        <f>IFERROR(_xlfn.XLOOKUP($F$35,'[4]By Model'!$A:$A,'[4]By Model'!$K:$K),"")</f>
        <v>0.15289938024888322</v>
      </c>
      <c r="Q35" s="578" t="str">
        <f>IFERROR(_xlfn.XLOOKUP(F35,'[5]By Model'!$A:$A,'[5]By Model'!$B:$B),"")</f>
        <v/>
      </c>
      <c r="R35" s="579">
        <f>IFERROR(_xlfn.XLOOKUP($F$35,'[4]By Model'!$A:$A,'[4]By Model'!$I:$I),"")</f>
        <v>493.06516813400003</v>
      </c>
      <c r="S35" s="578" t="str">
        <f>IFERROR(_xlfn.XLOOKUP(F35,[6]Sum!$G:$G,[6]Sum!$AM:$AM),"")</f>
        <v/>
      </c>
      <c r="T35" s="710">
        <v>699</v>
      </c>
      <c r="U35" s="576">
        <f t="shared" si="0"/>
        <v>25164</v>
      </c>
      <c r="V35" s="580">
        <v>0</v>
      </c>
      <c r="W35" s="576">
        <f t="shared" si="1"/>
        <v>0</v>
      </c>
      <c r="X35" s="576">
        <f t="shared" si="2"/>
        <v>25164</v>
      </c>
      <c r="Y35" s="581">
        <f t="shared" si="3"/>
        <v>0</v>
      </c>
      <c r="Z35" s="577">
        <f t="shared" si="9"/>
        <v>0.15289938024888322</v>
      </c>
      <c r="AA35" s="577"/>
      <c r="AB35" s="582"/>
      <c r="AC35" s="710">
        <v>849</v>
      </c>
      <c r="AD35" s="576">
        <f t="shared" si="4"/>
        <v>30564</v>
      </c>
      <c r="AE35" s="581">
        <f>AD35/AD37</f>
        <v>0.85041736227045073</v>
      </c>
      <c r="AF35" s="580">
        <v>0</v>
      </c>
      <c r="AG35" s="576">
        <f t="shared" si="5"/>
        <v>0</v>
      </c>
      <c r="AH35" s="709">
        <f t="shared" si="6"/>
        <v>30564</v>
      </c>
      <c r="AI35" s="709">
        <f t="shared" si="7"/>
        <v>5400</v>
      </c>
      <c r="AJ35" s="577">
        <f t="shared" si="8"/>
        <v>0.21459227467811159</v>
      </c>
      <c r="AK35" s="582">
        <f t="shared" si="10"/>
        <v>0.26019551758793902</v>
      </c>
      <c r="AL35" s="582"/>
      <c r="AM35" s="580"/>
      <c r="AN35" s="576" t="e">
        <f>T35-#REF!</f>
        <v>#REF!</v>
      </c>
      <c r="AO35" s="580"/>
    </row>
    <row r="36" spans="2:41" s="436" customFormat="1" ht="14" hidden="1">
      <c r="B36" s="800">
        <v>2605</v>
      </c>
      <c r="C36" s="1392" t="s">
        <v>285</v>
      </c>
      <c r="D36" s="1392"/>
      <c r="E36" s="1392"/>
      <c r="F36" s="1395"/>
      <c r="G36" s="566" t="s">
        <v>337</v>
      </c>
      <c r="H36" s="566"/>
      <c r="I36" s="566"/>
      <c r="J36" s="566">
        <v>3</v>
      </c>
      <c r="K36" s="566" t="s">
        <v>288</v>
      </c>
      <c r="L36" s="566">
        <v>12</v>
      </c>
      <c r="M36" s="576">
        <v>649</v>
      </c>
      <c r="N36" s="576">
        <f>M36*LEFT(J36,1)*12</f>
        <v>23364</v>
      </c>
      <c r="O36" s="566">
        <v>12</v>
      </c>
      <c r="P36" s="577">
        <f>IFERROR(_xlfn.XLOOKUP($F$35,'[4]By Model'!$A:$A,'[4]By Model'!$K:$K),"")</f>
        <v>0.15289938024888322</v>
      </c>
      <c r="Q36" s="578" t="str">
        <f>IFERROR(_xlfn.XLOOKUP(#REF!,'[5]By Model'!$A:$A,'[5]By Model'!$B:$B),"")</f>
        <v/>
      </c>
      <c r="R36" s="579">
        <f>IFERROR(_xlfn.XLOOKUP($F$35,'[4]By Model'!$A:$A,'[4]By Model'!$I:$I),"")</f>
        <v>493.06516813400003</v>
      </c>
      <c r="S36" s="578" t="str">
        <f>IFERROR(_xlfn.XLOOKUP(#REF!,[6]Sum!$G:$G,[6]Sum!$AM:$AM),"")</f>
        <v/>
      </c>
      <c r="T36" s="710">
        <v>599</v>
      </c>
      <c r="U36" s="576">
        <f t="shared" si="0"/>
        <v>21564</v>
      </c>
      <c r="V36" s="580">
        <v>0</v>
      </c>
      <c r="W36" s="576">
        <f t="shared" si="1"/>
        <v>0</v>
      </c>
      <c r="X36" s="576">
        <f t="shared" si="2"/>
        <v>21564</v>
      </c>
      <c r="Y36" s="581">
        <f t="shared" si="3"/>
        <v>-7.7041602465331316E-2</v>
      </c>
      <c r="Z36" s="577">
        <f>IFERROR(P36+Y36*0.5,"")</f>
        <v>0.11437857901621756</v>
      </c>
      <c r="AA36" s="577"/>
      <c r="AB36" s="582"/>
      <c r="AC36" s="710">
        <v>599</v>
      </c>
      <c r="AD36" s="576">
        <f t="shared" si="4"/>
        <v>21564</v>
      </c>
      <c r="AE36" s="711">
        <f>AD36/AD38</f>
        <v>0.65464480874316944</v>
      </c>
      <c r="AF36" s="580">
        <v>0</v>
      </c>
      <c r="AG36" s="576">
        <f t="shared" si="5"/>
        <v>0</v>
      </c>
      <c r="AH36" s="709">
        <f t="shared" si="6"/>
        <v>21564</v>
      </c>
      <c r="AI36" s="709">
        <f t="shared" si="7"/>
        <v>0</v>
      </c>
      <c r="AJ36" s="577">
        <f t="shared" si="8"/>
        <v>0</v>
      </c>
      <c r="AK36" s="582">
        <f>IFERROR(Z36+AJ36*0.5,"")</f>
        <v>0.11437857901621756</v>
      </c>
      <c r="AL36" s="582"/>
      <c r="AM36" s="580"/>
      <c r="AN36" s="576" t="e">
        <f>T36-#REF!</f>
        <v>#REF!</v>
      </c>
      <c r="AO36" s="580"/>
    </row>
    <row r="37" spans="2:41" s="436" customFormat="1" ht="14" hidden="1">
      <c r="B37" s="800">
        <v>2605</v>
      </c>
      <c r="C37" s="1392" t="s">
        <v>285</v>
      </c>
      <c r="D37" s="1392"/>
      <c r="E37" s="1392"/>
      <c r="F37" s="1392"/>
      <c r="G37" s="566" t="s">
        <v>337</v>
      </c>
      <c r="H37" s="566"/>
      <c r="I37" s="566"/>
      <c r="J37" s="566">
        <v>5</v>
      </c>
      <c r="K37" s="566" t="s">
        <v>286</v>
      </c>
      <c r="L37" s="566">
        <v>6</v>
      </c>
      <c r="M37" s="576">
        <v>599</v>
      </c>
      <c r="N37" s="576">
        <f t="shared" si="11"/>
        <v>35940</v>
      </c>
      <c r="O37" s="566">
        <v>12</v>
      </c>
      <c r="P37" s="577">
        <f>IFERROR(_xlfn.XLOOKUP($F$35,'[4]By Model'!$A:$A,'[4]By Model'!$K:$K),"")</f>
        <v>0.15289938024888322</v>
      </c>
      <c r="Q37" s="578" t="str">
        <f>IFERROR(_xlfn.XLOOKUP(F37,'[5]By Model'!$A:$A,'[5]By Model'!$B:$B),"")</f>
        <v/>
      </c>
      <c r="R37" s="579">
        <f>IFERROR(_xlfn.XLOOKUP($F$35,'[4]By Model'!$A:$A,'[4]By Model'!$I:$I),"")</f>
        <v>493.06516813400003</v>
      </c>
      <c r="S37" s="578" t="str">
        <f>IFERROR(_xlfn.XLOOKUP(F37,[6]Sum!$G:$G,[6]Sum!$AM:$AM),"")</f>
        <v/>
      </c>
      <c r="T37" s="576">
        <v>599</v>
      </c>
      <c r="U37" s="576">
        <f t="shared" si="0"/>
        <v>35940</v>
      </c>
      <c r="V37" s="580">
        <v>6</v>
      </c>
      <c r="W37" s="576">
        <f t="shared" si="1"/>
        <v>1797</v>
      </c>
      <c r="X37" s="576">
        <f t="shared" si="2"/>
        <v>34143</v>
      </c>
      <c r="Y37" s="581">
        <f t="shared" si="3"/>
        <v>-5.0000000000000044E-2</v>
      </c>
      <c r="Z37" s="577">
        <f t="shared" si="9"/>
        <v>0.1278993802488832</v>
      </c>
      <c r="AA37" s="577"/>
      <c r="AB37" s="582"/>
      <c r="AC37" s="576">
        <v>599</v>
      </c>
      <c r="AD37" s="576">
        <f t="shared" si="4"/>
        <v>35940</v>
      </c>
      <c r="AE37" s="711"/>
      <c r="AF37" s="583">
        <v>6</v>
      </c>
      <c r="AG37" s="576">
        <f t="shared" si="5"/>
        <v>1797</v>
      </c>
      <c r="AH37" s="709">
        <f t="shared" si="6"/>
        <v>34143</v>
      </c>
      <c r="AI37" s="709">
        <f t="shared" si="7"/>
        <v>0</v>
      </c>
      <c r="AJ37" s="577">
        <f t="shared" si="8"/>
        <v>0</v>
      </c>
      <c r="AK37" s="582">
        <f t="shared" si="10"/>
        <v>0.1278993802488832</v>
      </c>
      <c r="AL37" s="582"/>
      <c r="AM37" s="580"/>
      <c r="AN37" s="576" t="e">
        <f>T37-#REF!</f>
        <v>#REF!</v>
      </c>
      <c r="AO37" s="580"/>
    </row>
    <row r="38" spans="2:41" s="436" customFormat="1" ht="14" hidden="1">
      <c r="B38" s="800">
        <v>2605</v>
      </c>
      <c r="C38" s="1392" t="s">
        <v>285</v>
      </c>
      <c r="D38" s="1392"/>
      <c r="E38" s="1392"/>
      <c r="F38" s="1392"/>
      <c r="G38" s="566" t="s">
        <v>337</v>
      </c>
      <c r="H38" s="566"/>
      <c r="I38" s="566"/>
      <c r="J38" s="566">
        <v>5</v>
      </c>
      <c r="K38" s="566" t="s">
        <v>288</v>
      </c>
      <c r="L38" s="566">
        <v>6</v>
      </c>
      <c r="M38" s="576">
        <v>549</v>
      </c>
      <c r="N38" s="576">
        <f t="shared" si="11"/>
        <v>32940</v>
      </c>
      <c r="O38" s="566">
        <v>12</v>
      </c>
      <c r="P38" s="577">
        <f>IFERROR(_xlfn.XLOOKUP($F$35,'[4]By Model'!$A:$A,'[4]By Model'!$K:$K),"")</f>
        <v>0.15289938024888322</v>
      </c>
      <c r="Q38" s="578" t="str">
        <f>IFERROR(_xlfn.XLOOKUP(F38,'[5]By Model'!$A:$A,'[5]By Model'!$B:$B),"")</f>
        <v/>
      </c>
      <c r="R38" s="579">
        <f>IFERROR(_xlfn.XLOOKUP($F$35,'[4]By Model'!$A:$A,'[4]By Model'!$I:$I),"")</f>
        <v>493.06516813400003</v>
      </c>
      <c r="S38" s="578" t="str">
        <f>IFERROR(_xlfn.XLOOKUP(F38,[6]Sum!$G:$G,[6]Sum!$AM:$AM),"")</f>
        <v/>
      </c>
      <c r="T38" s="576">
        <v>549</v>
      </c>
      <c r="U38" s="576">
        <f t="shared" si="0"/>
        <v>32940</v>
      </c>
      <c r="V38" s="580">
        <v>6</v>
      </c>
      <c r="W38" s="576">
        <f t="shared" si="1"/>
        <v>1647</v>
      </c>
      <c r="X38" s="576">
        <f t="shared" si="2"/>
        <v>31293</v>
      </c>
      <c r="Y38" s="581">
        <f t="shared" si="3"/>
        <v>-5.0000000000000044E-2</v>
      </c>
      <c r="Z38" s="577">
        <f t="shared" si="9"/>
        <v>0.1278993802488832</v>
      </c>
      <c r="AA38" s="577"/>
      <c r="AB38" s="582"/>
      <c r="AC38" s="576">
        <v>549</v>
      </c>
      <c r="AD38" s="576">
        <f t="shared" si="4"/>
        <v>32940</v>
      </c>
      <c r="AE38" s="711"/>
      <c r="AF38" s="583">
        <v>6</v>
      </c>
      <c r="AG38" s="576">
        <f t="shared" si="5"/>
        <v>1647</v>
      </c>
      <c r="AH38" s="709">
        <f t="shared" si="6"/>
        <v>31293</v>
      </c>
      <c r="AI38" s="709">
        <f t="shared" si="7"/>
        <v>0</v>
      </c>
      <c r="AJ38" s="577">
        <f t="shared" si="8"/>
        <v>0</v>
      </c>
      <c r="AK38" s="582">
        <f t="shared" si="10"/>
        <v>0.1278993802488832</v>
      </c>
      <c r="AL38" s="582"/>
      <c r="AM38" s="580"/>
      <c r="AN38" s="576" t="e">
        <f>T38-#REF!</f>
        <v>#REF!</v>
      </c>
      <c r="AO38" s="580"/>
    </row>
    <row r="39" spans="2:41" s="436" customFormat="1" ht="14" hidden="1">
      <c r="B39" s="799">
        <v>2605</v>
      </c>
      <c r="C39" s="1391" t="s">
        <v>285</v>
      </c>
      <c r="D39" s="1391"/>
      <c r="E39" s="1391"/>
      <c r="F39" s="1391" t="s">
        <v>173</v>
      </c>
      <c r="G39" s="566" t="s">
        <v>173</v>
      </c>
      <c r="H39" s="566"/>
      <c r="I39" s="566"/>
      <c r="J39" s="566">
        <v>3</v>
      </c>
      <c r="K39" s="566" t="s">
        <v>286</v>
      </c>
      <c r="L39" s="566">
        <v>6</v>
      </c>
      <c r="M39" s="576">
        <v>499</v>
      </c>
      <c r="N39" s="576">
        <f t="shared" si="11"/>
        <v>17964</v>
      </c>
      <c r="O39" s="566">
        <v>6</v>
      </c>
      <c r="P39" s="577">
        <f>IFERROR(_xlfn.XLOOKUP($F$39,'[4]By Model'!$A:$A,'[4]By Model'!$K:$K),"")</f>
        <v>0.18784839389913643</v>
      </c>
      <c r="Q39" s="578">
        <f>IFERROR(_xlfn.XLOOKUP(F39,'[5]By Model'!$A:$A,'[5]By Model'!$B:$B),"")</f>
        <v>72</v>
      </c>
      <c r="R39" s="579">
        <f>IFERROR(_xlfn.XLOOKUP($F$39,'[4]By Model'!$A:$A,'[4]By Model'!$I:$I),"")</f>
        <v>179.29990829777779</v>
      </c>
      <c r="S39" s="578">
        <f>IFERROR(_xlfn.XLOOKUP(F39,[6]Sum!$G:$G,[6]Sum!$AM:$AM),"")</f>
        <v>1919</v>
      </c>
      <c r="T39" s="576">
        <v>399</v>
      </c>
      <c r="U39" s="576">
        <f t="shared" si="0"/>
        <v>14364</v>
      </c>
      <c r="V39" s="580">
        <v>0</v>
      </c>
      <c r="W39" s="576">
        <f t="shared" si="1"/>
        <v>0</v>
      </c>
      <c r="X39" s="576">
        <f t="shared" si="2"/>
        <v>14364</v>
      </c>
      <c r="Y39" s="581">
        <f t="shared" si="3"/>
        <v>-0.20040080160320639</v>
      </c>
      <c r="Z39" s="577">
        <f t="shared" si="9"/>
        <v>8.7647993097533239E-2</v>
      </c>
      <c r="AA39" s="577">
        <v>0.23697521988233267</v>
      </c>
      <c r="AB39" s="582"/>
      <c r="AC39" s="576">
        <v>349</v>
      </c>
      <c r="AD39" s="576">
        <f t="shared" si="4"/>
        <v>12564</v>
      </c>
      <c r="AE39" s="711">
        <f>AD39/AD41</f>
        <v>0.70033444816053514</v>
      </c>
      <c r="AF39" s="580">
        <v>0</v>
      </c>
      <c r="AG39" s="576">
        <f t="shared" si="5"/>
        <v>0</v>
      </c>
      <c r="AH39" s="709">
        <f t="shared" si="6"/>
        <v>12564</v>
      </c>
      <c r="AI39" s="709">
        <f t="shared" si="7"/>
        <v>-1800</v>
      </c>
      <c r="AJ39" s="577">
        <f t="shared" si="8"/>
        <v>-0.12531328320802004</v>
      </c>
      <c r="AK39" s="582">
        <f t="shared" si="10"/>
        <v>2.4991351493523217E-2</v>
      </c>
      <c r="AL39" s="582"/>
      <c r="AM39" s="580" t="e">
        <f>VLOOKUP(F39,[7]PRM!E:R,14,FALSE)</f>
        <v>#N/A</v>
      </c>
      <c r="AN39" s="576" t="e">
        <f>T39-#REF!</f>
        <v>#REF!</v>
      </c>
      <c r="AO39" s="580"/>
    </row>
    <row r="40" spans="2:41" s="436" customFormat="1" ht="14" hidden="1">
      <c r="B40" s="800">
        <v>2605</v>
      </c>
      <c r="C40" s="1392" t="s">
        <v>285</v>
      </c>
      <c r="D40" s="1392"/>
      <c r="E40" s="1392"/>
      <c r="F40" s="1392"/>
      <c r="G40" s="566" t="s">
        <v>173</v>
      </c>
      <c r="H40" s="566"/>
      <c r="I40" s="566"/>
      <c r="J40" s="566">
        <v>3</v>
      </c>
      <c r="K40" s="566" t="s">
        <v>288</v>
      </c>
      <c r="L40" s="566">
        <v>6</v>
      </c>
      <c r="M40" s="576">
        <v>349</v>
      </c>
      <c r="N40" s="576">
        <f t="shared" si="11"/>
        <v>12564</v>
      </c>
      <c r="O40" s="566">
        <v>6</v>
      </c>
      <c r="P40" s="577">
        <f>IFERROR(_xlfn.XLOOKUP($F$39,'[4]By Model'!$A:$A,'[4]By Model'!$K:$K),"")</f>
        <v>0.18784839389913643</v>
      </c>
      <c r="Q40" s="578" t="str">
        <f>IFERROR(_xlfn.XLOOKUP(F40,'[5]By Model'!$A:$A,'[5]By Model'!$B:$B),"")</f>
        <v/>
      </c>
      <c r="R40" s="579">
        <f>IFERROR(_xlfn.XLOOKUP($F$39,'[4]By Model'!$A:$A,'[4]By Model'!$I:$I),"")</f>
        <v>179.29990829777779</v>
      </c>
      <c r="S40" s="578" t="str">
        <f>IFERROR(_xlfn.XLOOKUP(F40,[6]Sum!$G:$G,[6]Sum!$AM:$AM),"")</f>
        <v/>
      </c>
      <c r="T40" s="576">
        <v>299</v>
      </c>
      <c r="U40" s="576">
        <f t="shared" si="0"/>
        <v>10764</v>
      </c>
      <c r="V40" s="580">
        <v>0</v>
      </c>
      <c r="W40" s="576">
        <f t="shared" si="1"/>
        <v>0</v>
      </c>
      <c r="X40" s="576">
        <f t="shared" si="2"/>
        <v>10764</v>
      </c>
      <c r="Y40" s="581">
        <f t="shared" si="3"/>
        <v>-0.14326647564469919</v>
      </c>
      <c r="Z40" s="577">
        <f t="shared" si="9"/>
        <v>0.11621515607678684</v>
      </c>
      <c r="AA40" s="577">
        <v>0.23697521988233267</v>
      </c>
      <c r="AB40" s="582"/>
      <c r="AC40" s="576">
        <v>299</v>
      </c>
      <c r="AD40" s="576">
        <f t="shared" si="4"/>
        <v>10764</v>
      </c>
      <c r="AE40" s="711">
        <f>AD40/AD42</f>
        <v>0.72048192771084341</v>
      </c>
      <c r="AF40" s="580">
        <v>0</v>
      </c>
      <c r="AG40" s="576">
        <f t="shared" si="5"/>
        <v>0</v>
      </c>
      <c r="AH40" s="709">
        <f t="shared" si="6"/>
        <v>10764</v>
      </c>
      <c r="AI40" s="709">
        <f t="shared" si="7"/>
        <v>0</v>
      </c>
      <c r="AJ40" s="577">
        <f t="shared" si="8"/>
        <v>0</v>
      </c>
      <c r="AK40" s="582">
        <f t="shared" si="10"/>
        <v>0.11621515607678684</v>
      </c>
      <c r="AL40" s="582"/>
      <c r="AM40" s="580" t="e">
        <f>VLOOKUP(F40,[7]PRM!E:R,14,FALSE)</f>
        <v>#N/A</v>
      </c>
      <c r="AN40" s="576" t="e">
        <f>T40-#REF!</f>
        <v>#REF!</v>
      </c>
      <c r="AO40" s="580"/>
    </row>
    <row r="41" spans="2:41" s="436" customFormat="1" ht="14" hidden="1">
      <c r="B41" s="800">
        <v>2605</v>
      </c>
      <c r="C41" s="1392" t="s">
        <v>285</v>
      </c>
      <c r="D41" s="1392"/>
      <c r="E41" s="1392"/>
      <c r="F41" s="1392"/>
      <c r="G41" s="566" t="s">
        <v>173</v>
      </c>
      <c r="H41" s="566"/>
      <c r="I41" s="566"/>
      <c r="J41" s="566">
        <v>5</v>
      </c>
      <c r="K41" s="566" t="s">
        <v>286</v>
      </c>
      <c r="L41" s="566">
        <v>6</v>
      </c>
      <c r="M41" s="576">
        <v>349</v>
      </c>
      <c r="N41" s="576">
        <f t="shared" si="11"/>
        <v>20940</v>
      </c>
      <c r="O41" s="566">
        <v>6</v>
      </c>
      <c r="P41" s="577">
        <f>IFERROR(_xlfn.XLOOKUP($F$39,'[4]By Model'!$A:$A,'[4]By Model'!$K:$K),"")</f>
        <v>0.18784839389913643</v>
      </c>
      <c r="Q41" s="578" t="str">
        <f>IFERROR(_xlfn.XLOOKUP(F41,'[5]By Model'!$A:$A,'[5]By Model'!$B:$B),"")</f>
        <v/>
      </c>
      <c r="R41" s="579">
        <f>IFERROR(_xlfn.XLOOKUP($F$39,'[4]By Model'!$A:$A,'[4]By Model'!$I:$I),"")</f>
        <v>179.29990829777779</v>
      </c>
      <c r="S41" s="578" t="str">
        <f>IFERROR(_xlfn.XLOOKUP(F41,[6]Sum!$G:$G,[6]Sum!$AM:$AM),"")</f>
        <v/>
      </c>
      <c r="T41" s="576">
        <v>249</v>
      </c>
      <c r="U41" s="576">
        <f t="shared" si="0"/>
        <v>14940</v>
      </c>
      <c r="V41" s="580"/>
      <c r="W41" s="576">
        <f t="shared" si="1"/>
        <v>0</v>
      </c>
      <c r="X41" s="576">
        <f t="shared" si="2"/>
        <v>14940</v>
      </c>
      <c r="Y41" s="581">
        <f t="shared" si="3"/>
        <v>-0.28653295128939826</v>
      </c>
      <c r="Z41" s="577">
        <f t="shared" si="9"/>
        <v>4.4581918254437303E-2</v>
      </c>
      <c r="AA41" s="577">
        <v>0.23697521988233267</v>
      </c>
      <c r="AB41" s="582"/>
      <c r="AC41" s="576">
        <v>299</v>
      </c>
      <c r="AD41" s="576">
        <f t="shared" si="4"/>
        <v>17940</v>
      </c>
      <c r="AE41" s="711"/>
      <c r="AF41" s="583">
        <v>0</v>
      </c>
      <c r="AG41" s="576">
        <f t="shared" si="5"/>
        <v>0</v>
      </c>
      <c r="AH41" s="709">
        <f t="shared" si="6"/>
        <v>17940</v>
      </c>
      <c r="AI41" s="709">
        <f t="shared" si="7"/>
        <v>3000</v>
      </c>
      <c r="AJ41" s="577">
        <f t="shared" si="8"/>
        <v>0.20080321285140562</v>
      </c>
      <c r="AK41" s="582">
        <f t="shared" si="10"/>
        <v>0.14498352468014011</v>
      </c>
      <c r="AL41" s="582"/>
      <c r="AM41" s="580" t="e">
        <f>VLOOKUP(F41,[7]PRM!E:R,14,FALSE)</f>
        <v>#N/A</v>
      </c>
      <c r="AN41" s="576" t="e">
        <f>T41-#REF!</f>
        <v>#REF!</v>
      </c>
      <c r="AO41" s="580"/>
    </row>
    <row r="42" spans="2:41" s="436" customFormat="1" ht="14" hidden="1">
      <c r="B42" s="801">
        <v>2605</v>
      </c>
      <c r="C42" s="1393" t="s">
        <v>285</v>
      </c>
      <c r="D42" s="1393"/>
      <c r="E42" s="1393"/>
      <c r="F42" s="1393"/>
      <c r="G42" s="566" t="s">
        <v>173</v>
      </c>
      <c r="H42" s="566"/>
      <c r="I42" s="566"/>
      <c r="J42" s="566">
        <v>5</v>
      </c>
      <c r="K42" s="566" t="s">
        <v>288</v>
      </c>
      <c r="L42" s="566">
        <v>6</v>
      </c>
      <c r="M42" s="576">
        <v>299</v>
      </c>
      <c r="N42" s="576">
        <f t="shared" si="11"/>
        <v>17940</v>
      </c>
      <c r="O42" s="566">
        <v>6</v>
      </c>
      <c r="P42" s="577">
        <f>IFERROR(_xlfn.XLOOKUP($F$39,'[4]By Model'!$A:$A,'[4]By Model'!$K:$K),"")</f>
        <v>0.18784839389913643</v>
      </c>
      <c r="Q42" s="578" t="str">
        <f>IFERROR(_xlfn.XLOOKUP(F42,'[5]By Model'!$A:$A,'[5]By Model'!$B:$B),"")</f>
        <v/>
      </c>
      <c r="R42" s="579">
        <f>IFERROR(_xlfn.XLOOKUP($F$39,'[4]By Model'!$A:$A,'[4]By Model'!$I:$I),"")</f>
        <v>179.29990829777779</v>
      </c>
      <c r="S42" s="578" t="str">
        <f>IFERROR(_xlfn.XLOOKUP(F42,[6]Sum!$G:$G,[6]Sum!$AM:$AM),"")</f>
        <v/>
      </c>
      <c r="T42" s="576">
        <v>199</v>
      </c>
      <c r="U42" s="576">
        <f t="shared" si="0"/>
        <v>11940</v>
      </c>
      <c r="V42" s="580"/>
      <c r="W42" s="576">
        <f t="shared" si="1"/>
        <v>0</v>
      </c>
      <c r="X42" s="576">
        <f t="shared" si="2"/>
        <v>11940</v>
      </c>
      <c r="Y42" s="581">
        <f t="shared" si="3"/>
        <v>-0.33444816053511706</v>
      </c>
      <c r="Z42" s="577">
        <f t="shared" si="9"/>
        <v>2.0624313631577906E-2</v>
      </c>
      <c r="AA42" s="577">
        <v>0.23697521988233267</v>
      </c>
      <c r="AB42" s="582"/>
      <c r="AC42" s="576">
        <v>249</v>
      </c>
      <c r="AD42" s="576">
        <f t="shared" si="4"/>
        <v>14940</v>
      </c>
      <c r="AE42" s="711"/>
      <c r="AF42" s="583">
        <v>0</v>
      </c>
      <c r="AG42" s="576">
        <f t="shared" si="5"/>
        <v>0</v>
      </c>
      <c r="AH42" s="709">
        <f t="shared" si="6"/>
        <v>14940</v>
      </c>
      <c r="AI42" s="709">
        <f t="shared" si="7"/>
        <v>3000</v>
      </c>
      <c r="AJ42" s="577">
        <f t="shared" si="8"/>
        <v>0.25125628140703515</v>
      </c>
      <c r="AK42" s="582">
        <f t="shared" si="10"/>
        <v>0.14625245433509548</v>
      </c>
      <c r="AL42" s="582"/>
      <c r="AM42" s="580" t="e">
        <f>VLOOKUP(F42,[7]PRM!E:R,14,FALSE)</f>
        <v>#N/A</v>
      </c>
      <c r="AN42" s="576" t="e">
        <f>T42-#REF!</f>
        <v>#REF!</v>
      </c>
      <c r="AO42" s="580"/>
    </row>
    <row r="43" spans="2:41" s="436" customFormat="1" ht="14" hidden="1">
      <c r="B43" s="799">
        <v>2605</v>
      </c>
      <c r="C43" s="1391" t="s">
        <v>285</v>
      </c>
      <c r="D43" s="1391"/>
      <c r="E43" s="1391"/>
      <c r="F43" s="1391" t="s">
        <v>322</v>
      </c>
      <c r="G43" s="566" t="s">
        <v>309</v>
      </c>
      <c r="H43" s="566"/>
      <c r="I43" s="566"/>
      <c r="J43" s="566">
        <v>3</v>
      </c>
      <c r="K43" s="566" t="s">
        <v>286</v>
      </c>
      <c r="L43" s="566">
        <v>12</v>
      </c>
      <c r="M43" s="576">
        <v>749</v>
      </c>
      <c r="N43" s="576">
        <f t="shared" si="11"/>
        <v>26964</v>
      </c>
      <c r="O43" s="566">
        <v>12</v>
      </c>
      <c r="P43" s="577">
        <f>IFERROR(_xlfn.XLOOKUP($F$43,'[4]By Model'!$A:$A,'[4]By Model'!$K:$K),"")</f>
        <v>0.2571423087191948</v>
      </c>
      <c r="Q43" s="578" t="str">
        <f>IFERROR(_xlfn.XLOOKUP(F43,'[5]By Model'!$A:$A,'[5]By Model'!$B:$B),"")</f>
        <v/>
      </c>
      <c r="R43" s="579">
        <f>IFERROR(_xlfn.XLOOKUP(F43,'[4]By Model'!$A:$A,'[4]By Model'!$I:$I),"")</f>
        <v>490.42537294615391</v>
      </c>
      <c r="S43" s="578">
        <f>IFERROR(_xlfn.XLOOKUP(F43,[6]Sum!$G:$G,[6]Sum!$AM:$AM),"")</f>
        <v>119</v>
      </c>
      <c r="T43" s="576">
        <v>699</v>
      </c>
      <c r="U43" s="576">
        <f t="shared" si="0"/>
        <v>25164</v>
      </c>
      <c r="V43" s="580">
        <v>0</v>
      </c>
      <c r="W43" s="576">
        <f t="shared" si="1"/>
        <v>0</v>
      </c>
      <c r="X43" s="576">
        <f t="shared" si="2"/>
        <v>25164</v>
      </c>
      <c r="Y43" s="581">
        <f t="shared" si="3"/>
        <v>-6.675567423230977E-2</v>
      </c>
      <c r="Z43" s="577">
        <f t="shared" si="9"/>
        <v>0.22376447160303992</v>
      </c>
      <c r="AA43" s="577">
        <v>0.23697521988233267</v>
      </c>
      <c r="AB43" s="582"/>
      <c r="AC43" s="576">
        <v>649</v>
      </c>
      <c r="AD43" s="576">
        <f t="shared" si="4"/>
        <v>23364</v>
      </c>
      <c r="AE43" s="581">
        <f>AD43/AD45</f>
        <v>0.72231496939343354</v>
      </c>
      <c r="AF43" s="580">
        <v>0</v>
      </c>
      <c r="AG43" s="576">
        <f t="shared" si="5"/>
        <v>0</v>
      </c>
      <c r="AH43" s="709">
        <f t="shared" si="6"/>
        <v>23364</v>
      </c>
      <c r="AI43" s="709">
        <f t="shared" si="7"/>
        <v>-1800</v>
      </c>
      <c r="AJ43" s="577">
        <f t="shared" si="8"/>
        <v>-7.1530758226037203E-2</v>
      </c>
      <c r="AK43" s="582">
        <f t="shared" si="10"/>
        <v>0.18799909249002131</v>
      </c>
      <c r="AL43" s="582"/>
      <c r="AM43" s="580"/>
      <c r="AN43" s="576" t="e">
        <f>T43-#REF!</f>
        <v>#REF!</v>
      </c>
      <c r="AO43" s="580"/>
    </row>
    <row r="44" spans="2:41" s="436" customFormat="1" ht="14" hidden="1">
      <c r="B44" s="800">
        <v>2605</v>
      </c>
      <c r="C44" s="1392" t="s">
        <v>285</v>
      </c>
      <c r="D44" s="1392"/>
      <c r="E44" s="1392"/>
      <c r="F44" s="1392"/>
      <c r="G44" s="566" t="s">
        <v>516</v>
      </c>
      <c r="H44" s="566"/>
      <c r="I44" s="566"/>
      <c r="J44" s="566">
        <v>3</v>
      </c>
      <c r="K44" s="566" t="s">
        <v>288</v>
      </c>
      <c r="L44" s="566">
        <v>12</v>
      </c>
      <c r="M44" s="576">
        <v>649</v>
      </c>
      <c r="N44" s="576">
        <f t="shared" si="11"/>
        <v>23364</v>
      </c>
      <c r="O44" s="566">
        <v>12</v>
      </c>
      <c r="P44" s="577">
        <f>IFERROR(_xlfn.XLOOKUP($F$43,'[4]By Model'!$A:$A,'[4]By Model'!$K:$K),"")</f>
        <v>0.2571423087191948</v>
      </c>
      <c r="Q44" s="578" t="str">
        <f>IFERROR(_xlfn.XLOOKUP(F44,'[5]By Model'!$A:$A,'[5]By Model'!$B:$B),"")</f>
        <v/>
      </c>
      <c r="R44" s="579" t="str">
        <f>IFERROR(_xlfn.XLOOKUP(F44,'[4]By Model'!$A:$A,'[4]By Model'!$I:$I),"")</f>
        <v/>
      </c>
      <c r="S44" s="578" t="str">
        <f>IFERROR(_xlfn.XLOOKUP(F44,[6]Sum!$G:$G,[6]Sum!$AM:$AM),"")</f>
        <v/>
      </c>
      <c r="T44" s="576">
        <v>649</v>
      </c>
      <c r="U44" s="576">
        <f t="shared" si="0"/>
        <v>23364</v>
      </c>
      <c r="V44" s="580">
        <v>0</v>
      </c>
      <c r="W44" s="576">
        <f t="shared" si="1"/>
        <v>0</v>
      </c>
      <c r="X44" s="576">
        <f t="shared" si="2"/>
        <v>23364</v>
      </c>
      <c r="Y44" s="581">
        <f t="shared" si="3"/>
        <v>0</v>
      </c>
      <c r="Z44" s="577">
        <f t="shared" si="9"/>
        <v>0.2571423087191948</v>
      </c>
      <c r="AA44" s="577">
        <v>0.23697521988233267</v>
      </c>
      <c r="AB44" s="582"/>
      <c r="AC44" s="576">
        <v>649</v>
      </c>
      <c r="AD44" s="576">
        <f t="shared" si="4"/>
        <v>23364</v>
      </c>
      <c r="AE44" s="711">
        <f>AD44/AD46</f>
        <v>0.78809957498482086</v>
      </c>
      <c r="AF44" s="580">
        <v>0</v>
      </c>
      <c r="AG44" s="576">
        <f t="shared" si="5"/>
        <v>0</v>
      </c>
      <c r="AH44" s="709">
        <f t="shared" si="6"/>
        <v>23364</v>
      </c>
      <c r="AI44" s="709">
        <f t="shared" si="7"/>
        <v>0</v>
      </c>
      <c r="AJ44" s="577">
        <f t="shared" si="8"/>
        <v>0</v>
      </c>
      <c r="AK44" s="582">
        <f t="shared" si="10"/>
        <v>0.2571423087191948</v>
      </c>
      <c r="AL44" s="582"/>
      <c r="AM44" s="580"/>
      <c r="AN44" s="576" t="e">
        <f>T44-#REF!</f>
        <v>#REF!</v>
      </c>
      <c r="AO44" s="580"/>
    </row>
    <row r="45" spans="2:41" s="436" customFormat="1" ht="14" hidden="1">
      <c r="B45" s="800">
        <v>2605</v>
      </c>
      <c r="C45" s="1392" t="s">
        <v>285</v>
      </c>
      <c r="D45" s="1392"/>
      <c r="E45" s="1392"/>
      <c r="F45" s="1392"/>
      <c r="G45" s="566" t="s">
        <v>517</v>
      </c>
      <c r="H45" s="566"/>
      <c r="I45" s="566"/>
      <c r="J45" s="566">
        <v>5</v>
      </c>
      <c r="K45" s="566" t="s">
        <v>286</v>
      </c>
      <c r="L45" s="566">
        <v>12</v>
      </c>
      <c r="M45" s="576">
        <v>599</v>
      </c>
      <c r="N45" s="576">
        <f t="shared" si="11"/>
        <v>35940</v>
      </c>
      <c r="O45" s="566">
        <v>12</v>
      </c>
      <c r="P45" s="577">
        <f>IFERROR(_xlfn.XLOOKUP($F$43,'[4]By Model'!$A:$A,'[4]By Model'!$K:$K),"")</f>
        <v>0.2571423087191948</v>
      </c>
      <c r="Q45" s="578" t="str">
        <f>IFERROR(_xlfn.XLOOKUP(F45,'[5]By Model'!$A:$A,'[5]By Model'!$B:$B),"")</f>
        <v/>
      </c>
      <c r="R45" s="579" t="str">
        <f>IFERROR(_xlfn.XLOOKUP(F45,'[4]By Model'!$A:$A,'[4]By Model'!$I:$I),"")</f>
        <v/>
      </c>
      <c r="S45" s="578" t="str">
        <f>IFERROR(_xlfn.XLOOKUP(F45,[6]Sum!$G:$G,[6]Sum!$AM:$AM),"")</f>
        <v/>
      </c>
      <c r="T45" s="576">
        <v>599</v>
      </c>
      <c r="U45" s="576">
        <f t="shared" si="0"/>
        <v>35940</v>
      </c>
      <c r="V45" s="580">
        <v>6</v>
      </c>
      <c r="W45" s="576">
        <f t="shared" si="1"/>
        <v>1797</v>
      </c>
      <c r="X45" s="576">
        <f t="shared" si="2"/>
        <v>34143</v>
      </c>
      <c r="Y45" s="581">
        <f t="shared" si="3"/>
        <v>-5.0000000000000044E-2</v>
      </c>
      <c r="Z45" s="577">
        <f t="shared" si="9"/>
        <v>0.23214230871919478</v>
      </c>
      <c r="AA45" s="577">
        <v>0.23697521988233267</v>
      </c>
      <c r="AB45" s="582"/>
      <c r="AC45" s="576">
        <v>599</v>
      </c>
      <c r="AD45" s="576">
        <f>(T45*((J45*12)-AF45))</f>
        <v>32346</v>
      </c>
      <c r="AE45" s="580">
        <v>149</v>
      </c>
      <c r="AF45" s="583">
        <v>6</v>
      </c>
      <c r="AG45" s="576">
        <f>AE45*AF45</f>
        <v>894</v>
      </c>
      <c r="AH45" s="709">
        <f t="shared" si="6"/>
        <v>31452</v>
      </c>
      <c r="AI45" s="709">
        <f t="shared" si="7"/>
        <v>-2691</v>
      </c>
      <c r="AJ45" s="577">
        <f t="shared" si="8"/>
        <v>-7.881556980933134E-2</v>
      </c>
      <c r="AK45" s="582">
        <f t="shared" si="10"/>
        <v>0.1927345238145291</v>
      </c>
      <c r="AL45" s="582"/>
      <c r="AM45" s="580"/>
      <c r="AN45" s="576" t="e">
        <f>T45-#REF!</f>
        <v>#REF!</v>
      </c>
      <c r="AO45" s="580"/>
    </row>
    <row r="46" spans="2:41" s="436" customFormat="1" ht="14" hidden="1">
      <c r="B46" s="801">
        <v>2605</v>
      </c>
      <c r="C46" s="1393" t="s">
        <v>285</v>
      </c>
      <c r="D46" s="1393"/>
      <c r="E46" s="1393"/>
      <c r="F46" s="1393"/>
      <c r="G46" s="566" t="s">
        <v>518</v>
      </c>
      <c r="H46" s="566"/>
      <c r="I46" s="566"/>
      <c r="J46" s="566">
        <v>5</v>
      </c>
      <c r="K46" s="566" t="s">
        <v>288</v>
      </c>
      <c r="L46" s="566">
        <v>12</v>
      </c>
      <c r="M46" s="576">
        <v>549</v>
      </c>
      <c r="N46" s="576">
        <f t="shared" si="11"/>
        <v>32940</v>
      </c>
      <c r="O46" s="566">
        <v>12</v>
      </c>
      <c r="P46" s="577">
        <f>IFERROR(_xlfn.XLOOKUP($F$43,'[4]By Model'!$A:$A,'[4]By Model'!$K:$K),"")</f>
        <v>0.2571423087191948</v>
      </c>
      <c r="Q46" s="578" t="str">
        <f>IFERROR(_xlfn.XLOOKUP(F46,'[5]By Model'!$A:$A,'[5]By Model'!$B:$B),"")</f>
        <v/>
      </c>
      <c r="R46" s="579" t="str">
        <f>IFERROR(_xlfn.XLOOKUP(F46,'[4]By Model'!$A:$A,'[4]By Model'!$I:$I),"")</f>
        <v/>
      </c>
      <c r="S46" s="578" t="str">
        <f>IFERROR(_xlfn.XLOOKUP(F46,[6]Sum!$G:$G,[6]Sum!$AM:$AM),"")</f>
        <v/>
      </c>
      <c r="T46" s="576">
        <v>549</v>
      </c>
      <c r="U46" s="576">
        <f t="shared" si="0"/>
        <v>32940</v>
      </c>
      <c r="V46" s="580">
        <v>6</v>
      </c>
      <c r="W46" s="576">
        <f t="shared" si="1"/>
        <v>1647</v>
      </c>
      <c r="X46" s="576">
        <f t="shared" si="2"/>
        <v>31293</v>
      </c>
      <c r="Y46" s="581">
        <f t="shared" si="3"/>
        <v>-5.0000000000000044E-2</v>
      </c>
      <c r="Z46" s="577">
        <f t="shared" si="9"/>
        <v>0.23214230871919478</v>
      </c>
      <c r="AA46" s="577">
        <v>0.23697521988233267</v>
      </c>
      <c r="AB46" s="582"/>
      <c r="AC46" s="576">
        <v>549</v>
      </c>
      <c r="AD46" s="576">
        <f>(T46*((J46*12)-AF46))</f>
        <v>29646</v>
      </c>
      <c r="AE46" s="580">
        <v>149</v>
      </c>
      <c r="AF46" s="583">
        <v>6</v>
      </c>
      <c r="AG46" s="576">
        <f>AE46*AF46</f>
        <v>894</v>
      </c>
      <c r="AH46" s="709">
        <f t="shared" si="6"/>
        <v>28752</v>
      </c>
      <c r="AI46" s="709">
        <f t="shared" si="7"/>
        <v>-2541</v>
      </c>
      <c r="AJ46" s="577">
        <f t="shared" si="8"/>
        <v>-8.1200268430639447E-2</v>
      </c>
      <c r="AK46" s="582">
        <f t="shared" si="10"/>
        <v>0.19154217450387506</v>
      </c>
      <c r="AL46" s="582"/>
      <c r="AM46" s="580"/>
      <c r="AN46" s="576" t="e">
        <f>T46-#REF!</f>
        <v>#REF!</v>
      </c>
      <c r="AO46" s="580"/>
    </row>
    <row r="47" spans="2:41" s="436" customFormat="1" ht="14" hidden="1">
      <c r="B47" s="799">
        <v>2605</v>
      </c>
      <c r="C47" s="1391" t="s">
        <v>258</v>
      </c>
      <c r="D47" s="1391"/>
      <c r="E47" s="1391"/>
      <c r="F47" s="1391" t="s">
        <v>326</v>
      </c>
      <c r="G47" s="566" t="str">
        <f>F47</f>
        <v>STAGE301.ATHALBK</v>
      </c>
      <c r="H47" s="566"/>
      <c r="I47" s="566"/>
      <c r="J47" s="566">
        <v>3</v>
      </c>
      <c r="K47" s="566" t="s">
        <v>215</v>
      </c>
      <c r="L47" s="566"/>
      <c r="M47" s="712">
        <v>449</v>
      </c>
      <c r="N47" s="576">
        <f t="shared" si="11"/>
        <v>16164</v>
      </c>
      <c r="O47" s="566"/>
      <c r="P47" s="577">
        <f>IFERROR(_xlfn.XLOOKUP($F$47,'[4]By Model'!$A:$A,'[4]By Model'!$K:$K),"")</f>
        <v>0.18098894703671548</v>
      </c>
      <c r="Q47" s="578" t="str">
        <f>IFERROR(_xlfn.XLOOKUP(F47,'[5]By Model'!$A:$A,'[5]By Model'!$B:$B),"")</f>
        <v/>
      </c>
      <c r="R47" s="579">
        <f>IFERROR(_xlfn.XLOOKUP($F$47,'[4]By Model'!$A:$A,'[4]By Model'!$I:$I),"")</f>
        <v>422.25622575999995</v>
      </c>
      <c r="S47" s="578">
        <f>IFERROR(_xlfn.XLOOKUP(F47,[6]Sum!$G:$G,[6]Sum!$AM:$AM),"")</f>
        <v>39</v>
      </c>
      <c r="T47" s="576">
        <v>449</v>
      </c>
      <c r="U47" s="576">
        <f t="shared" si="0"/>
        <v>16164</v>
      </c>
      <c r="V47" s="580">
        <v>0</v>
      </c>
      <c r="W47" s="576">
        <f t="shared" si="1"/>
        <v>0</v>
      </c>
      <c r="X47" s="576">
        <f t="shared" si="2"/>
        <v>16164</v>
      </c>
      <c r="Y47" s="581">
        <f t="shared" si="3"/>
        <v>0</v>
      </c>
      <c r="Z47" s="577">
        <f t="shared" si="9"/>
        <v>0.18098894703671548</v>
      </c>
      <c r="AA47" s="577"/>
      <c r="AB47" s="582"/>
      <c r="AC47" s="576">
        <v>449</v>
      </c>
      <c r="AD47" s="576">
        <f t="shared" si="4"/>
        <v>16164</v>
      </c>
      <c r="AE47" s="581">
        <f>AD47/AD48</f>
        <v>0.90100334448160535</v>
      </c>
      <c r="AF47" s="580">
        <v>0</v>
      </c>
      <c r="AG47" s="576">
        <f t="shared" si="5"/>
        <v>0</v>
      </c>
      <c r="AH47" s="709">
        <f t="shared" si="6"/>
        <v>16164</v>
      </c>
      <c r="AI47" s="709">
        <f t="shared" si="7"/>
        <v>0</v>
      </c>
      <c r="AJ47" s="577">
        <f t="shared" si="8"/>
        <v>0</v>
      </c>
      <c r="AK47" s="582">
        <f t="shared" si="10"/>
        <v>0.18098894703671548</v>
      </c>
      <c r="AL47" s="582"/>
      <c r="AM47" s="580"/>
      <c r="AN47" s="576"/>
      <c r="AO47" s="580"/>
    </row>
    <row r="48" spans="2:41" s="436" customFormat="1" ht="14" hidden="1">
      <c r="B48" s="801">
        <v>2605</v>
      </c>
      <c r="C48" s="1393" t="s">
        <v>258</v>
      </c>
      <c r="D48" s="1393"/>
      <c r="E48" s="1393"/>
      <c r="F48" s="1393"/>
      <c r="G48" s="566"/>
      <c r="H48" s="566"/>
      <c r="I48" s="566"/>
      <c r="J48" s="566">
        <v>5</v>
      </c>
      <c r="K48" s="566" t="s">
        <v>215</v>
      </c>
      <c r="L48" s="566"/>
      <c r="M48" s="576">
        <v>299</v>
      </c>
      <c r="N48" s="576">
        <f t="shared" si="11"/>
        <v>17940</v>
      </c>
      <c r="O48" s="566"/>
      <c r="P48" s="577">
        <f>IFERROR(_xlfn.XLOOKUP($F$47,'[4]By Model'!$A:$A,'[4]By Model'!$K:$K),"")</f>
        <v>0.18098894703671548</v>
      </c>
      <c r="Q48" s="578" t="str">
        <f>IFERROR(_xlfn.XLOOKUP(F48,'[5]By Model'!$A:$A,'[5]By Model'!$B:$B),"")</f>
        <v/>
      </c>
      <c r="R48" s="579">
        <f>IFERROR(_xlfn.XLOOKUP($F$47,'[4]By Model'!$A:$A,'[4]By Model'!$I:$I),"")</f>
        <v>422.25622575999995</v>
      </c>
      <c r="S48" s="578" t="str">
        <f>IFERROR(_xlfn.XLOOKUP(F48,[6]Sum!$G:$G,[6]Sum!$AM:$AM),"")</f>
        <v/>
      </c>
      <c r="T48" s="576">
        <v>299</v>
      </c>
      <c r="U48" s="576">
        <f t="shared" si="0"/>
        <v>17940</v>
      </c>
      <c r="V48" s="580">
        <v>0</v>
      </c>
      <c r="W48" s="576">
        <f t="shared" si="1"/>
        <v>0</v>
      </c>
      <c r="X48" s="576">
        <f t="shared" si="2"/>
        <v>17940</v>
      </c>
      <c r="Y48" s="581">
        <f t="shared" si="3"/>
        <v>0</v>
      </c>
      <c r="Z48" s="577">
        <f t="shared" si="9"/>
        <v>0.18098894703671548</v>
      </c>
      <c r="AA48" s="577"/>
      <c r="AB48" s="582"/>
      <c r="AC48" s="576">
        <v>299</v>
      </c>
      <c r="AD48" s="576">
        <f t="shared" si="4"/>
        <v>17940</v>
      </c>
      <c r="AE48" s="711"/>
      <c r="AF48" s="583">
        <v>0</v>
      </c>
      <c r="AG48" s="576">
        <f t="shared" si="5"/>
        <v>0</v>
      </c>
      <c r="AH48" s="709">
        <f t="shared" si="6"/>
        <v>17940</v>
      </c>
      <c r="AI48" s="709">
        <f t="shared" si="7"/>
        <v>0</v>
      </c>
      <c r="AJ48" s="577">
        <f t="shared" si="8"/>
        <v>0</v>
      </c>
      <c r="AK48" s="582">
        <f t="shared" si="10"/>
        <v>0.18098894703671548</v>
      </c>
      <c r="AL48" s="582"/>
      <c r="AM48" s="580"/>
      <c r="AN48" s="576"/>
      <c r="AO48" s="580"/>
    </row>
    <row r="49" spans="2:41" s="436" customFormat="1" ht="14" hidden="1">
      <c r="B49" s="799">
        <v>2605</v>
      </c>
      <c r="C49" s="1391" t="s">
        <v>258</v>
      </c>
      <c r="D49" s="1391"/>
      <c r="E49" s="1391"/>
      <c r="F49" s="1391" t="s">
        <v>165</v>
      </c>
      <c r="G49" s="566" t="str">
        <f>F49</f>
        <v>GRAB.ATHALBK</v>
      </c>
      <c r="H49" s="566"/>
      <c r="I49" s="566"/>
      <c r="J49" s="566">
        <v>3</v>
      </c>
      <c r="K49" s="566" t="s">
        <v>215</v>
      </c>
      <c r="L49" s="566" t="s">
        <v>760</v>
      </c>
      <c r="M49" s="576">
        <v>149</v>
      </c>
      <c r="N49" s="576">
        <f t="shared" si="11"/>
        <v>5364</v>
      </c>
      <c r="O49" s="566" t="s">
        <v>760</v>
      </c>
      <c r="P49" s="577">
        <f>IFERROR(_xlfn.XLOOKUP($F$49,'[4]By Model'!$A:$A,'[4]By Model'!$K:$K),"")</f>
        <v>0.11654515202984891</v>
      </c>
      <c r="Q49" s="578">
        <f>IFERROR(_xlfn.XLOOKUP(F49,'[5]By Model'!$A:$A,'[5]By Model'!$B:$B),"")</f>
        <v>56</v>
      </c>
      <c r="R49" s="579">
        <f>IFERROR(_xlfn.XLOOKUP($F$49,'[4]By Model'!$A:$A,'[4]By Model'!$I:$I),"")</f>
        <v>142.28578915576924</v>
      </c>
      <c r="S49" s="578">
        <f>IFERROR(_xlfn.XLOOKUP(F49,[6]Sum!$G:$G,[6]Sum!$AM:$AM),"")</f>
        <v>23</v>
      </c>
      <c r="T49" s="576">
        <v>149</v>
      </c>
      <c r="U49" s="576">
        <f t="shared" si="0"/>
        <v>5364</v>
      </c>
      <c r="V49" s="580">
        <v>0</v>
      </c>
      <c r="W49" s="576">
        <f t="shared" si="1"/>
        <v>0</v>
      </c>
      <c r="X49" s="576">
        <f t="shared" si="2"/>
        <v>5364</v>
      </c>
      <c r="Y49" s="581">
        <f t="shared" si="3"/>
        <v>0</v>
      </c>
      <c r="Z49" s="577">
        <f t="shared" si="9"/>
        <v>0.11654515202984891</v>
      </c>
      <c r="AA49" s="577">
        <v>0.22028182925840759</v>
      </c>
      <c r="AB49" s="582"/>
      <c r="AC49" s="576">
        <v>149</v>
      </c>
      <c r="AD49" s="576">
        <f t="shared" si="4"/>
        <v>5364</v>
      </c>
      <c r="AE49" s="581">
        <f>AD49/AD50</f>
        <v>0.90303030303030307</v>
      </c>
      <c r="AF49" s="580">
        <v>0</v>
      </c>
      <c r="AG49" s="576">
        <f t="shared" si="5"/>
        <v>0</v>
      </c>
      <c r="AH49" s="709">
        <f t="shared" si="6"/>
        <v>5364</v>
      </c>
      <c r="AI49" s="709">
        <f t="shared" si="7"/>
        <v>0</v>
      </c>
      <c r="AJ49" s="577">
        <f t="shared" si="8"/>
        <v>0</v>
      </c>
      <c r="AK49" s="582">
        <f t="shared" si="10"/>
        <v>0.11654515202984891</v>
      </c>
      <c r="AL49" s="582"/>
      <c r="AM49" s="580" t="e">
        <f>VLOOKUP(F49,[7]PRM!E:R,14,FALSE)</f>
        <v>#N/A</v>
      </c>
      <c r="AN49" s="576" t="e">
        <f>T49-#REF!</f>
        <v>#REF!</v>
      </c>
      <c r="AO49" s="580"/>
    </row>
    <row r="50" spans="2:41" s="436" customFormat="1" ht="14" hidden="1">
      <c r="B50" s="801">
        <v>2605</v>
      </c>
      <c r="C50" s="1393" t="s">
        <v>258</v>
      </c>
      <c r="D50" s="1393"/>
      <c r="E50" s="1393"/>
      <c r="F50" s="1393"/>
      <c r="G50" s="566"/>
      <c r="H50" s="566"/>
      <c r="I50" s="566"/>
      <c r="J50" s="566">
        <v>5</v>
      </c>
      <c r="K50" s="566" t="s">
        <v>215</v>
      </c>
      <c r="L50" s="566" t="s">
        <v>760</v>
      </c>
      <c r="M50" s="576">
        <v>99</v>
      </c>
      <c r="N50" s="576">
        <f t="shared" si="11"/>
        <v>5940</v>
      </c>
      <c r="O50" s="566" t="s">
        <v>760</v>
      </c>
      <c r="P50" s="577">
        <f>IFERROR(_xlfn.XLOOKUP($F$49,'[4]By Model'!$A:$A,'[4]By Model'!$K:$K),"")</f>
        <v>0.11654515202984891</v>
      </c>
      <c r="Q50" s="578" t="str">
        <f>IFERROR(_xlfn.XLOOKUP(F50,'[5]By Model'!$A:$A,'[5]By Model'!$B:$B),"")</f>
        <v/>
      </c>
      <c r="R50" s="579">
        <f>IFERROR(_xlfn.XLOOKUP($F$49,'[4]By Model'!$A:$A,'[4]By Model'!$I:$I),"")</f>
        <v>142.28578915576924</v>
      </c>
      <c r="S50" s="578" t="str">
        <f>IFERROR(_xlfn.XLOOKUP(F50,[6]Sum!$G:$G,[6]Sum!$AM:$AM),"")</f>
        <v/>
      </c>
      <c r="T50" s="576">
        <v>99</v>
      </c>
      <c r="U50" s="576">
        <f t="shared" si="0"/>
        <v>5940</v>
      </c>
      <c r="V50" s="580">
        <v>0</v>
      </c>
      <c r="W50" s="576">
        <f t="shared" si="1"/>
        <v>0</v>
      </c>
      <c r="X50" s="576">
        <f t="shared" si="2"/>
        <v>5940</v>
      </c>
      <c r="Y50" s="581">
        <f t="shared" si="3"/>
        <v>0</v>
      </c>
      <c r="Z50" s="577">
        <f t="shared" si="9"/>
        <v>0.11654515202984891</v>
      </c>
      <c r="AA50" s="577">
        <v>0.22028182925840759</v>
      </c>
      <c r="AB50" s="582"/>
      <c r="AC50" s="576">
        <v>99</v>
      </c>
      <c r="AD50" s="576">
        <f t="shared" si="4"/>
        <v>5940</v>
      </c>
      <c r="AE50" s="711"/>
      <c r="AF50" s="583">
        <v>0</v>
      </c>
      <c r="AG50" s="576">
        <f t="shared" si="5"/>
        <v>0</v>
      </c>
      <c r="AH50" s="709">
        <f t="shared" si="6"/>
        <v>5940</v>
      </c>
      <c r="AI50" s="709">
        <f t="shared" si="7"/>
        <v>0</v>
      </c>
      <c r="AJ50" s="577">
        <f t="shared" si="8"/>
        <v>0</v>
      </c>
      <c r="AK50" s="582">
        <f t="shared" si="10"/>
        <v>0.11654515202984891</v>
      </c>
      <c r="AL50" s="582"/>
      <c r="AM50" s="580" t="e">
        <f>VLOOKUP(F50,[7]PRM!E:R,14,FALSE)</f>
        <v>#N/A</v>
      </c>
      <c r="AN50" s="576" t="e">
        <f>T50-#REF!</f>
        <v>#REF!</v>
      </c>
      <c r="AO50" s="580"/>
    </row>
    <row r="51" spans="2:41" s="436" customFormat="1" ht="14" hidden="1">
      <c r="B51" s="799">
        <v>2605</v>
      </c>
      <c r="C51" s="1391" t="s">
        <v>258</v>
      </c>
      <c r="D51" s="1391"/>
      <c r="E51" s="1391"/>
      <c r="F51" s="1391" t="s">
        <v>166</v>
      </c>
      <c r="G51" s="566" t="str">
        <f>F51</f>
        <v>BOUNCE.ATHALBK</v>
      </c>
      <c r="H51" s="566"/>
      <c r="I51" s="566"/>
      <c r="J51" s="566">
        <v>3</v>
      </c>
      <c r="K51" s="566" t="s">
        <v>215</v>
      </c>
      <c r="L51" s="566" t="s">
        <v>760</v>
      </c>
      <c r="M51" s="576">
        <v>249</v>
      </c>
      <c r="N51" s="576">
        <f t="shared" si="11"/>
        <v>8964</v>
      </c>
      <c r="O51" s="566" t="s">
        <v>760</v>
      </c>
      <c r="P51" s="577">
        <f>IFERROR(_xlfn.XLOOKUP($F$51,'[4]By Model'!$A:$A,'[4]By Model'!$K:$K),"")</f>
        <v>7.9914142527582235E-2</v>
      </c>
      <c r="Q51" s="578">
        <f>IFERROR(_xlfn.XLOOKUP(F51,'[5]By Model'!$A:$A,'[5]By Model'!$B:$B),"")</f>
        <v>72</v>
      </c>
      <c r="R51" s="579">
        <f>IFERROR(_xlfn.XLOOKUP($F$51,'[4]By Model'!$A:$A,'[4]By Model'!$I:$I),"")</f>
        <v>189.80189066481483</v>
      </c>
      <c r="S51" s="578">
        <f>IFERROR(_xlfn.XLOOKUP(F51,[6]Sum!$G:$G,[6]Sum!$AM:$AM),"")</f>
        <v>265</v>
      </c>
      <c r="T51" s="576">
        <v>199</v>
      </c>
      <c r="U51" s="576">
        <f t="shared" si="0"/>
        <v>7164</v>
      </c>
      <c r="V51" s="580">
        <v>0</v>
      </c>
      <c r="W51" s="576">
        <f t="shared" si="1"/>
        <v>0</v>
      </c>
      <c r="X51" s="576">
        <f t="shared" si="2"/>
        <v>7164</v>
      </c>
      <c r="Y51" s="581">
        <f t="shared" si="3"/>
        <v>-0.20080321285140568</v>
      </c>
      <c r="Z51" s="577">
        <f t="shared" si="9"/>
        <v>-2.0487463898120603E-2</v>
      </c>
      <c r="AA51" s="577">
        <v>0.22687412685168998</v>
      </c>
      <c r="AB51" s="582"/>
      <c r="AC51" s="576">
        <v>199</v>
      </c>
      <c r="AD51" s="576">
        <f t="shared" si="4"/>
        <v>7164</v>
      </c>
      <c r="AE51" s="581">
        <f>AD51/AD52</f>
        <v>0.92558139534883721</v>
      </c>
      <c r="AF51" s="580">
        <v>0</v>
      </c>
      <c r="AG51" s="576">
        <f t="shared" si="5"/>
        <v>0</v>
      </c>
      <c r="AH51" s="709">
        <f t="shared" si="6"/>
        <v>7164</v>
      </c>
      <c r="AI51" s="709">
        <f t="shared" si="7"/>
        <v>0</v>
      </c>
      <c r="AJ51" s="577">
        <f t="shared" si="8"/>
        <v>0</v>
      </c>
      <c r="AK51" s="582">
        <f t="shared" si="10"/>
        <v>-2.0487463898120603E-2</v>
      </c>
      <c r="AL51" s="582"/>
      <c r="AM51" s="580" t="e">
        <f>VLOOKUP(F51,[7]PRM!E:R,14,FALSE)</f>
        <v>#N/A</v>
      </c>
      <c r="AN51" s="576" t="e">
        <f>T51-#REF!</f>
        <v>#REF!</v>
      </c>
      <c r="AO51" s="580"/>
    </row>
    <row r="52" spans="2:41" s="436" customFormat="1" ht="14" hidden="1">
      <c r="B52" s="801">
        <v>2605</v>
      </c>
      <c r="C52" s="1393" t="s">
        <v>258</v>
      </c>
      <c r="D52" s="1393"/>
      <c r="E52" s="1393"/>
      <c r="F52" s="1393"/>
      <c r="G52" s="566"/>
      <c r="H52" s="566"/>
      <c r="I52" s="566"/>
      <c r="J52" s="566">
        <v>5</v>
      </c>
      <c r="K52" s="566" t="s">
        <v>215</v>
      </c>
      <c r="L52" s="566" t="s">
        <v>760</v>
      </c>
      <c r="M52" s="576">
        <v>129</v>
      </c>
      <c r="N52" s="576">
        <f t="shared" si="11"/>
        <v>7740</v>
      </c>
      <c r="O52" s="566" t="s">
        <v>760</v>
      </c>
      <c r="P52" s="577">
        <f>IFERROR(_xlfn.XLOOKUP($F$51,'[4]By Model'!$A:$A,'[4]By Model'!$K:$K),"")</f>
        <v>7.9914142527582235E-2</v>
      </c>
      <c r="Q52" s="578" t="str">
        <f>IFERROR(_xlfn.XLOOKUP(F52,'[5]By Model'!$A:$A,'[5]By Model'!$B:$B),"")</f>
        <v/>
      </c>
      <c r="R52" s="579">
        <f>IFERROR(_xlfn.XLOOKUP($F$51,'[4]By Model'!$A:$A,'[4]By Model'!$I:$I),"")</f>
        <v>189.80189066481483</v>
      </c>
      <c r="S52" s="578" t="str">
        <f>IFERROR(_xlfn.XLOOKUP(F52,[6]Sum!$G:$G,[6]Sum!$AM:$AM),"")</f>
        <v/>
      </c>
      <c r="T52" s="576">
        <v>129</v>
      </c>
      <c r="U52" s="576">
        <f t="shared" si="0"/>
        <v>7740</v>
      </c>
      <c r="V52" s="580">
        <v>0</v>
      </c>
      <c r="W52" s="576">
        <f t="shared" si="1"/>
        <v>0</v>
      </c>
      <c r="X52" s="576">
        <f t="shared" si="2"/>
        <v>7740</v>
      </c>
      <c r="Y52" s="581">
        <f t="shared" si="3"/>
        <v>0</v>
      </c>
      <c r="Z52" s="577">
        <f t="shared" si="9"/>
        <v>7.9914142527582235E-2</v>
      </c>
      <c r="AA52" s="577">
        <v>0.22687412685168998</v>
      </c>
      <c r="AB52" s="582"/>
      <c r="AC52" s="576">
        <v>129</v>
      </c>
      <c r="AD52" s="576">
        <f t="shared" si="4"/>
        <v>7740</v>
      </c>
      <c r="AE52" s="711"/>
      <c r="AF52" s="583">
        <v>0</v>
      </c>
      <c r="AG52" s="576">
        <f t="shared" si="5"/>
        <v>0</v>
      </c>
      <c r="AH52" s="709">
        <f t="shared" si="6"/>
        <v>7740</v>
      </c>
      <c r="AI52" s="709">
        <f t="shared" si="7"/>
        <v>0</v>
      </c>
      <c r="AJ52" s="577">
        <f t="shared" si="8"/>
        <v>0</v>
      </c>
      <c r="AK52" s="582">
        <f t="shared" si="10"/>
        <v>7.9914142527582235E-2</v>
      </c>
      <c r="AL52" s="582"/>
      <c r="AM52" s="580" t="e">
        <f>VLOOKUP(F52,[7]PRM!E:R,14,FALSE)</f>
        <v>#N/A</v>
      </c>
      <c r="AN52" s="576" t="e">
        <f>T52-#REF!</f>
        <v>#REF!</v>
      </c>
      <c r="AO52" s="580"/>
    </row>
    <row r="53" spans="2:41" s="436" customFormat="1" ht="14" hidden="1">
      <c r="B53" s="799">
        <v>2605</v>
      </c>
      <c r="C53" s="1391" t="s">
        <v>258</v>
      </c>
      <c r="D53" s="1391"/>
      <c r="E53" s="1391"/>
      <c r="F53" s="1394" t="s">
        <v>253</v>
      </c>
      <c r="G53" s="566" t="str">
        <f>F53</f>
        <v>S95TR.DTHALLK</v>
      </c>
      <c r="H53" s="566"/>
      <c r="I53" s="566"/>
      <c r="J53" s="566">
        <v>3</v>
      </c>
      <c r="K53" s="566" t="s">
        <v>215</v>
      </c>
      <c r="L53" s="566" t="s">
        <v>760</v>
      </c>
      <c r="M53" s="576">
        <v>849</v>
      </c>
      <c r="N53" s="576">
        <f t="shared" si="11"/>
        <v>30564</v>
      </c>
      <c r="O53" s="566" t="s">
        <v>760</v>
      </c>
      <c r="P53" s="577">
        <f>IFERROR(_xlfn.XLOOKUP($F$53,'[4]By Model'!$A:$A,'[4]By Model'!$K:$K),"")</f>
        <v>-5.126087899795792E-2</v>
      </c>
      <c r="Q53" s="578">
        <f>IFERROR(_xlfn.XLOOKUP(F53,'[5]By Model'!$A:$A,'[5]By Model'!$B:$B),"")</f>
        <v>5</v>
      </c>
      <c r="R53" s="579">
        <f>IFERROR(_xlfn.XLOOKUP($F$53,'[4]By Model'!$A:$A,'[4]By Model'!$I:$I),"")</f>
        <v>538.51397643999996</v>
      </c>
      <c r="S53" s="578">
        <f>IFERROR(_xlfn.XLOOKUP(F53,[6]Sum!$G:$G,[6]Sum!$AM:$AM),"")</f>
        <v>22</v>
      </c>
      <c r="T53" s="710">
        <v>699</v>
      </c>
      <c r="U53" s="576">
        <f t="shared" si="0"/>
        <v>25164</v>
      </c>
      <c r="V53" s="580">
        <v>0</v>
      </c>
      <c r="W53" s="576">
        <f t="shared" si="1"/>
        <v>0</v>
      </c>
      <c r="X53" s="576">
        <f t="shared" si="2"/>
        <v>25164</v>
      </c>
      <c r="Y53" s="581">
        <f t="shared" si="3"/>
        <v>-0.17667844522968201</v>
      </c>
      <c r="Z53" s="577">
        <f t="shared" si="9"/>
        <v>-0.13960010161279893</v>
      </c>
      <c r="AA53" s="577"/>
      <c r="AB53" s="582"/>
      <c r="AC53" s="576">
        <v>699</v>
      </c>
      <c r="AD53" s="576">
        <f t="shared" si="4"/>
        <v>25164</v>
      </c>
      <c r="AE53" s="581">
        <f>AD53/AD54</f>
        <v>1.0511278195488722</v>
      </c>
      <c r="AF53" s="580">
        <v>0</v>
      </c>
      <c r="AG53" s="576">
        <f t="shared" si="5"/>
        <v>0</v>
      </c>
      <c r="AH53" s="709">
        <f t="shared" si="6"/>
        <v>25164</v>
      </c>
      <c r="AI53" s="709">
        <f t="shared" si="7"/>
        <v>0</v>
      </c>
      <c r="AJ53" s="577">
        <f t="shared" si="8"/>
        <v>0</v>
      </c>
      <c r="AK53" s="582">
        <f t="shared" si="10"/>
        <v>-0.13960010161279893</v>
      </c>
      <c r="AL53" s="582"/>
      <c r="AM53" s="580"/>
      <c r="AN53" s="576"/>
      <c r="AO53" s="580"/>
    </row>
    <row r="54" spans="2:41" s="436" customFormat="1" ht="14" hidden="1">
      <c r="B54" s="801">
        <v>2605</v>
      </c>
      <c r="C54" s="1393" t="s">
        <v>258</v>
      </c>
      <c r="D54" s="1393"/>
      <c r="E54" s="1393"/>
      <c r="F54" s="1396"/>
      <c r="G54" s="566"/>
      <c r="H54" s="566"/>
      <c r="I54" s="566"/>
      <c r="J54" s="566">
        <v>5</v>
      </c>
      <c r="K54" s="566" t="s">
        <v>215</v>
      </c>
      <c r="L54" s="566" t="s">
        <v>760</v>
      </c>
      <c r="M54" s="576">
        <v>329</v>
      </c>
      <c r="N54" s="576">
        <f t="shared" si="11"/>
        <v>19740</v>
      </c>
      <c r="O54" s="566" t="s">
        <v>760</v>
      </c>
      <c r="P54" s="577">
        <f>IFERROR(_xlfn.XLOOKUP($F$53,'[4]By Model'!$A:$A,'[4]By Model'!$K:$K),"")</f>
        <v>-5.126087899795792E-2</v>
      </c>
      <c r="Q54" s="578" t="str">
        <f>IFERROR(_xlfn.XLOOKUP(F54,'[5]By Model'!$A:$A,'[5]By Model'!$B:$B),"")</f>
        <v/>
      </c>
      <c r="R54" s="579">
        <f>IFERROR(_xlfn.XLOOKUP($F$53,'[4]By Model'!$A:$A,'[4]By Model'!$I:$I),"")</f>
        <v>538.51397643999996</v>
      </c>
      <c r="S54" s="578" t="str">
        <f>IFERROR(_xlfn.XLOOKUP(F54,[6]Sum!$G:$G,[6]Sum!$AM:$AM),"")</f>
        <v/>
      </c>
      <c r="T54" s="576">
        <v>399</v>
      </c>
      <c r="U54" s="576">
        <f t="shared" si="0"/>
        <v>23940</v>
      </c>
      <c r="V54" s="580">
        <v>0</v>
      </c>
      <c r="W54" s="576">
        <f t="shared" si="1"/>
        <v>0</v>
      </c>
      <c r="X54" s="576">
        <f t="shared" si="2"/>
        <v>23940</v>
      </c>
      <c r="Y54" s="581">
        <f t="shared" si="3"/>
        <v>0.2127659574468086</v>
      </c>
      <c r="Z54" s="577">
        <f t="shared" si="9"/>
        <v>5.5122099725446377E-2</v>
      </c>
      <c r="AA54" s="577"/>
      <c r="AB54" s="582"/>
      <c r="AC54" s="576">
        <v>399</v>
      </c>
      <c r="AD54" s="576">
        <f t="shared" si="4"/>
        <v>23940</v>
      </c>
      <c r="AE54" s="711"/>
      <c r="AF54" s="583">
        <v>0</v>
      </c>
      <c r="AG54" s="576">
        <f t="shared" si="5"/>
        <v>0</v>
      </c>
      <c r="AH54" s="709">
        <f t="shared" si="6"/>
        <v>23940</v>
      </c>
      <c r="AI54" s="709">
        <f t="shared" si="7"/>
        <v>0</v>
      </c>
      <c r="AJ54" s="577">
        <f t="shared" si="8"/>
        <v>0</v>
      </c>
      <c r="AK54" s="582">
        <f t="shared" si="10"/>
        <v>5.5122099725446377E-2</v>
      </c>
      <c r="AL54" s="582"/>
      <c r="AM54" s="580"/>
      <c r="AN54" s="576"/>
      <c r="AO54" s="580"/>
    </row>
    <row r="55" spans="2:41" s="436" customFormat="1" ht="14" hidden="1">
      <c r="B55" s="799">
        <v>2605</v>
      </c>
      <c r="C55" s="1391" t="s">
        <v>258</v>
      </c>
      <c r="D55" s="1391"/>
      <c r="E55" s="1391"/>
      <c r="F55" s="1394" t="s">
        <v>257</v>
      </c>
      <c r="G55" s="566" t="str">
        <f>F55</f>
        <v>S70TY.ATHALLD</v>
      </c>
      <c r="H55" s="566"/>
      <c r="I55" s="566"/>
      <c r="J55" s="566">
        <v>3</v>
      </c>
      <c r="K55" s="566" t="s">
        <v>215</v>
      </c>
      <c r="L55" s="566" t="s">
        <v>760</v>
      </c>
      <c r="M55" s="576">
        <v>349</v>
      </c>
      <c r="N55" s="576">
        <f t="shared" si="11"/>
        <v>12564</v>
      </c>
      <c r="O55" s="566" t="s">
        <v>760</v>
      </c>
      <c r="P55" s="577">
        <f>IFERROR(_xlfn.XLOOKUP($F$55,'[4]By Model'!$A:$A,'[4]By Model'!$K:$K),"")</f>
        <v>-6.5925813281391202E-2</v>
      </c>
      <c r="Q55" s="578">
        <f>IFERROR(_xlfn.XLOOKUP(F55,'[5]By Model'!$A:$A,'[5]By Model'!$B:$B),"")</f>
        <v>13</v>
      </c>
      <c r="R55" s="579">
        <f>IFERROR(_xlfn.XLOOKUP($F$55,'[4]By Model'!$A:$A,'[4]By Model'!$I:$I),"")</f>
        <v>234.94548731111112</v>
      </c>
      <c r="S55" s="578" t="str">
        <f>IFERROR(_xlfn.XLOOKUP(F55,[6]Sum!$G:$G,[6]Sum!$AM:$AM),"")</f>
        <v/>
      </c>
      <c r="T55" s="710">
        <v>449</v>
      </c>
      <c r="U55" s="576">
        <f t="shared" si="0"/>
        <v>16164</v>
      </c>
      <c r="V55" s="580">
        <v>0</v>
      </c>
      <c r="W55" s="576">
        <f t="shared" si="1"/>
        <v>0</v>
      </c>
      <c r="X55" s="576">
        <f t="shared" si="2"/>
        <v>16164</v>
      </c>
      <c r="Y55" s="581">
        <f t="shared" si="3"/>
        <v>0.28653295128939837</v>
      </c>
      <c r="Z55" s="577">
        <f t="shared" si="9"/>
        <v>7.7340662363307985E-2</v>
      </c>
      <c r="AA55" s="577"/>
      <c r="AB55" s="582"/>
      <c r="AC55" s="576">
        <v>449</v>
      </c>
      <c r="AD55" s="576">
        <f t="shared" si="4"/>
        <v>16164</v>
      </c>
      <c r="AE55" s="581">
        <f>AD55/AD56</f>
        <v>1.5940828402366864</v>
      </c>
      <c r="AF55" s="580">
        <v>0</v>
      </c>
      <c r="AG55" s="576">
        <f t="shared" si="5"/>
        <v>0</v>
      </c>
      <c r="AH55" s="709">
        <f t="shared" si="6"/>
        <v>16164</v>
      </c>
      <c r="AI55" s="709">
        <f t="shared" si="7"/>
        <v>0</v>
      </c>
      <c r="AJ55" s="577">
        <f t="shared" si="8"/>
        <v>0</v>
      </c>
      <c r="AK55" s="582">
        <f t="shared" si="10"/>
        <v>7.7340662363307985E-2</v>
      </c>
      <c r="AL55" s="582"/>
      <c r="AM55" s="580"/>
      <c r="AN55" s="576"/>
      <c r="AO55" s="580"/>
    </row>
    <row r="56" spans="2:41" s="436" customFormat="1" ht="14" hidden="1">
      <c r="B56" s="801">
        <v>2605</v>
      </c>
      <c r="C56" s="1393" t="s">
        <v>258</v>
      </c>
      <c r="D56" s="1393"/>
      <c r="E56" s="1393"/>
      <c r="F56" s="1396"/>
      <c r="G56" s="566"/>
      <c r="H56" s="566"/>
      <c r="I56" s="566"/>
      <c r="J56" s="566">
        <v>5</v>
      </c>
      <c r="K56" s="566" t="s">
        <v>215</v>
      </c>
      <c r="L56" s="566" t="s">
        <v>760</v>
      </c>
      <c r="M56" s="576">
        <v>169</v>
      </c>
      <c r="N56" s="576">
        <f t="shared" si="11"/>
        <v>10140</v>
      </c>
      <c r="O56" s="566" t="s">
        <v>760</v>
      </c>
      <c r="P56" s="577">
        <f>IFERROR(_xlfn.XLOOKUP($F$55,'[4]By Model'!$A:$A,'[4]By Model'!$K:$K),"")</f>
        <v>-6.5925813281391202E-2</v>
      </c>
      <c r="Q56" s="578" t="str">
        <f>IFERROR(_xlfn.XLOOKUP(F56,'[5]By Model'!$A:$A,'[5]By Model'!$B:$B),"")</f>
        <v/>
      </c>
      <c r="R56" s="579">
        <f>IFERROR(_xlfn.XLOOKUP($F$55,'[4]By Model'!$A:$A,'[4]By Model'!$I:$I),"")</f>
        <v>234.94548731111112</v>
      </c>
      <c r="S56" s="578" t="str">
        <f>IFERROR(_xlfn.XLOOKUP(F56,[6]Sum!$G:$G,[6]Sum!$AM:$AM),"")</f>
        <v/>
      </c>
      <c r="T56" s="576">
        <v>169</v>
      </c>
      <c r="U56" s="576">
        <f t="shared" si="0"/>
        <v>10140</v>
      </c>
      <c r="V56" s="580">
        <v>0</v>
      </c>
      <c r="W56" s="576">
        <f t="shared" si="1"/>
        <v>0</v>
      </c>
      <c r="X56" s="576">
        <f t="shared" si="2"/>
        <v>10140</v>
      </c>
      <c r="Y56" s="581">
        <f t="shared" si="3"/>
        <v>0</v>
      </c>
      <c r="Z56" s="577">
        <f t="shared" si="9"/>
        <v>-6.5925813281391202E-2</v>
      </c>
      <c r="AA56" s="577"/>
      <c r="AB56" s="582"/>
      <c r="AC56" s="576">
        <v>169</v>
      </c>
      <c r="AD56" s="576">
        <f t="shared" si="4"/>
        <v>10140</v>
      </c>
      <c r="AE56" s="711"/>
      <c r="AF56" s="583">
        <v>0</v>
      </c>
      <c r="AG56" s="576">
        <f t="shared" si="5"/>
        <v>0</v>
      </c>
      <c r="AH56" s="709">
        <f t="shared" si="6"/>
        <v>10140</v>
      </c>
      <c r="AI56" s="709">
        <f t="shared" si="7"/>
        <v>0</v>
      </c>
      <c r="AJ56" s="577">
        <f t="shared" si="8"/>
        <v>0</v>
      </c>
      <c r="AK56" s="582">
        <f t="shared" si="10"/>
        <v>-6.5925813281391202E-2</v>
      </c>
      <c r="AL56" s="582"/>
      <c r="AM56" s="580"/>
      <c r="AN56" s="576"/>
      <c r="AO56" s="580"/>
    </row>
    <row r="57" spans="2:41" s="436" customFormat="1" ht="14" hidden="1">
      <c r="B57" s="566">
        <v>2605</v>
      </c>
      <c r="C57" s="566" t="s">
        <v>290</v>
      </c>
      <c r="D57" s="566"/>
      <c r="E57" s="566"/>
      <c r="F57" s="566" t="s">
        <v>96</v>
      </c>
      <c r="G57" s="566" t="str">
        <f>F57</f>
        <v>MS4295DIS.BBKPETH</v>
      </c>
      <c r="H57" s="566"/>
      <c r="I57" s="566"/>
      <c r="J57" s="566">
        <v>6</v>
      </c>
      <c r="K57" s="566" t="s">
        <v>215</v>
      </c>
      <c r="L57" s="566" t="s">
        <v>760</v>
      </c>
      <c r="M57" s="576">
        <v>89</v>
      </c>
      <c r="N57" s="576">
        <f t="shared" si="11"/>
        <v>6408</v>
      </c>
      <c r="O57" s="566" t="s">
        <v>760</v>
      </c>
      <c r="P57" s="577">
        <f>IFERROR(_xlfn.XLOOKUP(F57,'[4]By Model'!$A:$A,'[4]By Model'!$K:$K),"")</f>
        <v>0.19844973181676684</v>
      </c>
      <c r="Q57" s="578">
        <f>IFERROR(_xlfn.XLOOKUP(F57,'[5]By Model'!$A:$A,'[5]By Model'!$B:$B),"")</f>
        <v>47</v>
      </c>
      <c r="R57" s="579">
        <f>IFERROR(_xlfn.XLOOKUP(F57,'[4]By Model'!$A:$A,'[4]By Model'!$I:$I),"")</f>
        <v>134.18819370909091</v>
      </c>
      <c r="S57" s="578" t="str">
        <f>IFERROR(_xlfn.XLOOKUP(F57,[6]Sum!$G:$G,[6]Sum!$AM:$AM),"")</f>
        <v/>
      </c>
      <c r="T57" s="576">
        <v>69</v>
      </c>
      <c r="U57" s="576">
        <f t="shared" si="0"/>
        <v>4968</v>
      </c>
      <c r="V57" s="580">
        <v>0</v>
      </c>
      <c r="W57" s="576">
        <f t="shared" si="1"/>
        <v>0</v>
      </c>
      <c r="X57" s="576">
        <f t="shared" si="2"/>
        <v>4968</v>
      </c>
      <c r="Y57" s="581">
        <f t="shared" si="3"/>
        <v>-0.2247191011235955</v>
      </c>
      <c r="Z57" s="577">
        <f t="shared" si="9"/>
        <v>8.6090181254969089E-2</v>
      </c>
      <c r="AA57" s="577">
        <v>0.14245193035910853</v>
      </c>
      <c r="AB57" s="582"/>
      <c r="AC57" s="576">
        <v>89</v>
      </c>
      <c r="AD57" s="576">
        <f t="shared" si="4"/>
        <v>6408</v>
      </c>
      <c r="AE57" s="576"/>
      <c r="AF57" s="583">
        <v>0</v>
      </c>
      <c r="AG57" s="576">
        <f t="shared" si="5"/>
        <v>0</v>
      </c>
      <c r="AH57" s="709">
        <f t="shared" si="6"/>
        <v>6408</v>
      </c>
      <c r="AI57" s="709">
        <f t="shared" si="7"/>
        <v>1440</v>
      </c>
      <c r="AJ57" s="577">
        <f t="shared" si="8"/>
        <v>0.28985507246376813</v>
      </c>
      <c r="AK57" s="582">
        <f t="shared" si="10"/>
        <v>0.23101771748685315</v>
      </c>
      <c r="AL57" s="582"/>
      <c r="AM57" s="580" t="e">
        <f>VLOOKUP(F57,[7]PRM!E:R,14,FALSE)</f>
        <v>#N/A</v>
      </c>
      <c r="AN57" s="576" t="e">
        <f>T57-#REF!</f>
        <v>#REF!</v>
      </c>
      <c r="AO57" s="580"/>
    </row>
    <row r="58" spans="2:41" s="436" customFormat="1" ht="14" hidden="1">
      <c r="B58" s="799">
        <v>2605</v>
      </c>
      <c r="C58" s="1391" t="s">
        <v>291</v>
      </c>
      <c r="D58" s="1391"/>
      <c r="E58" s="1391"/>
      <c r="F58" s="1391" t="s">
        <v>74</v>
      </c>
      <c r="G58" s="566" t="str">
        <f t="shared" ref="G58:G64" si="21">F58</f>
        <v>DFC335HM.ABMPETH</v>
      </c>
      <c r="H58" s="566"/>
      <c r="I58" s="566"/>
      <c r="J58" s="566">
        <v>3</v>
      </c>
      <c r="K58" s="566" t="s">
        <v>286</v>
      </c>
      <c r="L58" s="566">
        <v>12</v>
      </c>
      <c r="M58" s="576">
        <v>1349</v>
      </c>
      <c r="N58" s="576">
        <f t="shared" si="11"/>
        <v>48564</v>
      </c>
      <c r="O58" s="566">
        <v>12</v>
      </c>
      <c r="P58" s="577">
        <f>IFERROR(_xlfn.XLOOKUP($F$58,'[4]By Model'!$A:$A,'[4]By Model'!$K:$K),"")</f>
        <v>-6.0183988959468951E-3</v>
      </c>
      <c r="Q58" s="578">
        <f>IFERROR(_xlfn.XLOOKUP(F58,'[5]By Model'!$A:$A,'[5]By Model'!$B:$B),"")</f>
        <v>6</v>
      </c>
      <c r="R58" s="579">
        <f>IFERROR(_xlfn.XLOOKUP($F$58,'[4]By Model'!$A:$A,'[4]By Model'!$I:$I),"")</f>
        <v>793.71839713333338</v>
      </c>
      <c r="S58" s="578" t="str">
        <f>IFERROR(_xlfn.XLOOKUP(F58,[6]Sum!$G:$G,[6]Sum!$AM:$AM),"")</f>
        <v/>
      </c>
      <c r="T58" s="576">
        <v>1149</v>
      </c>
      <c r="U58" s="576">
        <f t="shared" si="0"/>
        <v>41364</v>
      </c>
      <c r="V58" s="580">
        <v>0</v>
      </c>
      <c r="W58" s="576">
        <f t="shared" si="1"/>
        <v>0</v>
      </c>
      <c r="X58" s="576">
        <f t="shared" si="2"/>
        <v>41364</v>
      </c>
      <c r="Y58" s="581">
        <f t="shared" si="3"/>
        <v>-0.14825796886582654</v>
      </c>
      <c r="Z58" s="577">
        <f t="shared" si="9"/>
        <v>-8.0147383328860164E-2</v>
      </c>
      <c r="AA58" s="577">
        <v>0.21724137931034487</v>
      </c>
      <c r="AB58" s="582"/>
      <c r="AC58" s="576">
        <v>1099</v>
      </c>
      <c r="AD58" s="576">
        <f t="shared" si="4"/>
        <v>39564</v>
      </c>
      <c r="AE58" s="581">
        <f>AD58/AD60</f>
        <v>0.73348164627363732</v>
      </c>
      <c r="AF58" s="580">
        <v>0</v>
      </c>
      <c r="AG58" s="576">
        <f t="shared" si="5"/>
        <v>0</v>
      </c>
      <c r="AH58" s="709">
        <f t="shared" si="6"/>
        <v>39564</v>
      </c>
      <c r="AI58" s="709">
        <f t="shared" si="7"/>
        <v>-1800</v>
      </c>
      <c r="AJ58" s="577">
        <f t="shared" si="8"/>
        <v>-4.3516100957354219E-2</v>
      </c>
      <c r="AK58" s="582">
        <f t="shared" si="10"/>
        <v>-0.10190543380753728</v>
      </c>
      <c r="AL58" s="582"/>
      <c r="AM58" s="580" t="e">
        <f>VLOOKUP(F58,[7]PRM!E:R,14,FALSE)</f>
        <v>#N/A</v>
      </c>
      <c r="AN58" s="576" t="e">
        <f>T58-#REF!</f>
        <v>#REF!</v>
      </c>
      <c r="AO58" s="580"/>
    </row>
    <row r="59" spans="2:41" s="436" customFormat="1" ht="14" hidden="1">
      <c r="B59" s="800">
        <v>2605</v>
      </c>
      <c r="C59" s="1392" t="s">
        <v>291</v>
      </c>
      <c r="D59" s="1392"/>
      <c r="E59" s="1392"/>
      <c r="F59" s="1392"/>
      <c r="G59" s="566" t="s">
        <v>74</v>
      </c>
      <c r="H59" s="566"/>
      <c r="I59" s="566"/>
      <c r="J59" s="566">
        <v>3</v>
      </c>
      <c r="K59" s="566" t="s">
        <v>288</v>
      </c>
      <c r="L59" s="566">
        <v>12</v>
      </c>
      <c r="M59" s="576">
        <v>1199</v>
      </c>
      <c r="N59" s="576">
        <f t="shared" si="11"/>
        <v>43164</v>
      </c>
      <c r="O59" s="566">
        <v>12</v>
      </c>
      <c r="P59" s="577">
        <f>IFERROR(_xlfn.XLOOKUP($F$58,'[4]By Model'!$A:$A,'[4]By Model'!$K:$K),"")</f>
        <v>-6.0183988959468951E-3</v>
      </c>
      <c r="Q59" s="578" t="str">
        <f>IFERROR(_xlfn.XLOOKUP(F59,'[5]By Model'!$A:$A,'[5]By Model'!$B:$B),"")</f>
        <v/>
      </c>
      <c r="R59" s="579">
        <f>IFERROR(_xlfn.XLOOKUP($F$58,'[4]By Model'!$A:$A,'[4]By Model'!$I:$I),"")</f>
        <v>793.71839713333338</v>
      </c>
      <c r="S59" s="578" t="str">
        <f>IFERROR(_xlfn.XLOOKUP(F59,[6]Sum!$G:$G,[6]Sum!$AM:$AM),"")</f>
        <v/>
      </c>
      <c r="T59" s="576">
        <v>1099</v>
      </c>
      <c r="U59" s="576">
        <f t="shared" si="0"/>
        <v>39564</v>
      </c>
      <c r="V59" s="580">
        <v>0</v>
      </c>
      <c r="W59" s="576">
        <f t="shared" si="1"/>
        <v>0</v>
      </c>
      <c r="X59" s="576">
        <f t="shared" si="2"/>
        <v>39564</v>
      </c>
      <c r="Y59" s="581">
        <f t="shared" si="3"/>
        <v>-8.3402835696413713E-2</v>
      </c>
      <c r="Z59" s="577">
        <f t="shared" si="9"/>
        <v>-4.7719816744153751E-2</v>
      </c>
      <c r="AA59" s="577">
        <v>0.21724137931034487</v>
      </c>
      <c r="AB59" s="582"/>
      <c r="AC59" s="576">
        <v>1099</v>
      </c>
      <c r="AD59" s="576">
        <f t="shared" si="4"/>
        <v>39564</v>
      </c>
      <c r="AE59" s="711">
        <f>AD59/AD61</f>
        <v>0.77667844522968199</v>
      </c>
      <c r="AF59" s="580">
        <v>0</v>
      </c>
      <c r="AG59" s="576">
        <f t="shared" si="5"/>
        <v>0</v>
      </c>
      <c r="AH59" s="709">
        <f t="shared" si="6"/>
        <v>39564</v>
      </c>
      <c r="AI59" s="709">
        <f t="shared" si="7"/>
        <v>0</v>
      </c>
      <c r="AJ59" s="577">
        <f t="shared" si="8"/>
        <v>0</v>
      </c>
      <c r="AK59" s="582">
        <f t="shared" si="10"/>
        <v>-4.7719816744153751E-2</v>
      </c>
      <c r="AL59" s="582"/>
      <c r="AM59" s="580" t="e">
        <f>VLOOKUP(F59,[7]PRM!E:R,14,FALSE)</f>
        <v>#N/A</v>
      </c>
      <c r="AN59" s="576" t="e">
        <f>T59-#REF!</f>
        <v>#REF!</v>
      </c>
      <c r="AO59" s="580"/>
    </row>
    <row r="60" spans="2:41" s="436" customFormat="1" ht="14" hidden="1">
      <c r="B60" s="800">
        <v>2605</v>
      </c>
      <c r="C60" s="1392" t="s">
        <v>291</v>
      </c>
      <c r="D60" s="1392"/>
      <c r="E60" s="1392"/>
      <c r="F60" s="1392"/>
      <c r="G60" s="566" t="s">
        <v>74</v>
      </c>
      <c r="H60" s="566"/>
      <c r="I60" s="566"/>
      <c r="J60" s="566">
        <v>5</v>
      </c>
      <c r="K60" s="566" t="s">
        <v>286</v>
      </c>
      <c r="L60" s="566">
        <v>12</v>
      </c>
      <c r="M60" s="576">
        <v>899</v>
      </c>
      <c r="N60" s="576">
        <f t="shared" si="11"/>
        <v>53940</v>
      </c>
      <c r="O60" s="566">
        <v>12</v>
      </c>
      <c r="P60" s="577">
        <f>IFERROR(_xlfn.XLOOKUP($F$58,'[4]By Model'!$A:$A,'[4]By Model'!$K:$K),"")</f>
        <v>-6.0183988959468951E-3</v>
      </c>
      <c r="Q60" s="578" t="str">
        <f>IFERROR(_xlfn.XLOOKUP(F60,'[5]By Model'!$A:$A,'[5]By Model'!$B:$B),"")</f>
        <v/>
      </c>
      <c r="R60" s="579">
        <f>IFERROR(_xlfn.XLOOKUP($F$58,'[4]By Model'!$A:$A,'[4]By Model'!$I:$I),"")</f>
        <v>793.71839713333338</v>
      </c>
      <c r="S60" s="578" t="str">
        <f>IFERROR(_xlfn.XLOOKUP(F60,[6]Sum!$G:$G,[6]Sum!$AM:$AM),"")</f>
        <v/>
      </c>
      <c r="T60" s="576">
        <v>899</v>
      </c>
      <c r="U60" s="576">
        <f t="shared" si="0"/>
        <v>53940</v>
      </c>
      <c r="V60" s="580">
        <v>24</v>
      </c>
      <c r="W60" s="576">
        <f t="shared" si="1"/>
        <v>10788</v>
      </c>
      <c r="X60" s="576">
        <f t="shared" si="2"/>
        <v>43152</v>
      </c>
      <c r="Y60" s="581">
        <f t="shared" si="3"/>
        <v>-0.19999999999999996</v>
      </c>
      <c r="Z60" s="577">
        <f t="shared" si="9"/>
        <v>-0.10601839889594687</v>
      </c>
      <c r="AA60" s="577">
        <v>0.21724137931034487</v>
      </c>
      <c r="AB60" s="582"/>
      <c r="AC60" s="576">
        <v>899</v>
      </c>
      <c r="AD60" s="576">
        <f t="shared" si="4"/>
        <v>53940</v>
      </c>
      <c r="AE60" s="711"/>
      <c r="AF60" s="583">
        <v>12</v>
      </c>
      <c r="AG60" s="576">
        <f t="shared" si="5"/>
        <v>5394</v>
      </c>
      <c r="AH60" s="709">
        <f t="shared" si="6"/>
        <v>48546</v>
      </c>
      <c r="AI60" s="709">
        <f t="shared" si="7"/>
        <v>5394</v>
      </c>
      <c r="AJ60" s="577">
        <f t="shared" si="8"/>
        <v>0.125</v>
      </c>
      <c r="AK60" s="582">
        <f t="shared" si="10"/>
        <v>-4.3518398895946872E-2</v>
      </c>
      <c r="AL60" s="582"/>
      <c r="AM60" s="580" t="e">
        <f>VLOOKUP(F60,[7]PRM!E:R,14,FALSE)</f>
        <v>#N/A</v>
      </c>
      <c r="AN60" s="576" t="e">
        <f>T60-#REF!</f>
        <v>#REF!</v>
      </c>
      <c r="AO60" s="580"/>
    </row>
    <row r="61" spans="2:41" s="436" customFormat="1" ht="14" hidden="1">
      <c r="B61" s="800">
        <v>2605</v>
      </c>
      <c r="C61" s="1392" t="s">
        <v>291</v>
      </c>
      <c r="D61" s="1392"/>
      <c r="E61" s="1392"/>
      <c r="F61" s="1392"/>
      <c r="G61" s="566" t="s">
        <v>74</v>
      </c>
      <c r="H61" s="566"/>
      <c r="I61" s="566"/>
      <c r="J61" s="566">
        <v>5</v>
      </c>
      <c r="K61" s="566" t="s">
        <v>288</v>
      </c>
      <c r="L61" s="566">
        <v>12</v>
      </c>
      <c r="M61" s="576">
        <v>849</v>
      </c>
      <c r="N61" s="576">
        <f t="shared" si="11"/>
        <v>50940</v>
      </c>
      <c r="O61" s="566">
        <v>12</v>
      </c>
      <c r="P61" s="577">
        <f>IFERROR(_xlfn.XLOOKUP($F$58,'[4]By Model'!$A:$A,'[4]By Model'!$K:$K),"")</f>
        <v>-6.0183988959468951E-3</v>
      </c>
      <c r="Q61" s="578" t="str">
        <f>IFERROR(_xlfn.XLOOKUP(F61,'[5]By Model'!$A:$A,'[5]By Model'!$B:$B),"")</f>
        <v/>
      </c>
      <c r="R61" s="579">
        <f>IFERROR(_xlfn.XLOOKUP($F$58,'[4]By Model'!$A:$A,'[4]By Model'!$I:$I),"")</f>
        <v>793.71839713333338</v>
      </c>
      <c r="S61" s="578" t="str">
        <f>IFERROR(_xlfn.XLOOKUP(F61,[6]Sum!$G:$G,[6]Sum!$AM:$AM),"")</f>
        <v/>
      </c>
      <c r="T61" s="576">
        <v>849</v>
      </c>
      <c r="U61" s="576">
        <f t="shared" si="0"/>
        <v>50940</v>
      </c>
      <c r="V61" s="580">
        <v>24</v>
      </c>
      <c r="W61" s="576">
        <f t="shared" si="1"/>
        <v>10188</v>
      </c>
      <c r="X61" s="576">
        <f t="shared" si="2"/>
        <v>40752</v>
      </c>
      <c r="Y61" s="581">
        <f t="shared" si="3"/>
        <v>-0.19999999999999996</v>
      </c>
      <c r="Z61" s="577">
        <f t="shared" si="9"/>
        <v>-0.10601839889594687</v>
      </c>
      <c r="AA61" s="577">
        <v>0.21724137931034487</v>
      </c>
      <c r="AB61" s="582"/>
      <c r="AC61" s="576">
        <v>849</v>
      </c>
      <c r="AD61" s="576">
        <f t="shared" si="4"/>
        <v>50940</v>
      </c>
      <c r="AE61" s="711"/>
      <c r="AF61" s="583">
        <v>12</v>
      </c>
      <c r="AG61" s="576">
        <f t="shared" si="5"/>
        <v>5094</v>
      </c>
      <c r="AH61" s="709">
        <f t="shared" si="6"/>
        <v>45846</v>
      </c>
      <c r="AI61" s="709">
        <f t="shared" si="7"/>
        <v>5094</v>
      </c>
      <c r="AJ61" s="577">
        <f t="shared" si="8"/>
        <v>0.125</v>
      </c>
      <c r="AK61" s="582">
        <f t="shared" si="10"/>
        <v>-4.3518398895946872E-2</v>
      </c>
      <c r="AL61" s="582"/>
      <c r="AM61" s="580" t="e">
        <f>VLOOKUP(F61,[7]PRM!E:R,14,FALSE)</f>
        <v>#N/A</v>
      </c>
      <c r="AN61" s="576" t="e">
        <f>T61-#REF!</f>
        <v>#REF!</v>
      </c>
      <c r="AO61" s="580"/>
    </row>
    <row r="62" spans="2:41" s="436" customFormat="1" ht="14" hidden="1">
      <c r="B62" s="800">
        <v>2605</v>
      </c>
      <c r="C62" s="1392" t="s">
        <v>291</v>
      </c>
      <c r="D62" s="1392"/>
      <c r="E62" s="1392"/>
      <c r="F62" s="1392"/>
      <c r="G62" s="566" t="s">
        <v>74</v>
      </c>
      <c r="H62" s="566"/>
      <c r="I62" s="566"/>
      <c r="J62" s="566">
        <v>6</v>
      </c>
      <c r="K62" s="566" t="s">
        <v>286</v>
      </c>
      <c r="L62" s="566">
        <v>12</v>
      </c>
      <c r="M62" s="576">
        <v>799</v>
      </c>
      <c r="N62" s="576">
        <f t="shared" si="11"/>
        <v>57528</v>
      </c>
      <c r="O62" s="566">
        <v>12</v>
      </c>
      <c r="P62" s="577">
        <f>IFERROR(_xlfn.XLOOKUP($F$58,'[4]By Model'!$A:$A,'[4]By Model'!$K:$K),"")</f>
        <v>-6.0183988959468951E-3</v>
      </c>
      <c r="Q62" s="578" t="str">
        <f>IFERROR(_xlfn.XLOOKUP(F62,'[5]By Model'!$A:$A,'[5]By Model'!$B:$B),"")</f>
        <v/>
      </c>
      <c r="R62" s="579">
        <f>IFERROR(_xlfn.XLOOKUP($F$58,'[4]By Model'!$A:$A,'[4]By Model'!$I:$I),"")</f>
        <v>793.71839713333338</v>
      </c>
      <c r="S62" s="578" t="str">
        <f>IFERROR(_xlfn.XLOOKUP(F62,[6]Sum!$G:$G,[6]Sum!$AM:$AM),"")</f>
        <v/>
      </c>
      <c r="T62" s="576">
        <v>799</v>
      </c>
      <c r="U62" s="576">
        <f t="shared" si="0"/>
        <v>57528</v>
      </c>
      <c r="V62" s="580">
        <v>24</v>
      </c>
      <c r="W62" s="576">
        <f t="shared" si="1"/>
        <v>9588</v>
      </c>
      <c r="X62" s="576">
        <f t="shared" si="2"/>
        <v>47940</v>
      </c>
      <c r="Y62" s="581">
        <f t="shared" si="3"/>
        <v>-0.16666666666666663</v>
      </c>
      <c r="Z62" s="577">
        <f t="shared" si="9"/>
        <v>-8.9351732229280209E-2</v>
      </c>
      <c r="AA62" s="577">
        <v>0.25314990094651113</v>
      </c>
      <c r="AB62" s="582"/>
      <c r="AC62" s="576">
        <v>799</v>
      </c>
      <c r="AD62" s="576">
        <f t="shared" si="4"/>
        <v>57528</v>
      </c>
      <c r="AE62" s="576"/>
      <c r="AF62" s="583">
        <v>12</v>
      </c>
      <c r="AG62" s="576">
        <f t="shared" si="5"/>
        <v>4794</v>
      </c>
      <c r="AH62" s="709">
        <f t="shared" si="6"/>
        <v>52734</v>
      </c>
      <c r="AI62" s="709">
        <f t="shared" si="7"/>
        <v>4794</v>
      </c>
      <c r="AJ62" s="577">
        <f t="shared" si="8"/>
        <v>0.1</v>
      </c>
      <c r="AK62" s="582">
        <f t="shared" si="10"/>
        <v>-3.9351732229280206E-2</v>
      </c>
      <c r="AL62" s="582"/>
      <c r="AM62" s="580" t="e">
        <f>VLOOKUP(F62,[7]PRM!E:R,14,FALSE)</f>
        <v>#N/A</v>
      </c>
      <c r="AN62" s="576" t="e">
        <f>T62-#REF!</f>
        <v>#REF!</v>
      </c>
      <c r="AO62" s="580"/>
    </row>
    <row r="63" spans="2:41" s="436" customFormat="1" ht="14" hidden="1">
      <c r="B63" s="801">
        <v>2605</v>
      </c>
      <c r="C63" s="1393" t="s">
        <v>291</v>
      </c>
      <c r="D63" s="1393"/>
      <c r="E63" s="1393"/>
      <c r="F63" s="1393"/>
      <c r="G63" s="566" t="s">
        <v>74</v>
      </c>
      <c r="H63" s="566"/>
      <c r="I63" s="566"/>
      <c r="J63" s="566">
        <v>6</v>
      </c>
      <c r="K63" s="566" t="s">
        <v>288</v>
      </c>
      <c r="L63" s="566">
        <v>12</v>
      </c>
      <c r="M63" s="576">
        <v>749</v>
      </c>
      <c r="N63" s="576">
        <f t="shared" si="11"/>
        <v>53928</v>
      </c>
      <c r="O63" s="566">
        <v>12</v>
      </c>
      <c r="P63" s="577">
        <f>IFERROR(_xlfn.XLOOKUP($F$58,'[4]By Model'!$A:$A,'[4]By Model'!$K:$K),"")</f>
        <v>-6.0183988959468951E-3</v>
      </c>
      <c r="Q63" s="578" t="str">
        <f>IFERROR(_xlfn.XLOOKUP(F63,'[5]By Model'!$A:$A,'[5]By Model'!$B:$B),"")</f>
        <v/>
      </c>
      <c r="R63" s="579">
        <f>IFERROR(_xlfn.XLOOKUP($F$58,'[4]By Model'!$A:$A,'[4]By Model'!$I:$I),"")</f>
        <v>793.71839713333338</v>
      </c>
      <c r="S63" s="578" t="str">
        <f>IFERROR(_xlfn.XLOOKUP(F63,[6]Sum!$G:$G,[6]Sum!$AM:$AM),"")</f>
        <v/>
      </c>
      <c r="T63" s="576">
        <v>749</v>
      </c>
      <c r="U63" s="576">
        <f t="shared" si="0"/>
        <v>53928</v>
      </c>
      <c r="V63" s="580">
        <v>24</v>
      </c>
      <c r="W63" s="576">
        <f t="shared" si="1"/>
        <v>8988</v>
      </c>
      <c r="X63" s="576">
        <f t="shared" si="2"/>
        <v>44940</v>
      </c>
      <c r="Y63" s="581">
        <f t="shared" si="3"/>
        <v>-0.16666666666666663</v>
      </c>
      <c r="Z63" s="577">
        <f t="shared" si="9"/>
        <v>-8.9351732229280209E-2</v>
      </c>
      <c r="AA63" s="577">
        <v>0.26307178631051753</v>
      </c>
      <c r="AB63" s="582"/>
      <c r="AC63" s="576">
        <v>749</v>
      </c>
      <c r="AD63" s="576">
        <f t="shared" si="4"/>
        <v>53928</v>
      </c>
      <c r="AE63" s="576"/>
      <c r="AF63" s="583">
        <v>12</v>
      </c>
      <c r="AG63" s="576">
        <f t="shared" si="5"/>
        <v>4494</v>
      </c>
      <c r="AH63" s="709">
        <f t="shared" si="6"/>
        <v>49434</v>
      </c>
      <c r="AI63" s="709">
        <f t="shared" si="7"/>
        <v>4494</v>
      </c>
      <c r="AJ63" s="577">
        <f t="shared" si="8"/>
        <v>0.1</v>
      </c>
      <c r="AK63" s="582">
        <f t="shared" si="10"/>
        <v>-3.9351732229280206E-2</v>
      </c>
      <c r="AL63" s="582"/>
      <c r="AM63" s="580" t="e">
        <f>VLOOKUP(F63,[7]PRM!E:R,14,FALSE)</f>
        <v>#N/A</v>
      </c>
      <c r="AN63" s="576" t="e">
        <f>T63-#REF!</f>
        <v>#REF!</v>
      </c>
      <c r="AO63" s="580"/>
    </row>
    <row r="64" spans="2:41" s="436" customFormat="1" ht="14" hidden="1">
      <c r="B64" s="799">
        <v>2605</v>
      </c>
      <c r="C64" s="1391" t="s">
        <v>291</v>
      </c>
      <c r="D64" s="1391"/>
      <c r="E64" s="1391"/>
      <c r="F64" s="1391" t="s">
        <v>250</v>
      </c>
      <c r="G64" s="566" t="str">
        <f t="shared" si="21"/>
        <v>DFC533FV.APYPETH</v>
      </c>
      <c r="H64" s="566"/>
      <c r="I64" s="566"/>
      <c r="J64" s="566">
        <v>3</v>
      </c>
      <c r="K64" s="566" t="s">
        <v>286</v>
      </c>
      <c r="L64" s="566">
        <v>12</v>
      </c>
      <c r="M64" s="576">
        <v>1249</v>
      </c>
      <c r="N64" s="576">
        <f t="shared" si="11"/>
        <v>44964</v>
      </c>
      <c r="O64" s="566">
        <v>12</v>
      </c>
      <c r="P64" s="577">
        <f>IFERROR(_xlfn.XLOOKUP($F$64,'[4]By Model'!$A:$A,'[4]By Model'!$K:$K),"")</f>
        <v>-0.37703449971377123</v>
      </c>
      <c r="Q64" s="578">
        <f>IFERROR(_xlfn.XLOOKUP(F64,'[5]By Model'!$A:$A,'[5]By Model'!$B:$B),"")</f>
        <v>2</v>
      </c>
      <c r="R64" s="579">
        <f>IFERROR(_xlfn.XLOOKUP($F$64,'[4]By Model'!$A:$A,'[4]By Model'!$I:$I),"")</f>
        <v>703.63055795000002</v>
      </c>
      <c r="S64" s="578" t="str">
        <f>IFERROR(_xlfn.XLOOKUP(F64,[6]Sum!$G:$G,[6]Sum!$AM:$AM),"")</f>
        <v/>
      </c>
      <c r="T64" s="576">
        <v>1049</v>
      </c>
      <c r="U64" s="576">
        <f t="shared" si="0"/>
        <v>37764</v>
      </c>
      <c r="V64" s="580">
        <v>0</v>
      </c>
      <c r="W64" s="576">
        <f t="shared" si="1"/>
        <v>0</v>
      </c>
      <c r="X64" s="576">
        <f t="shared" si="2"/>
        <v>37764</v>
      </c>
      <c r="Y64" s="581">
        <f t="shared" si="3"/>
        <v>-0.16012810248198561</v>
      </c>
      <c r="Z64" s="577">
        <f t="shared" si="9"/>
        <v>-0.45709855095476404</v>
      </c>
      <c r="AA64" s="577"/>
      <c r="AB64" s="582"/>
      <c r="AC64" s="576">
        <v>999</v>
      </c>
      <c r="AD64" s="576">
        <f t="shared" si="4"/>
        <v>35964</v>
      </c>
      <c r="AE64" s="581">
        <f>AD64/AD66</f>
        <v>0.80026702269692929</v>
      </c>
      <c r="AF64" s="580">
        <v>0</v>
      </c>
      <c r="AG64" s="576">
        <f t="shared" si="5"/>
        <v>0</v>
      </c>
      <c r="AH64" s="709">
        <f t="shared" si="6"/>
        <v>35964</v>
      </c>
      <c r="AI64" s="709">
        <f t="shared" si="7"/>
        <v>-1800</v>
      </c>
      <c r="AJ64" s="577">
        <f t="shared" si="8"/>
        <v>-4.7664442326024785E-2</v>
      </c>
      <c r="AK64" s="582">
        <f t="shared" si="10"/>
        <v>-0.48093077211777641</v>
      </c>
      <c r="AL64" s="582"/>
      <c r="AM64" s="580"/>
      <c r="AN64" s="576"/>
      <c r="AO64" s="580"/>
    </row>
    <row r="65" spans="2:41" s="436" customFormat="1" ht="14" hidden="1">
      <c r="B65" s="800">
        <v>2605</v>
      </c>
      <c r="C65" s="1392" t="s">
        <v>291</v>
      </c>
      <c r="D65" s="1392"/>
      <c r="E65" s="1392"/>
      <c r="F65" s="1392"/>
      <c r="G65" s="566" t="s">
        <v>250</v>
      </c>
      <c r="H65" s="566"/>
      <c r="I65" s="566"/>
      <c r="J65" s="566">
        <v>3</v>
      </c>
      <c r="K65" s="566" t="s">
        <v>288</v>
      </c>
      <c r="L65" s="566">
        <v>12</v>
      </c>
      <c r="M65" s="576">
        <v>1149</v>
      </c>
      <c r="N65" s="576">
        <f t="shared" si="11"/>
        <v>41364</v>
      </c>
      <c r="O65" s="566">
        <v>12</v>
      </c>
      <c r="P65" s="577">
        <f>IFERROR(_xlfn.XLOOKUP($F$64,'[4]By Model'!$A:$A,'[4]By Model'!$K:$K),"")</f>
        <v>-0.37703449971377123</v>
      </c>
      <c r="Q65" s="578" t="str">
        <f>IFERROR(_xlfn.XLOOKUP(F65,'[5]By Model'!$A:$A,'[5]By Model'!$B:$B),"")</f>
        <v/>
      </c>
      <c r="R65" s="579">
        <f>IFERROR(_xlfn.XLOOKUP($F$64,'[4]By Model'!$A:$A,'[4]By Model'!$I:$I),"")</f>
        <v>703.63055795000002</v>
      </c>
      <c r="S65" s="578" t="str">
        <f>IFERROR(_xlfn.XLOOKUP(F65,[6]Sum!$G:$G,[6]Sum!$AM:$AM),"")</f>
        <v/>
      </c>
      <c r="T65" s="576">
        <v>999</v>
      </c>
      <c r="U65" s="576">
        <f t="shared" si="0"/>
        <v>35964</v>
      </c>
      <c r="V65" s="580">
        <v>12</v>
      </c>
      <c r="W65" s="576">
        <f t="shared" si="1"/>
        <v>5994</v>
      </c>
      <c r="X65" s="576">
        <f t="shared" si="2"/>
        <v>29970</v>
      </c>
      <c r="Y65" s="581">
        <f t="shared" si="3"/>
        <v>-0.27545691906005221</v>
      </c>
      <c r="Z65" s="577">
        <f t="shared" si="9"/>
        <v>-0.51476295924379734</v>
      </c>
      <c r="AA65" s="577"/>
      <c r="AB65" s="582"/>
      <c r="AC65" s="576">
        <v>999</v>
      </c>
      <c r="AD65" s="576">
        <f t="shared" si="4"/>
        <v>35964</v>
      </c>
      <c r="AE65" s="711">
        <f>AD65/AD67</f>
        <v>0.85751072961373387</v>
      </c>
      <c r="AF65" s="580">
        <v>0</v>
      </c>
      <c r="AG65" s="576">
        <f t="shared" si="5"/>
        <v>0</v>
      </c>
      <c r="AH65" s="709">
        <f t="shared" si="6"/>
        <v>35964</v>
      </c>
      <c r="AI65" s="709">
        <f t="shared" si="7"/>
        <v>5994</v>
      </c>
      <c r="AJ65" s="577">
        <f t="shared" si="8"/>
        <v>0.2</v>
      </c>
      <c r="AK65" s="582">
        <f t="shared" si="10"/>
        <v>-0.41476295924379736</v>
      </c>
      <c r="AL65" s="582"/>
      <c r="AM65" s="580"/>
      <c r="AN65" s="576"/>
      <c r="AO65" s="580"/>
    </row>
    <row r="66" spans="2:41" s="436" customFormat="1" ht="14" hidden="1">
      <c r="B66" s="800">
        <v>2605</v>
      </c>
      <c r="C66" s="1392" t="s">
        <v>291</v>
      </c>
      <c r="D66" s="1392"/>
      <c r="E66" s="1392"/>
      <c r="F66" s="1392"/>
      <c r="G66" s="566" t="s">
        <v>250</v>
      </c>
      <c r="H66" s="566"/>
      <c r="I66" s="566"/>
      <c r="J66" s="566">
        <v>5</v>
      </c>
      <c r="K66" s="566" t="s">
        <v>286</v>
      </c>
      <c r="L66" s="566">
        <v>12</v>
      </c>
      <c r="M66" s="576">
        <v>749</v>
      </c>
      <c r="N66" s="576">
        <f t="shared" si="11"/>
        <v>44940</v>
      </c>
      <c r="O66" s="566">
        <v>12</v>
      </c>
      <c r="P66" s="577">
        <f>IFERROR(_xlfn.XLOOKUP($F$64,'[4]By Model'!$A:$A,'[4]By Model'!$K:$K),"")</f>
        <v>-0.37703449971377123</v>
      </c>
      <c r="Q66" s="578" t="str">
        <f>IFERROR(_xlfn.XLOOKUP(F66,'[5]By Model'!$A:$A,'[5]By Model'!$B:$B),"")</f>
        <v/>
      </c>
      <c r="R66" s="579">
        <f>IFERROR(_xlfn.XLOOKUP($F$64,'[4]By Model'!$A:$A,'[4]By Model'!$I:$I),"")</f>
        <v>703.63055795000002</v>
      </c>
      <c r="S66" s="578" t="str">
        <f>IFERROR(_xlfn.XLOOKUP(F66,[6]Sum!$G:$G,[6]Sum!$AM:$AM),"")</f>
        <v/>
      </c>
      <c r="T66" s="576">
        <v>749</v>
      </c>
      <c r="U66" s="576">
        <f t="shared" si="0"/>
        <v>44940</v>
      </c>
      <c r="V66" s="580">
        <v>12</v>
      </c>
      <c r="W66" s="576">
        <f t="shared" si="1"/>
        <v>4494</v>
      </c>
      <c r="X66" s="576">
        <f t="shared" si="2"/>
        <v>40446</v>
      </c>
      <c r="Y66" s="581">
        <f t="shared" si="3"/>
        <v>-9.9999999999999978E-2</v>
      </c>
      <c r="Z66" s="577">
        <f t="shared" si="9"/>
        <v>-0.42703449971377122</v>
      </c>
      <c r="AA66" s="577"/>
      <c r="AB66" s="582"/>
      <c r="AC66" s="576">
        <v>749</v>
      </c>
      <c r="AD66" s="576">
        <f t="shared" si="4"/>
        <v>44940</v>
      </c>
      <c r="AE66" s="711"/>
      <c r="AF66" s="583">
        <v>12</v>
      </c>
      <c r="AG66" s="576">
        <f t="shared" si="5"/>
        <v>4494</v>
      </c>
      <c r="AH66" s="709">
        <f t="shared" si="6"/>
        <v>40446</v>
      </c>
      <c r="AI66" s="709">
        <f t="shared" si="7"/>
        <v>0</v>
      </c>
      <c r="AJ66" s="577">
        <f t="shared" si="8"/>
        <v>0</v>
      </c>
      <c r="AK66" s="582">
        <f t="shared" si="10"/>
        <v>-0.42703449971377122</v>
      </c>
      <c r="AL66" s="582"/>
      <c r="AM66" s="580"/>
      <c r="AN66" s="576"/>
      <c r="AO66" s="580"/>
    </row>
    <row r="67" spans="2:41" s="436" customFormat="1" ht="14" hidden="1">
      <c r="B67" s="800">
        <v>2605</v>
      </c>
      <c r="C67" s="1392" t="s">
        <v>291</v>
      </c>
      <c r="D67" s="1392"/>
      <c r="E67" s="1392"/>
      <c r="F67" s="1392"/>
      <c r="G67" s="566" t="s">
        <v>250</v>
      </c>
      <c r="H67" s="566"/>
      <c r="I67" s="566"/>
      <c r="J67" s="566">
        <v>5</v>
      </c>
      <c r="K67" s="566" t="s">
        <v>288</v>
      </c>
      <c r="L67" s="566">
        <v>12</v>
      </c>
      <c r="M67" s="576">
        <v>699</v>
      </c>
      <c r="N67" s="576">
        <f t="shared" si="11"/>
        <v>41940</v>
      </c>
      <c r="O67" s="566">
        <v>12</v>
      </c>
      <c r="P67" s="577">
        <f>IFERROR(_xlfn.XLOOKUP($F$64,'[4]By Model'!$A:$A,'[4]By Model'!$K:$K),"")</f>
        <v>-0.37703449971377123</v>
      </c>
      <c r="Q67" s="578" t="str">
        <f>IFERROR(_xlfn.XLOOKUP(F67,'[5]By Model'!$A:$A,'[5]By Model'!$B:$B),"")</f>
        <v/>
      </c>
      <c r="R67" s="579">
        <f>IFERROR(_xlfn.XLOOKUP($F$64,'[4]By Model'!$A:$A,'[4]By Model'!$I:$I),"")</f>
        <v>703.63055795000002</v>
      </c>
      <c r="S67" s="578" t="str">
        <f>IFERROR(_xlfn.XLOOKUP(F67,[6]Sum!$G:$G,[6]Sum!$AM:$AM),"")</f>
        <v/>
      </c>
      <c r="T67" s="576">
        <v>699</v>
      </c>
      <c r="U67" s="576">
        <f t="shared" ref="U67:U130" si="22">T67*LEFT(J67,1)*12</f>
        <v>41940</v>
      </c>
      <c r="V67" s="580">
        <v>12</v>
      </c>
      <c r="W67" s="576">
        <f t="shared" ref="W67:W130" si="23">V67*T67*0.5</f>
        <v>4194</v>
      </c>
      <c r="X67" s="576">
        <f t="shared" ref="X67:X130" si="24">U67-W67</f>
        <v>37746</v>
      </c>
      <c r="Y67" s="581">
        <f t="shared" ref="Y67:Y130" si="25">X67/N67-1</f>
        <v>-9.9999999999999978E-2</v>
      </c>
      <c r="Z67" s="577">
        <f t="shared" si="9"/>
        <v>-0.42703449971377122</v>
      </c>
      <c r="AA67" s="577"/>
      <c r="AB67" s="582"/>
      <c r="AC67" s="576">
        <v>699</v>
      </c>
      <c r="AD67" s="576">
        <f t="shared" ref="AD67:AD130" si="26">AC67*LEFT(J67,1)*12</f>
        <v>41940</v>
      </c>
      <c r="AE67" s="711"/>
      <c r="AF67" s="583">
        <v>12</v>
      </c>
      <c r="AG67" s="576">
        <f t="shared" ref="AG67:AG130" si="27">AF67*AC67*0.5</f>
        <v>4194</v>
      </c>
      <c r="AH67" s="709">
        <f t="shared" ref="AH67:AH130" si="28">AD67-AG67</f>
        <v>37746</v>
      </c>
      <c r="AI67" s="709">
        <f t="shared" ref="AI67:AI130" si="29">AH67-X67</f>
        <v>0</v>
      </c>
      <c r="AJ67" s="577">
        <f t="shared" ref="AJ67:AJ130" si="30">AI67/X67</f>
        <v>0</v>
      </c>
      <c r="AK67" s="582">
        <f t="shared" si="10"/>
        <v>-0.42703449971377122</v>
      </c>
      <c r="AL67" s="582"/>
      <c r="AM67" s="580"/>
      <c r="AN67" s="576"/>
      <c r="AO67" s="580"/>
    </row>
    <row r="68" spans="2:41" s="436" customFormat="1" ht="14" hidden="1">
      <c r="B68" s="800">
        <v>2605</v>
      </c>
      <c r="C68" s="1392" t="s">
        <v>291</v>
      </c>
      <c r="D68" s="1392"/>
      <c r="E68" s="1392"/>
      <c r="F68" s="1392"/>
      <c r="G68" s="566" t="s">
        <v>250</v>
      </c>
      <c r="H68" s="566"/>
      <c r="I68" s="566"/>
      <c r="J68" s="566">
        <v>6</v>
      </c>
      <c r="K68" s="566" t="s">
        <v>286</v>
      </c>
      <c r="L68" s="566">
        <v>12</v>
      </c>
      <c r="M68" s="576">
        <v>649</v>
      </c>
      <c r="N68" s="576">
        <f t="shared" si="11"/>
        <v>46728</v>
      </c>
      <c r="O68" s="566">
        <v>12</v>
      </c>
      <c r="P68" s="577">
        <f>IFERROR(_xlfn.XLOOKUP($F$64,'[4]By Model'!$A:$A,'[4]By Model'!$K:$K),"")</f>
        <v>-0.37703449971377123</v>
      </c>
      <c r="Q68" s="578" t="str">
        <f>IFERROR(_xlfn.XLOOKUP(F68,'[5]By Model'!$A:$A,'[5]By Model'!$B:$B),"")</f>
        <v/>
      </c>
      <c r="R68" s="579">
        <f>IFERROR(_xlfn.XLOOKUP($F$64,'[4]By Model'!$A:$A,'[4]By Model'!$I:$I),"")</f>
        <v>703.63055795000002</v>
      </c>
      <c r="S68" s="578" t="str">
        <f>IFERROR(_xlfn.XLOOKUP(F68,[6]Sum!$G:$G,[6]Sum!$AM:$AM),"")</f>
        <v/>
      </c>
      <c r="T68" s="576">
        <v>649</v>
      </c>
      <c r="U68" s="576">
        <f t="shared" si="22"/>
        <v>46728</v>
      </c>
      <c r="V68" s="580">
        <v>12</v>
      </c>
      <c r="W68" s="576">
        <f t="shared" si="23"/>
        <v>3894</v>
      </c>
      <c r="X68" s="576">
        <f t="shared" si="24"/>
        <v>42834</v>
      </c>
      <c r="Y68" s="581">
        <f t="shared" si="25"/>
        <v>-8.333333333333337E-2</v>
      </c>
      <c r="Z68" s="577">
        <f t="shared" ref="Z68:Z131" si="31">IFERROR(P68+Y68*0.5,"")</f>
        <v>-0.41870116638043792</v>
      </c>
      <c r="AA68" s="577"/>
      <c r="AB68" s="582"/>
      <c r="AC68" s="576">
        <v>649</v>
      </c>
      <c r="AD68" s="576">
        <f t="shared" si="26"/>
        <v>46728</v>
      </c>
      <c r="AE68" s="576"/>
      <c r="AF68" s="583">
        <v>12</v>
      </c>
      <c r="AG68" s="576">
        <f t="shared" si="27"/>
        <v>3894</v>
      </c>
      <c r="AH68" s="709">
        <f t="shared" si="28"/>
        <v>42834</v>
      </c>
      <c r="AI68" s="709">
        <f t="shared" si="29"/>
        <v>0</v>
      </c>
      <c r="AJ68" s="577">
        <f t="shared" si="30"/>
        <v>0</v>
      </c>
      <c r="AK68" s="582">
        <f t="shared" ref="AK68:AK131" si="32">IFERROR(Z68+AJ68*0.5,"")</f>
        <v>-0.41870116638043792</v>
      </c>
      <c r="AL68" s="582"/>
      <c r="AM68" s="580"/>
      <c r="AN68" s="576"/>
      <c r="AO68" s="580"/>
    </row>
    <row r="69" spans="2:41" s="436" customFormat="1" ht="14" hidden="1">
      <c r="B69" s="801">
        <v>2605</v>
      </c>
      <c r="C69" s="1393" t="s">
        <v>291</v>
      </c>
      <c r="D69" s="1393"/>
      <c r="E69" s="1393"/>
      <c r="F69" s="1393"/>
      <c r="G69" s="566" t="s">
        <v>250</v>
      </c>
      <c r="H69" s="566"/>
      <c r="I69" s="566"/>
      <c r="J69" s="566">
        <v>6</v>
      </c>
      <c r="K69" s="566" t="s">
        <v>288</v>
      </c>
      <c r="L69" s="566">
        <v>12</v>
      </c>
      <c r="M69" s="576">
        <v>599</v>
      </c>
      <c r="N69" s="576">
        <f t="shared" si="11"/>
        <v>43128</v>
      </c>
      <c r="O69" s="566">
        <v>12</v>
      </c>
      <c r="P69" s="577">
        <f>IFERROR(_xlfn.XLOOKUP($F$64,'[4]By Model'!$A:$A,'[4]By Model'!$K:$K),"")</f>
        <v>-0.37703449971377123</v>
      </c>
      <c r="Q69" s="578" t="str">
        <f>IFERROR(_xlfn.XLOOKUP(F69,'[5]By Model'!$A:$A,'[5]By Model'!$B:$B),"")</f>
        <v/>
      </c>
      <c r="R69" s="579">
        <f>IFERROR(_xlfn.XLOOKUP($F$64,'[4]By Model'!$A:$A,'[4]By Model'!$I:$I),"")</f>
        <v>703.63055795000002</v>
      </c>
      <c r="S69" s="578" t="str">
        <f>IFERROR(_xlfn.XLOOKUP(F69,[6]Sum!$G:$G,[6]Sum!$AM:$AM),"")</f>
        <v/>
      </c>
      <c r="T69" s="576">
        <v>599</v>
      </c>
      <c r="U69" s="576">
        <f t="shared" si="22"/>
        <v>43128</v>
      </c>
      <c r="V69" s="580">
        <v>12</v>
      </c>
      <c r="W69" s="576">
        <f t="shared" si="23"/>
        <v>3594</v>
      </c>
      <c r="X69" s="576">
        <f t="shared" si="24"/>
        <v>39534</v>
      </c>
      <c r="Y69" s="581">
        <f t="shared" si="25"/>
        <v>-8.333333333333337E-2</v>
      </c>
      <c r="Z69" s="577">
        <f t="shared" si="31"/>
        <v>-0.41870116638043792</v>
      </c>
      <c r="AA69" s="577"/>
      <c r="AB69" s="582"/>
      <c r="AC69" s="576">
        <v>599</v>
      </c>
      <c r="AD69" s="576">
        <f t="shared" si="26"/>
        <v>43128</v>
      </c>
      <c r="AE69" s="576"/>
      <c r="AF69" s="583">
        <v>12</v>
      </c>
      <c r="AG69" s="576">
        <f t="shared" si="27"/>
        <v>3594</v>
      </c>
      <c r="AH69" s="709">
        <f t="shared" si="28"/>
        <v>39534</v>
      </c>
      <c r="AI69" s="709">
        <f t="shared" si="29"/>
        <v>0</v>
      </c>
      <c r="AJ69" s="577">
        <f t="shared" si="30"/>
        <v>0</v>
      </c>
      <c r="AK69" s="582">
        <f t="shared" si="32"/>
        <v>-0.41870116638043792</v>
      </c>
      <c r="AL69" s="582"/>
      <c r="AM69" s="580"/>
      <c r="AN69" s="576"/>
      <c r="AO69" s="580"/>
    </row>
    <row r="70" spans="2:41" s="596" customFormat="1" ht="14" hidden="1">
      <c r="B70" s="802">
        <v>2605</v>
      </c>
      <c r="C70" s="1397" t="s">
        <v>292</v>
      </c>
      <c r="D70" s="1397" t="s">
        <v>308</v>
      </c>
      <c r="E70" s="1397"/>
      <c r="F70" s="1397" t="s">
        <v>463</v>
      </c>
      <c r="G70" s="713" t="s">
        <v>90</v>
      </c>
      <c r="H70" s="584"/>
      <c r="I70" s="584"/>
      <c r="J70" s="584">
        <v>3</v>
      </c>
      <c r="K70" s="584" t="s">
        <v>215</v>
      </c>
      <c r="L70" s="584" t="s">
        <v>760</v>
      </c>
      <c r="M70" s="586">
        <v>2949</v>
      </c>
      <c r="N70" s="586">
        <f t="shared" ref="N70:N133" si="33">M70*LEFT(J70,1)*12</f>
        <v>106164</v>
      </c>
      <c r="O70" s="584" t="s">
        <v>760</v>
      </c>
      <c r="P70" s="577">
        <f>IFERROR(_xlfn.XLOOKUP(G70,'[4]By Model'!$A:$A,'[4]By Model'!$K:$K),"")</f>
        <v>1.9659627695082948E-2</v>
      </c>
      <c r="Q70" s="588" t="str">
        <f>IFERROR(_xlfn.XLOOKUP(F70,'[5]By Model'!$A:$A,'[5]By Model'!$B:$B),"")</f>
        <v/>
      </c>
      <c r="R70" s="579">
        <f>IFERROR(_xlfn.XLOOKUP(G70,'[4]By Model'!$A:$A,'[4]By Model'!$I:$I),"")</f>
        <v>2542.86544615</v>
      </c>
      <c r="S70" s="588" t="str">
        <f>IFERROR(_xlfn.XLOOKUP(F70,[6]Sum!$G:$G,[6]Sum!$AM:$AM),"")</f>
        <v/>
      </c>
      <c r="T70" s="586">
        <v>2849</v>
      </c>
      <c r="U70" s="586">
        <f t="shared" si="22"/>
        <v>102564</v>
      </c>
      <c r="V70" s="589">
        <v>0</v>
      </c>
      <c r="W70" s="586">
        <f t="shared" si="23"/>
        <v>0</v>
      </c>
      <c r="X70" s="586">
        <f t="shared" si="24"/>
        <v>102564</v>
      </c>
      <c r="Y70" s="590">
        <f t="shared" si="25"/>
        <v>-3.3909799932180351E-2</v>
      </c>
      <c r="Z70" s="587">
        <f t="shared" si="31"/>
        <v>2.7047277289927729E-3</v>
      </c>
      <c r="AA70" s="587">
        <v>0.33957834461858283</v>
      </c>
      <c r="AB70" s="592"/>
      <c r="AC70" s="586">
        <v>2649</v>
      </c>
      <c r="AD70" s="586">
        <f t="shared" si="26"/>
        <v>95364</v>
      </c>
      <c r="AE70" s="590">
        <f>AD70/AD71</f>
        <v>0.79509754877438721</v>
      </c>
      <c r="AF70" s="589">
        <v>0</v>
      </c>
      <c r="AG70" s="586">
        <f t="shared" si="27"/>
        <v>0</v>
      </c>
      <c r="AH70" s="714">
        <f t="shared" si="28"/>
        <v>95364</v>
      </c>
      <c r="AI70" s="714">
        <f t="shared" si="29"/>
        <v>-7200</v>
      </c>
      <c r="AJ70" s="587">
        <f t="shared" si="30"/>
        <v>-7.02000702000702E-2</v>
      </c>
      <c r="AK70" s="592">
        <f t="shared" si="32"/>
        <v>-3.2395307371042327E-2</v>
      </c>
      <c r="AL70" s="592" t="s">
        <v>293</v>
      </c>
      <c r="AM70" s="589" t="e">
        <f>VLOOKUP(F70,[7]PRM!E:R,14,FALSE)</f>
        <v>#N/A</v>
      </c>
      <c r="AN70" s="586" t="e">
        <f>T70-#REF!</f>
        <v>#REF!</v>
      </c>
      <c r="AO70" s="589"/>
    </row>
    <row r="71" spans="2:41" s="596" customFormat="1" ht="14" hidden="1">
      <c r="B71" s="803">
        <v>2605</v>
      </c>
      <c r="C71" s="1398" t="s">
        <v>292</v>
      </c>
      <c r="D71" s="1398" t="s">
        <v>308</v>
      </c>
      <c r="E71" s="1398"/>
      <c r="F71" s="1398"/>
      <c r="G71" s="713" t="s">
        <v>90</v>
      </c>
      <c r="H71" s="584"/>
      <c r="I71" s="584"/>
      <c r="J71" s="584">
        <v>5</v>
      </c>
      <c r="K71" s="584" t="s">
        <v>215</v>
      </c>
      <c r="L71" s="584" t="s">
        <v>760</v>
      </c>
      <c r="M71" s="586">
        <v>1999</v>
      </c>
      <c r="N71" s="586">
        <f t="shared" si="33"/>
        <v>119940</v>
      </c>
      <c r="O71" s="584" t="s">
        <v>760</v>
      </c>
      <c r="P71" s="577">
        <f>IFERROR(_xlfn.XLOOKUP(G71,'[4]By Model'!$A:$A,'[4]By Model'!$K:$K),"")</f>
        <v>1.9659627695082948E-2</v>
      </c>
      <c r="Q71" s="588" t="str">
        <f>IFERROR(_xlfn.XLOOKUP(F71,'[5]By Model'!$A:$A,'[5]By Model'!$B:$B),"")</f>
        <v/>
      </c>
      <c r="R71" s="579">
        <f>IFERROR(_xlfn.XLOOKUP(G71,'[4]By Model'!$A:$A,'[4]By Model'!$I:$I),"")</f>
        <v>2542.86544615</v>
      </c>
      <c r="S71" s="588" t="str">
        <f>IFERROR(_xlfn.XLOOKUP(F71,[6]Sum!$G:$G,[6]Sum!$AM:$AM),"")</f>
        <v/>
      </c>
      <c r="T71" s="586">
        <v>1999</v>
      </c>
      <c r="U71" s="586">
        <f t="shared" si="22"/>
        <v>119940</v>
      </c>
      <c r="V71" s="589">
        <v>0</v>
      </c>
      <c r="W71" s="586">
        <f t="shared" si="23"/>
        <v>0</v>
      </c>
      <c r="X71" s="586">
        <f t="shared" si="24"/>
        <v>119940</v>
      </c>
      <c r="Y71" s="590">
        <f t="shared" si="25"/>
        <v>0</v>
      </c>
      <c r="Z71" s="587">
        <f t="shared" si="31"/>
        <v>1.9659627695082948E-2</v>
      </c>
      <c r="AA71" s="587">
        <v>0.33957834461858283</v>
      </c>
      <c r="AB71" s="592"/>
      <c r="AC71" s="586">
        <v>1999</v>
      </c>
      <c r="AD71" s="586">
        <f t="shared" si="26"/>
        <v>119940</v>
      </c>
      <c r="AE71" s="715"/>
      <c r="AF71" s="589">
        <v>12</v>
      </c>
      <c r="AG71" s="586">
        <f t="shared" si="27"/>
        <v>11994</v>
      </c>
      <c r="AH71" s="714">
        <f t="shared" si="28"/>
        <v>107946</v>
      </c>
      <c r="AI71" s="714">
        <f t="shared" si="29"/>
        <v>-11994</v>
      </c>
      <c r="AJ71" s="587">
        <f t="shared" si="30"/>
        <v>-0.1</v>
      </c>
      <c r="AK71" s="592">
        <f t="shared" si="32"/>
        <v>-3.0340372304917054E-2</v>
      </c>
      <c r="AL71" s="592" t="s">
        <v>293</v>
      </c>
      <c r="AM71" s="589" t="e">
        <f>VLOOKUP(F71,[7]PRM!E:R,14,FALSE)</f>
        <v>#N/A</v>
      </c>
      <c r="AN71" s="586" t="e">
        <f>T71-#REF!</f>
        <v>#REF!</v>
      </c>
      <c r="AO71" s="589"/>
    </row>
    <row r="72" spans="2:41" s="596" customFormat="1" ht="14" hidden="1">
      <c r="B72" s="802">
        <v>2605</v>
      </c>
      <c r="C72" s="1397" t="s">
        <v>292</v>
      </c>
      <c r="D72" s="1397" t="s">
        <v>308</v>
      </c>
      <c r="E72" s="1397"/>
      <c r="F72" s="1397" t="s">
        <v>464</v>
      </c>
      <c r="G72" s="713" t="s">
        <v>761</v>
      </c>
      <c r="H72" s="584"/>
      <c r="I72" s="584"/>
      <c r="J72" s="584">
        <v>3</v>
      </c>
      <c r="K72" s="584" t="s">
        <v>215</v>
      </c>
      <c r="L72" s="584" t="s">
        <v>760</v>
      </c>
      <c r="M72" s="586">
        <v>1699</v>
      </c>
      <c r="N72" s="586">
        <f t="shared" si="33"/>
        <v>61164</v>
      </c>
      <c r="O72" s="584" t="s">
        <v>760</v>
      </c>
      <c r="P72" s="577">
        <f>IFERROR(_xlfn.XLOOKUP(G72,'[4]By Model'!$A:$A,'[4]By Model'!$K:$K),"")</f>
        <v>-3.1082549516233973E-2</v>
      </c>
      <c r="Q72" s="588" t="str">
        <f>IFERROR(_xlfn.XLOOKUP(F72,'[5]By Model'!$A:$A,'[5]By Model'!$B:$B),"")</f>
        <v/>
      </c>
      <c r="R72" s="579">
        <f>IFERROR(_xlfn.XLOOKUP(G72,'[4]By Model'!$A:$A,'[4]By Model'!$I:$I),"")</f>
        <v>1421.5071817914286</v>
      </c>
      <c r="S72" s="588" t="str">
        <f>IFERROR(_xlfn.XLOOKUP(F72,[6]Sum!$G:$G,[6]Sum!$AM:$AM),"")</f>
        <v/>
      </c>
      <c r="T72" s="586">
        <v>1599</v>
      </c>
      <c r="U72" s="586">
        <f t="shared" si="22"/>
        <v>57564</v>
      </c>
      <c r="V72" s="589">
        <v>0</v>
      </c>
      <c r="W72" s="586">
        <f t="shared" si="23"/>
        <v>0</v>
      </c>
      <c r="X72" s="586">
        <f t="shared" si="24"/>
        <v>57564</v>
      </c>
      <c r="Y72" s="590">
        <f t="shared" si="25"/>
        <v>-5.8858151854031759E-2</v>
      </c>
      <c r="Z72" s="587">
        <f t="shared" si="31"/>
        <v>-6.0511625443249853E-2</v>
      </c>
      <c r="AA72" s="587">
        <v>0.2882889365074166</v>
      </c>
      <c r="AB72" s="592"/>
      <c r="AC72" s="586">
        <v>1449</v>
      </c>
      <c r="AD72" s="586">
        <f t="shared" si="26"/>
        <v>52164</v>
      </c>
      <c r="AE72" s="590">
        <f>AD72/AD73</f>
        <v>0.66928406466512702</v>
      </c>
      <c r="AF72" s="589">
        <v>0</v>
      </c>
      <c r="AG72" s="586">
        <f t="shared" si="27"/>
        <v>0</v>
      </c>
      <c r="AH72" s="714">
        <f t="shared" si="28"/>
        <v>52164</v>
      </c>
      <c r="AI72" s="714">
        <f t="shared" si="29"/>
        <v>-5400</v>
      </c>
      <c r="AJ72" s="587">
        <f t="shared" si="30"/>
        <v>-9.3808630393996242E-2</v>
      </c>
      <c r="AK72" s="592">
        <f t="shared" si="32"/>
        <v>-0.10741594064024798</v>
      </c>
      <c r="AL72" s="592" t="s">
        <v>293</v>
      </c>
      <c r="AM72" s="589" t="e">
        <f>VLOOKUP(F72,[7]PRM!E:R,14,FALSE)</f>
        <v>#N/A</v>
      </c>
      <c r="AN72" s="586" t="e">
        <f>T72-#REF!</f>
        <v>#REF!</v>
      </c>
      <c r="AO72" s="589"/>
    </row>
    <row r="73" spans="2:41" s="596" customFormat="1" ht="14" hidden="1">
      <c r="B73" s="803">
        <v>2605</v>
      </c>
      <c r="C73" s="1398" t="s">
        <v>292</v>
      </c>
      <c r="D73" s="1398" t="s">
        <v>308</v>
      </c>
      <c r="E73" s="1398"/>
      <c r="F73" s="1398"/>
      <c r="G73" s="713" t="s">
        <v>761</v>
      </c>
      <c r="H73" s="584"/>
      <c r="I73" s="584"/>
      <c r="J73" s="584">
        <v>5</v>
      </c>
      <c r="K73" s="584" t="s">
        <v>215</v>
      </c>
      <c r="L73" s="584" t="s">
        <v>760</v>
      </c>
      <c r="M73" s="586">
        <v>1299</v>
      </c>
      <c r="N73" s="586">
        <f t="shared" si="33"/>
        <v>77940</v>
      </c>
      <c r="O73" s="584" t="s">
        <v>760</v>
      </c>
      <c r="P73" s="577">
        <f>IFERROR(_xlfn.XLOOKUP(G73,'[4]By Model'!$A:$A,'[4]By Model'!$K:$K),"")</f>
        <v>-3.1082549516233973E-2</v>
      </c>
      <c r="Q73" s="588" t="str">
        <f>IFERROR(_xlfn.XLOOKUP(F73,'[5]By Model'!$A:$A,'[5]By Model'!$B:$B),"")</f>
        <v/>
      </c>
      <c r="R73" s="579">
        <f>IFERROR(_xlfn.XLOOKUP(G73,'[4]By Model'!$A:$A,'[4]By Model'!$I:$I),"")</f>
        <v>1421.5071817914286</v>
      </c>
      <c r="S73" s="588" t="str">
        <f>IFERROR(_xlfn.XLOOKUP(F73,[6]Sum!$G:$G,[6]Sum!$AM:$AM),"")</f>
        <v/>
      </c>
      <c r="T73" s="586">
        <v>1299</v>
      </c>
      <c r="U73" s="586">
        <f t="shared" si="22"/>
        <v>77940</v>
      </c>
      <c r="V73" s="589">
        <v>0</v>
      </c>
      <c r="W73" s="586">
        <f t="shared" si="23"/>
        <v>0</v>
      </c>
      <c r="X73" s="586">
        <f t="shared" si="24"/>
        <v>77940</v>
      </c>
      <c r="Y73" s="590">
        <f t="shared" si="25"/>
        <v>0</v>
      </c>
      <c r="Z73" s="587">
        <f t="shared" si="31"/>
        <v>-3.1082549516233973E-2</v>
      </c>
      <c r="AA73" s="587">
        <v>0.2882889365074166</v>
      </c>
      <c r="AB73" s="592"/>
      <c r="AC73" s="586">
        <v>1299</v>
      </c>
      <c r="AD73" s="586">
        <f t="shared" si="26"/>
        <v>77940</v>
      </c>
      <c r="AE73" s="715"/>
      <c r="AF73" s="589">
        <v>12</v>
      </c>
      <c r="AG73" s="586">
        <f t="shared" si="27"/>
        <v>7794</v>
      </c>
      <c r="AH73" s="714">
        <f t="shared" si="28"/>
        <v>70146</v>
      </c>
      <c r="AI73" s="714">
        <f t="shared" si="29"/>
        <v>-7794</v>
      </c>
      <c r="AJ73" s="587">
        <f t="shared" si="30"/>
        <v>-0.1</v>
      </c>
      <c r="AK73" s="592">
        <f t="shared" si="32"/>
        <v>-8.1082549516233976E-2</v>
      </c>
      <c r="AL73" s="592" t="s">
        <v>293</v>
      </c>
      <c r="AM73" s="589" t="e">
        <f>VLOOKUP(F73,[7]PRM!E:R,14,FALSE)</f>
        <v>#N/A</v>
      </c>
      <c r="AN73" s="586" t="e">
        <f>T73-#REF!</f>
        <v>#REF!</v>
      </c>
      <c r="AO73" s="589"/>
    </row>
    <row r="74" spans="2:41" s="596" customFormat="1" ht="14" hidden="1">
      <c r="B74" s="802">
        <v>2605</v>
      </c>
      <c r="C74" s="1397" t="s">
        <v>292</v>
      </c>
      <c r="D74" s="1397" t="s">
        <v>308</v>
      </c>
      <c r="E74" s="1397"/>
      <c r="F74" s="1397" t="s">
        <v>465</v>
      </c>
      <c r="G74" s="713" t="s">
        <v>762</v>
      </c>
      <c r="H74" s="584"/>
      <c r="I74" s="584"/>
      <c r="J74" s="584">
        <v>3</v>
      </c>
      <c r="K74" s="584" t="s">
        <v>215</v>
      </c>
      <c r="L74" s="584" t="s">
        <v>760</v>
      </c>
      <c r="M74" s="586">
        <v>1499</v>
      </c>
      <c r="N74" s="586">
        <f t="shared" si="33"/>
        <v>53964</v>
      </c>
      <c r="O74" s="584" t="s">
        <v>760</v>
      </c>
      <c r="P74" s="577">
        <f>IFERROR(_xlfn.XLOOKUP(G74,'[4]By Model'!$A:$A,'[4]By Model'!$K:$K),"")</f>
        <v>9.4126603379089263E-2</v>
      </c>
      <c r="Q74" s="588" t="str">
        <f>IFERROR(_xlfn.XLOOKUP(F74,'[5]By Model'!$A:$A,'[5]By Model'!$B:$B),"")</f>
        <v/>
      </c>
      <c r="R74" s="579">
        <f>IFERROR(_xlfn.XLOOKUP(G74,'[4]By Model'!$A:$A,'[4]By Model'!$I:$I),"")</f>
        <v>1163.8346092689656</v>
      </c>
      <c r="S74" s="588" t="str">
        <f>IFERROR(_xlfn.XLOOKUP(F74,[6]Sum!$G:$G,[6]Sum!$AM:$AM),"")</f>
        <v/>
      </c>
      <c r="T74" s="586">
        <v>1349</v>
      </c>
      <c r="U74" s="586">
        <f t="shared" si="22"/>
        <v>48564</v>
      </c>
      <c r="V74" s="589">
        <v>0</v>
      </c>
      <c r="W74" s="586">
        <f t="shared" si="23"/>
        <v>0</v>
      </c>
      <c r="X74" s="586">
        <f t="shared" si="24"/>
        <v>48564</v>
      </c>
      <c r="Y74" s="590">
        <f t="shared" si="25"/>
        <v>-0.10006671114076049</v>
      </c>
      <c r="Z74" s="587">
        <f t="shared" si="31"/>
        <v>4.4093247808709018E-2</v>
      </c>
      <c r="AA74" s="587">
        <v>0.33018659641678655</v>
      </c>
      <c r="AB74" s="592"/>
      <c r="AC74" s="586">
        <v>1299</v>
      </c>
      <c r="AD74" s="586">
        <f t="shared" si="26"/>
        <v>46764</v>
      </c>
      <c r="AE74" s="590">
        <f>AD74/AD75</f>
        <v>0.70919017288444042</v>
      </c>
      <c r="AF74" s="589">
        <v>0</v>
      </c>
      <c r="AG74" s="586">
        <f t="shared" si="27"/>
        <v>0</v>
      </c>
      <c r="AH74" s="714">
        <f t="shared" si="28"/>
        <v>46764</v>
      </c>
      <c r="AI74" s="714">
        <f t="shared" si="29"/>
        <v>-1800</v>
      </c>
      <c r="AJ74" s="587">
        <f t="shared" si="30"/>
        <v>-3.7064492216456635E-2</v>
      </c>
      <c r="AK74" s="592">
        <f t="shared" si="32"/>
        <v>2.5561001700480701E-2</v>
      </c>
      <c r="AL74" s="592" t="s">
        <v>293</v>
      </c>
      <c r="AM74" s="589" t="e">
        <f>VLOOKUP(F74,[7]PRM!E:R,14,FALSE)</f>
        <v>#N/A</v>
      </c>
      <c r="AN74" s="586" t="e">
        <f>T74-#REF!</f>
        <v>#REF!</v>
      </c>
      <c r="AO74" s="589"/>
    </row>
    <row r="75" spans="2:41" s="596" customFormat="1" ht="14" hidden="1">
      <c r="B75" s="803">
        <v>2605</v>
      </c>
      <c r="C75" s="1398" t="s">
        <v>292</v>
      </c>
      <c r="D75" s="1398" t="s">
        <v>308</v>
      </c>
      <c r="E75" s="1398"/>
      <c r="F75" s="1398"/>
      <c r="G75" s="713" t="s">
        <v>762</v>
      </c>
      <c r="H75" s="584"/>
      <c r="I75" s="584"/>
      <c r="J75" s="584">
        <v>5</v>
      </c>
      <c r="K75" s="584" t="s">
        <v>215</v>
      </c>
      <c r="L75" s="584" t="s">
        <v>760</v>
      </c>
      <c r="M75" s="586">
        <v>1099</v>
      </c>
      <c r="N75" s="586">
        <f t="shared" si="33"/>
        <v>65940</v>
      </c>
      <c r="O75" s="584" t="s">
        <v>760</v>
      </c>
      <c r="P75" s="577">
        <f>IFERROR(_xlfn.XLOOKUP(G75,'[4]By Model'!$A:$A,'[4]By Model'!$K:$K),"")</f>
        <v>9.4126603379089263E-2</v>
      </c>
      <c r="Q75" s="588" t="str">
        <f>IFERROR(_xlfn.XLOOKUP(F75,'[5]By Model'!$A:$A,'[5]By Model'!$B:$B),"")</f>
        <v/>
      </c>
      <c r="R75" s="579">
        <f>IFERROR(_xlfn.XLOOKUP(G75,'[4]By Model'!$A:$A,'[4]By Model'!$I:$I),"")</f>
        <v>1163.8346092689656</v>
      </c>
      <c r="S75" s="588" t="str">
        <f>IFERROR(_xlfn.XLOOKUP(F75,[6]Sum!$G:$G,[6]Sum!$AM:$AM),"")</f>
        <v/>
      </c>
      <c r="T75" s="586">
        <v>1099</v>
      </c>
      <c r="U75" s="586">
        <f t="shared" si="22"/>
        <v>65940</v>
      </c>
      <c r="V75" s="589">
        <v>0</v>
      </c>
      <c r="W75" s="586">
        <f t="shared" si="23"/>
        <v>0</v>
      </c>
      <c r="X75" s="586">
        <f t="shared" si="24"/>
        <v>65940</v>
      </c>
      <c r="Y75" s="590">
        <f t="shared" si="25"/>
        <v>0</v>
      </c>
      <c r="Z75" s="587">
        <f t="shared" si="31"/>
        <v>9.4126603379089263E-2</v>
      </c>
      <c r="AA75" s="587">
        <v>0.33018659641678655</v>
      </c>
      <c r="AB75" s="592"/>
      <c r="AC75" s="586">
        <v>1099</v>
      </c>
      <c r="AD75" s="586">
        <f t="shared" si="26"/>
        <v>65940</v>
      </c>
      <c r="AE75" s="715"/>
      <c r="AF75" s="589">
        <v>12</v>
      </c>
      <c r="AG75" s="586">
        <f t="shared" si="27"/>
        <v>6594</v>
      </c>
      <c r="AH75" s="714">
        <f t="shared" si="28"/>
        <v>59346</v>
      </c>
      <c r="AI75" s="714">
        <f t="shared" si="29"/>
        <v>-6594</v>
      </c>
      <c r="AJ75" s="587">
        <f t="shared" si="30"/>
        <v>-0.1</v>
      </c>
      <c r="AK75" s="592">
        <f t="shared" si="32"/>
        <v>4.412660337908926E-2</v>
      </c>
      <c r="AL75" s="592" t="s">
        <v>293</v>
      </c>
      <c r="AM75" s="589" t="e">
        <f>VLOOKUP(F75,[7]PRM!E:R,14,FALSE)</f>
        <v>#N/A</v>
      </c>
      <c r="AN75" s="586" t="e">
        <f>T75-#REF!</f>
        <v>#REF!</v>
      </c>
      <c r="AO75" s="589"/>
    </row>
    <row r="76" spans="2:41" s="596" customFormat="1" ht="14" hidden="1">
      <c r="B76" s="802">
        <v>2605</v>
      </c>
      <c r="C76" s="1397" t="s">
        <v>292</v>
      </c>
      <c r="D76" s="1397"/>
      <c r="E76" s="1397"/>
      <c r="F76" s="1397" t="s">
        <v>373</v>
      </c>
      <c r="G76" s="589"/>
      <c r="H76" s="584"/>
      <c r="I76" s="584"/>
      <c r="J76" s="584">
        <v>3</v>
      </c>
      <c r="K76" s="584" t="s">
        <v>215</v>
      </c>
      <c r="L76" s="584" t="s">
        <v>760</v>
      </c>
      <c r="M76" s="586">
        <v>1599</v>
      </c>
      <c r="N76" s="586">
        <f t="shared" si="33"/>
        <v>57564</v>
      </c>
      <c r="O76" s="584" t="s">
        <v>760</v>
      </c>
      <c r="P76" s="577">
        <f>IFERROR(_xlfn.XLOOKUP($F$76,'[4]By Model'!$A:$A,'[4]By Model'!$K:$K),"")</f>
        <v>3.4957567883331521E-2</v>
      </c>
      <c r="Q76" s="588">
        <f>IFERROR(_xlfn.XLOOKUP(F76,'[5]By Model'!$A:$A,'[5]By Model'!$B:$B),"")</f>
        <v>7</v>
      </c>
      <c r="R76" s="579">
        <f>IFERROR(_xlfn.XLOOKUP(F76,'[4]By Model'!$A:$A,'[4]By Model'!$I:$I),"")</f>
        <v>1838.2401777625</v>
      </c>
      <c r="S76" s="588" t="str">
        <f>IFERROR(_xlfn.XLOOKUP(F76,[6]Sum!$G:$G,[6]Sum!$AM:$AM),"")</f>
        <v/>
      </c>
      <c r="T76" s="586">
        <v>1499</v>
      </c>
      <c r="U76" s="586">
        <f t="shared" si="22"/>
        <v>53964</v>
      </c>
      <c r="V76" s="589">
        <v>0</v>
      </c>
      <c r="W76" s="586">
        <f t="shared" si="23"/>
        <v>0</v>
      </c>
      <c r="X76" s="586">
        <f t="shared" si="24"/>
        <v>53964</v>
      </c>
      <c r="Y76" s="590">
        <f t="shared" si="25"/>
        <v>-6.2539086929330856E-2</v>
      </c>
      <c r="Z76" s="587">
        <f t="shared" si="31"/>
        <v>3.6880244186660929E-3</v>
      </c>
      <c r="AA76" s="587">
        <v>0.25317017439212786</v>
      </c>
      <c r="AB76" s="592"/>
      <c r="AC76" s="586">
        <v>1399</v>
      </c>
      <c r="AD76" s="586">
        <f t="shared" si="26"/>
        <v>50364</v>
      </c>
      <c r="AE76" s="590">
        <f>AD76/AD77</f>
        <v>0.62223869532987397</v>
      </c>
      <c r="AF76" s="589">
        <v>0</v>
      </c>
      <c r="AG76" s="586">
        <f t="shared" si="27"/>
        <v>0</v>
      </c>
      <c r="AH76" s="714">
        <f t="shared" si="28"/>
        <v>50364</v>
      </c>
      <c r="AI76" s="714">
        <f t="shared" si="29"/>
        <v>-3600</v>
      </c>
      <c r="AJ76" s="587">
        <f t="shared" si="30"/>
        <v>-6.6711140760507007E-2</v>
      </c>
      <c r="AK76" s="592">
        <f t="shared" si="32"/>
        <v>-2.966754596158741E-2</v>
      </c>
      <c r="AL76" s="592" t="s">
        <v>293</v>
      </c>
      <c r="AM76" s="589" t="e">
        <f>VLOOKUP(F76,[7]PRM!E:R,14,FALSE)</f>
        <v>#N/A</v>
      </c>
      <c r="AN76" s="586" t="e">
        <f>T76-#REF!</f>
        <v>#REF!</v>
      </c>
      <c r="AO76" s="589"/>
    </row>
    <row r="77" spans="2:41" s="596" customFormat="1" ht="14" hidden="1">
      <c r="B77" s="803">
        <v>2605</v>
      </c>
      <c r="C77" s="1398" t="s">
        <v>292</v>
      </c>
      <c r="D77" s="1398"/>
      <c r="E77" s="1398"/>
      <c r="F77" s="1398"/>
      <c r="G77" s="589"/>
      <c r="H77" s="584"/>
      <c r="I77" s="584"/>
      <c r="J77" s="584">
        <v>5</v>
      </c>
      <c r="K77" s="584" t="s">
        <v>215</v>
      </c>
      <c r="L77" s="584" t="s">
        <v>760</v>
      </c>
      <c r="M77" s="586">
        <v>1349</v>
      </c>
      <c r="N77" s="586">
        <f t="shared" si="33"/>
        <v>80940</v>
      </c>
      <c r="O77" s="584" t="s">
        <v>760</v>
      </c>
      <c r="P77" s="577">
        <f>IFERROR(_xlfn.XLOOKUP($F$76,'[4]By Model'!$A:$A,'[4]By Model'!$K:$K),"")</f>
        <v>3.4957567883331521E-2</v>
      </c>
      <c r="Q77" s="588" t="str">
        <f>IFERROR(_xlfn.XLOOKUP(F77,'[5]By Model'!$A:$A,'[5]By Model'!$B:$B),"")</f>
        <v/>
      </c>
      <c r="R77" s="579" t="str">
        <f>IFERROR(_xlfn.XLOOKUP(F77,'[4]By Model'!$A:$A,'[4]By Model'!$I:$I),"")</f>
        <v/>
      </c>
      <c r="S77" s="588" t="str">
        <f>IFERROR(_xlfn.XLOOKUP(F77,[6]Sum!$G:$G,[6]Sum!$AM:$AM),"")</f>
        <v/>
      </c>
      <c r="T77" s="586">
        <v>1349</v>
      </c>
      <c r="U77" s="586">
        <f t="shared" si="22"/>
        <v>80940</v>
      </c>
      <c r="V77" s="589">
        <v>0</v>
      </c>
      <c r="W77" s="586">
        <f t="shared" si="23"/>
        <v>0</v>
      </c>
      <c r="X77" s="586">
        <f t="shared" si="24"/>
        <v>80940</v>
      </c>
      <c r="Y77" s="590">
        <f t="shared" si="25"/>
        <v>0</v>
      </c>
      <c r="Z77" s="587">
        <f t="shared" si="31"/>
        <v>3.4957567883331521E-2</v>
      </c>
      <c r="AA77" s="587">
        <v>0.25317017439212786</v>
      </c>
      <c r="AB77" s="592"/>
      <c r="AC77" s="586">
        <v>1349</v>
      </c>
      <c r="AD77" s="586">
        <f t="shared" si="26"/>
        <v>80940</v>
      </c>
      <c r="AE77" s="715"/>
      <c r="AF77" s="589">
        <v>6</v>
      </c>
      <c r="AG77" s="586">
        <f t="shared" si="27"/>
        <v>4047</v>
      </c>
      <c r="AH77" s="714">
        <f t="shared" si="28"/>
        <v>76893</v>
      </c>
      <c r="AI77" s="714">
        <f t="shared" si="29"/>
        <v>-4047</v>
      </c>
      <c r="AJ77" s="587">
        <f t="shared" si="30"/>
        <v>-0.05</v>
      </c>
      <c r="AK77" s="592">
        <f t="shared" si="32"/>
        <v>9.9575678833315195E-3</v>
      </c>
      <c r="AL77" s="592" t="s">
        <v>293</v>
      </c>
      <c r="AM77" s="589" t="e">
        <f>VLOOKUP(F77,[7]PRM!E:R,14,FALSE)</f>
        <v>#N/A</v>
      </c>
      <c r="AN77" s="586" t="e">
        <f>T77-#REF!</f>
        <v>#REF!</v>
      </c>
      <c r="AO77" s="589"/>
    </row>
    <row r="78" spans="2:41" s="596" customFormat="1" ht="14" hidden="1">
      <c r="B78" s="802">
        <v>2605</v>
      </c>
      <c r="C78" s="1397" t="s">
        <v>292</v>
      </c>
      <c r="D78" s="1397"/>
      <c r="E78" s="1397"/>
      <c r="F78" s="1397" t="s">
        <v>92</v>
      </c>
      <c r="G78" s="589"/>
      <c r="H78" s="584"/>
      <c r="I78" s="584"/>
      <c r="J78" s="584">
        <v>3</v>
      </c>
      <c r="K78" s="584" t="s">
        <v>215</v>
      </c>
      <c r="L78" s="584" t="s">
        <v>760</v>
      </c>
      <c r="M78" s="586">
        <v>1399</v>
      </c>
      <c r="N78" s="586">
        <f t="shared" si="33"/>
        <v>50364</v>
      </c>
      <c r="O78" s="584" t="s">
        <v>760</v>
      </c>
      <c r="P78" s="577">
        <f>IFERROR(_xlfn.XLOOKUP($F$78,'[4]By Model'!$A:$A,'[4]By Model'!$K:$K),"")</f>
        <v>4.8982046918061253E-2</v>
      </c>
      <c r="Q78" s="588">
        <f>IFERROR(_xlfn.XLOOKUP(F78,'[5]By Model'!$A:$A,'[5]By Model'!$B:$B),"")</f>
        <v>11</v>
      </c>
      <c r="R78" s="579">
        <f>IFERROR(_xlfn.XLOOKUP(F78,'[4]By Model'!$A:$A,'[4]By Model'!$I:$I),"")</f>
        <v>1385.3537856857142</v>
      </c>
      <c r="S78" s="588" t="str">
        <f>IFERROR(_xlfn.XLOOKUP(F78,[6]Sum!$G:$G,[6]Sum!$AM:$AM),"")</f>
        <v/>
      </c>
      <c r="T78" s="586">
        <v>1299</v>
      </c>
      <c r="U78" s="586">
        <f t="shared" si="22"/>
        <v>46764</v>
      </c>
      <c r="V78" s="589">
        <v>0</v>
      </c>
      <c r="W78" s="586">
        <f t="shared" si="23"/>
        <v>0</v>
      </c>
      <c r="X78" s="586">
        <f t="shared" si="24"/>
        <v>46764</v>
      </c>
      <c r="Y78" s="590">
        <f t="shared" si="25"/>
        <v>-7.1479628305932796E-2</v>
      </c>
      <c r="Z78" s="587">
        <f t="shared" si="31"/>
        <v>1.3242232765094855E-2</v>
      </c>
      <c r="AA78" s="587">
        <v>0.24329084285436015</v>
      </c>
      <c r="AB78" s="592"/>
      <c r="AC78" s="586">
        <v>1199</v>
      </c>
      <c r="AD78" s="586">
        <f t="shared" si="26"/>
        <v>43164</v>
      </c>
      <c r="AE78" s="590">
        <f>AD78/AD79</f>
        <v>0.72012012012012017</v>
      </c>
      <c r="AF78" s="589">
        <v>0</v>
      </c>
      <c r="AG78" s="586">
        <f t="shared" si="27"/>
        <v>0</v>
      </c>
      <c r="AH78" s="714">
        <f t="shared" si="28"/>
        <v>43164</v>
      </c>
      <c r="AI78" s="714">
        <f t="shared" si="29"/>
        <v>-3600</v>
      </c>
      <c r="AJ78" s="587">
        <f t="shared" si="30"/>
        <v>-7.6982294072363358E-2</v>
      </c>
      <c r="AK78" s="592">
        <f t="shared" si="32"/>
        <v>-2.5248914271086824E-2</v>
      </c>
      <c r="AL78" s="592" t="s">
        <v>293</v>
      </c>
      <c r="AM78" s="589" t="e">
        <f>VLOOKUP(F78,[7]PRM!E:R,14,FALSE)</f>
        <v>#N/A</v>
      </c>
      <c r="AN78" s="586" t="e">
        <f>T78-#REF!</f>
        <v>#REF!</v>
      </c>
      <c r="AO78" s="589"/>
    </row>
    <row r="79" spans="2:41" s="596" customFormat="1" ht="14" hidden="1">
      <c r="B79" s="803">
        <v>2605</v>
      </c>
      <c r="C79" s="1398" t="s">
        <v>292</v>
      </c>
      <c r="D79" s="1398"/>
      <c r="E79" s="1398"/>
      <c r="F79" s="1398"/>
      <c r="G79" s="589"/>
      <c r="H79" s="584"/>
      <c r="I79" s="584"/>
      <c r="J79" s="584">
        <v>5</v>
      </c>
      <c r="K79" s="584" t="s">
        <v>215</v>
      </c>
      <c r="L79" s="584" t="s">
        <v>760</v>
      </c>
      <c r="M79" s="586">
        <v>999</v>
      </c>
      <c r="N79" s="586">
        <f t="shared" si="33"/>
        <v>59940</v>
      </c>
      <c r="O79" s="584" t="s">
        <v>760</v>
      </c>
      <c r="P79" s="577">
        <f>IFERROR(_xlfn.XLOOKUP($F$78,'[4]By Model'!$A:$A,'[4]By Model'!$K:$K),"")</f>
        <v>4.8982046918061253E-2</v>
      </c>
      <c r="Q79" s="588" t="str">
        <f>IFERROR(_xlfn.XLOOKUP(F79,'[5]By Model'!$A:$A,'[5]By Model'!$B:$B),"")</f>
        <v/>
      </c>
      <c r="R79" s="579" t="str">
        <f>IFERROR(_xlfn.XLOOKUP(F79,'[4]By Model'!$A:$A,'[4]By Model'!$I:$I),"")</f>
        <v/>
      </c>
      <c r="S79" s="588" t="str">
        <f>IFERROR(_xlfn.XLOOKUP(F79,[6]Sum!$G:$G,[6]Sum!$AM:$AM),"")</f>
        <v/>
      </c>
      <c r="T79" s="586">
        <v>999</v>
      </c>
      <c r="U79" s="586">
        <f t="shared" si="22"/>
        <v>59940</v>
      </c>
      <c r="V79" s="589">
        <v>0</v>
      </c>
      <c r="W79" s="586">
        <f t="shared" si="23"/>
        <v>0</v>
      </c>
      <c r="X79" s="586">
        <f t="shared" si="24"/>
        <v>59940</v>
      </c>
      <c r="Y79" s="590">
        <f t="shared" si="25"/>
        <v>0</v>
      </c>
      <c r="Z79" s="587">
        <f t="shared" si="31"/>
        <v>4.8982046918061253E-2</v>
      </c>
      <c r="AA79" s="587">
        <v>0.24329084285436015</v>
      </c>
      <c r="AB79" s="592"/>
      <c r="AC79" s="586">
        <v>999</v>
      </c>
      <c r="AD79" s="586">
        <f t="shared" si="26"/>
        <v>59940</v>
      </c>
      <c r="AE79" s="715"/>
      <c r="AF79" s="589">
        <v>6</v>
      </c>
      <c r="AG79" s="586">
        <f t="shared" si="27"/>
        <v>2997</v>
      </c>
      <c r="AH79" s="714">
        <f t="shared" si="28"/>
        <v>56943</v>
      </c>
      <c r="AI79" s="714">
        <f t="shared" si="29"/>
        <v>-2997</v>
      </c>
      <c r="AJ79" s="587">
        <f t="shared" si="30"/>
        <v>-0.05</v>
      </c>
      <c r="AK79" s="592">
        <f t="shared" si="32"/>
        <v>2.3982046918061252E-2</v>
      </c>
      <c r="AL79" s="592" t="s">
        <v>293</v>
      </c>
      <c r="AM79" s="589" t="e">
        <f>VLOOKUP(F79,[7]PRM!E:R,14,FALSE)</f>
        <v>#N/A</v>
      </c>
      <c r="AN79" s="586" t="e">
        <f>T79-#REF!</f>
        <v>#REF!</v>
      </c>
      <c r="AO79" s="589"/>
    </row>
    <row r="80" spans="2:41" s="596" customFormat="1" ht="14" hidden="1">
      <c r="B80" s="802">
        <v>2605</v>
      </c>
      <c r="C80" s="1397" t="s">
        <v>292</v>
      </c>
      <c r="D80" s="1397" t="s">
        <v>308</v>
      </c>
      <c r="E80" s="1397"/>
      <c r="F80" s="1397" t="s">
        <v>466</v>
      </c>
      <c r="G80" s="713" t="s">
        <v>201</v>
      </c>
      <c r="H80" s="584"/>
      <c r="I80" s="584"/>
      <c r="J80" s="584">
        <v>3</v>
      </c>
      <c r="K80" s="584" t="s">
        <v>215</v>
      </c>
      <c r="L80" s="584" t="s">
        <v>760</v>
      </c>
      <c r="M80" s="586">
        <v>799</v>
      </c>
      <c r="N80" s="586">
        <f t="shared" si="33"/>
        <v>28764</v>
      </c>
      <c r="O80" s="584" t="s">
        <v>760</v>
      </c>
      <c r="P80" s="577">
        <f>IFERROR(_xlfn.XLOOKUP(G80,'[4]By Model'!$A:$A,'[4]By Model'!$K:$K),"")</f>
        <v>0.14528793610981161</v>
      </c>
      <c r="Q80" s="588" t="str">
        <f>IFERROR(_xlfn.XLOOKUP(F80,'[5]By Model'!$A:$A,'[5]By Model'!$B:$B),"")</f>
        <v/>
      </c>
      <c r="R80" s="579">
        <f>IFERROR(_xlfn.XLOOKUP(G80,'[4]By Model'!$A:$A,'[4]By Model'!$I:$I),"")</f>
        <v>876.40032358095243</v>
      </c>
      <c r="S80" s="588" t="str">
        <f>IFERROR(_xlfn.XLOOKUP(F80,[6]Sum!$G:$G,[6]Sum!$AM:$AM),"")</f>
        <v/>
      </c>
      <c r="T80" s="586">
        <v>749</v>
      </c>
      <c r="U80" s="586">
        <f t="shared" si="22"/>
        <v>26964</v>
      </c>
      <c r="V80" s="589">
        <v>0</v>
      </c>
      <c r="W80" s="586">
        <f t="shared" si="23"/>
        <v>0</v>
      </c>
      <c r="X80" s="586">
        <f t="shared" si="24"/>
        <v>26964</v>
      </c>
      <c r="Y80" s="590">
        <f t="shared" si="25"/>
        <v>-6.2578222778473136E-2</v>
      </c>
      <c r="Z80" s="587">
        <f t="shared" si="31"/>
        <v>0.11399882472057504</v>
      </c>
      <c r="AA80" s="587">
        <v>0.25119613375131022</v>
      </c>
      <c r="AB80" s="592"/>
      <c r="AC80" s="586">
        <v>699</v>
      </c>
      <c r="AD80" s="586">
        <f t="shared" si="26"/>
        <v>25164</v>
      </c>
      <c r="AE80" s="590">
        <f>AD80/AD81</f>
        <v>0.64622496147919872</v>
      </c>
      <c r="AF80" s="589">
        <v>0</v>
      </c>
      <c r="AG80" s="586">
        <f t="shared" si="27"/>
        <v>0</v>
      </c>
      <c r="AH80" s="714">
        <f t="shared" si="28"/>
        <v>25164</v>
      </c>
      <c r="AI80" s="714">
        <f t="shared" si="29"/>
        <v>-1800</v>
      </c>
      <c r="AJ80" s="587">
        <f t="shared" si="30"/>
        <v>-6.6755674232309742E-2</v>
      </c>
      <c r="AK80" s="592">
        <f t="shared" si="32"/>
        <v>8.0620987604420172E-2</v>
      </c>
      <c r="AL80" s="592" t="s">
        <v>293</v>
      </c>
      <c r="AM80" s="589" t="e">
        <f>VLOOKUP(F80,[7]PRM!E:R,14,FALSE)</f>
        <v>#N/A</v>
      </c>
      <c r="AN80" s="586" t="e">
        <f>T80-#REF!</f>
        <v>#REF!</v>
      </c>
      <c r="AO80" s="589"/>
    </row>
    <row r="81" spans="2:41" s="596" customFormat="1" ht="14" hidden="1">
      <c r="B81" s="803">
        <v>2605</v>
      </c>
      <c r="C81" s="1398" t="s">
        <v>292</v>
      </c>
      <c r="D81" s="1398" t="s">
        <v>308</v>
      </c>
      <c r="E81" s="1398"/>
      <c r="F81" s="1398"/>
      <c r="G81" s="713" t="s">
        <v>201</v>
      </c>
      <c r="H81" s="584"/>
      <c r="I81" s="584"/>
      <c r="J81" s="584">
        <v>5</v>
      </c>
      <c r="K81" s="584" t="s">
        <v>215</v>
      </c>
      <c r="L81" s="584" t="s">
        <v>760</v>
      </c>
      <c r="M81" s="586">
        <v>649</v>
      </c>
      <c r="N81" s="586">
        <f t="shared" si="33"/>
        <v>38940</v>
      </c>
      <c r="O81" s="584" t="s">
        <v>760</v>
      </c>
      <c r="P81" s="577">
        <f>IFERROR(_xlfn.XLOOKUP(G81,'[4]By Model'!$A:$A,'[4]By Model'!$K:$K),"")</f>
        <v>0.14528793610981161</v>
      </c>
      <c r="Q81" s="588" t="str">
        <f>IFERROR(_xlfn.XLOOKUP(F81,'[5]By Model'!$A:$A,'[5]By Model'!$B:$B),"")</f>
        <v/>
      </c>
      <c r="R81" s="579">
        <f>IFERROR(_xlfn.XLOOKUP(G81,'[4]By Model'!$A:$A,'[4]By Model'!$I:$I),"")</f>
        <v>876.40032358095243</v>
      </c>
      <c r="S81" s="588" t="str">
        <f>IFERROR(_xlfn.XLOOKUP(F81,[6]Sum!$G:$G,[6]Sum!$AM:$AM),"")</f>
        <v/>
      </c>
      <c r="T81" s="586">
        <v>649</v>
      </c>
      <c r="U81" s="586">
        <f t="shared" si="22"/>
        <v>38940</v>
      </c>
      <c r="V81" s="589">
        <v>0</v>
      </c>
      <c r="W81" s="586">
        <f t="shared" si="23"/>
        <v>0</v>
      </c>
      <c r="X81" s="586">
        <f t="shared" si="24"/>
        <v>38940</v>
      </c>
      <c r="Y81" s="590">
        <f t="shared" si="25"/>
        <v>0</v>
      </c>
      <c r="Z81" s="587">
        <f t="shared" si="31"/>
        <v>0.14528793610981161</v>
      </c>
      <c r="AA81" s="587">
        <v>0.25119613375131022</v>
      </c>
      <c r="AB81" s="592"/>
      <c r="AC81" s="586">
        <v>649</v>
      </c>
      <c r="AD81" s="586">
        <f t="shared" si="26"/>
        <v>38940</v>
      </c>
      <c r="AE81" s="715"/>
      <c r="AF81" s="593">
        <v>6</v>
      </c>
      <c r="AG81" s="586">
        <f t="shared" si="27"/>
        <v>1947</v>
      </c>
      <c r="AH81" s="714">
        <f t="shared" si="28"/>
        <v>36993</v>
      </c>
      <c r="AI81" s="714">
        <f t="shared" si="29"/>
        <v>-1947</v>
      </c>
      <c r="AJ81" s="587">
        <f t="shared" si="30"/>
        <v>-0.05</v>
      </c>
      <c r="AK81" s="592">
        <f t="shared" si="32"/>
        <v>0.12028793610981162</v>
      </c>
      <c r="AL81" s="592" t="s">
        <v>293</v>
      </c>
      <c r="AM81" s="589" t="e">
        <f>VLOOKUP(F81,[7]PRM!E:R,14,FALSE)</f>
        <v>#N/A</v>
      </c>
      <c r="AN81" s="586" t="e">
        <f>T81-#REF!</f>
        <v>#REF!</v>
      </c>
      <c r="AO81" s="589"/>
    </row>
    <row r="82" spans="2:41" s="596" customFormat="1" ht="14" hidden="1">
      <c r="B82" s="802">
        <v>2605</v>
      </c>
      <c r="C82" s="1397" t="s">
        <v>292</v>
      </c>
      <c r="D82" s="1397" t="s">
        <v>308</v>
      </c>
      <c r="E82" s="1397"/>
      <c r="F82" s="1397" t="s">
        <v>467</v>
      </c>
      <c r="G82" s="713" t="s">
        <v>93</v>
      </c>
      <c r="H82" s="584"/>
      <c r="I82" s="584"/>
      <c r="J82" s="584">
        <v>3</v>
      </c>
      <c r="K82" s="584" t="s">
        <v>215</v>
      </c>
      <c r="L82" s="584" t="s">
        <v>760</v>
      </c>
      <c r="M82" s="586">
        <v>649</v>
      </c>
      <c r="N82" s="586">
        <f t="shared" si="33"/>
        <v>23364</v>
      </c>
      <c r="O82" s="584" t="s">
        <v>760</v>
      </c>
      <c r="P82" s="577">
        <f>IFERROR(_xlfn.XLOOKUP(G82,'[4]By Model'!$A:$A,'[4]By Model'!$K:$K),"")</f>
        <v>0.11301795860834823</v>
      </c>
      <c r="Q82" s="588" t="str">
        <f>IFERROR(_xlfn.XLOOKUP(F82,'[5]By Model'!$A:$A,'[5]By Model'!$B:$B),"")</f>
        <v/>
      </c>
      <c r="R82" s="579">
        <f>IFERROR(_xlfn.XLOOKUP(G82,'[4]By Model'!$A:$A,'[4]By Model'!$I:$I),"")</f>
        <v>728.14118829714289</v>
      </c>
      <c r="S82" s="588" t="str">
        <f>IFERROR(_xlfn.XLOOKUP(F82,[6]Sum!$G:$G,[6]Sum!$AM:$AM),"")</f>
        <v/>
      </c>
      <c r="T82" s="586">
        <v>649</v>
      </c>
      <c r="U82" s="586">
        <f t="shared" si="22"/>
        <v>23364</v>
      </c>
      <c r="V82" s="589">
        <v>0</v>
      </c>
      <c r="W82" s="586">
        <f t="shared" si="23"/>
        <v>0</v>
      </c>
      <c r="X82" s="586">
        <f t="shared" si="24"/>
        <v>23364</v>
      </c>
      <c r="Y82" s="590">
        <f t="shared" si="25"/>
        <v>0</v>
      </c>
      <c r="Z82" s="587">
        <f t="shared" si="31"/>
        <v>0.11301795860834823</v>
      </c>
      <c r="AA82" s="587">
        <v>0.28111821257154396</v>
      </c>
      <c r="AB82" s="592"/>
      <c r="AC82" s="586">
        <v>549</v>
      </c>
      <c r="AD82" s="586">
        <f t="shared" si="26"/>
        <v>19764</v>
      </c>
      <c r="AE82" s="590">
        <f>AD82/AD83</f>
        <v>0.6</v>
      </c>
      <c r="AF82" s="589">
        <v>0</v>
      </c>
      <c r="AG82" s="586">
        <f t="shared" si="27"/>
        <v>0</v>
      </c>
      <c r="AH82" s="714">
        <f t="shared" si="28"/>
        <v>19764</v>
      </c>
      <c r="AI82" s="714">
        <f t="shared" si="29"/>
        <v>-3600</v>
      </c>
      <c r="AJ82" s="587">
        <f t="shared" si="30"/>
        <v>-0.15408320493066255</v>
      </c>
      <c r="AK82" s="592">
        <f t="shared" si="32"/>
        <v>3.597635614301696E-2</v>
      </c>
      <c r="AL82" s="592" t="s">
        <v>293</v>
      </c>
      <c r="AM82" s="589" t="e">
        <f>VLOOKUP(F82,[7]PRM!E:R,14,FALSE)</f>
        <v>#N/A</v>
      </c>
      <c r="AN82" s="586" t="e">
        <f>T82-#REF!</f>
        <v>#REF!</v>
      </c>
      <c r="AO82" s="589"/>
    </row>
    <row r="83" spans="2:41" s="596" customFormat="1" ht="14" hidden="1">
      <c r="B83" s="803">
        <v>2605</v>
      </c>
      <c r="C83" s="1398" t="s">
        <v>292</v>
      </c>
      <c r="D83" s="1398" t="s">
        <v>308</v>
      </c>
      <c r="E83" s="1398"/>
      <c r="F83" s="1398"/>
      <c r="G83" s="713" t="s">
        <v>93</v>
      </c>
      <c r="H83" s="584"/>
      <c r="I83" s="584"/>
      <c r="J83" s="584">
        <v>5</v>
      </c>
      <c r="K83" s="584" t="s">
        <v>215</v>
      </c>
      <c r="L83" s="584" t="s">
        <v>760</v>
      </c>
      <c r="M83" s="586">
        <v>549</v>
      </c>
      <c r="N83" s="586">
        <f t="shared" si="33"/>
        <v>32940</v>
      </c>
      <c r="O83" s="584" t="s">
        <v>760</v>
      </c>
      <c r="P83" s="577">
        <f>IFERROR(_xlfn.XLOOKUP(G83,'[4]By Model'!$A:$A,'[4]By Model'!$K:$K),"")</f>
        <v>0.11301795860834823</v>
      </c>
      <c r="Q83" s="588" t="str">
        <f>IFERROR(_xlfn.XLOOKUP(F83,'[5]By Model'!$A:$A,'[5]By Model'!$B:$B),"")</f>
        <v/>
      </c>
      <c r="R83" s="579">
        <f>IFERROR(_xlfn.XLOOKUP(G83,'[4]By Model'!$A:$A,'[4]By Model'!$I:$I),"")</f>
        <v>728.14118829714289</v>
      </c>
      <c r="S83" s="588" t="str">
        <f>IFERROR(_xlfn.XLOOKUP(F83,[6]Sum!$G:$G,[6]Sum!$AM:$AM),"")</f>
        <v/>
      </c>
      <c r="T83" s="586">
        <v>549</v>
      </c>
      <c r="U83" s="586">
        <f t="shared" si="22"/>
        <v>32940</v>
      </c>
      <c r="V83" s="589">
        <v>0</v>
      </c>
      <c r="W83" s="586">
        <f t="shared" si="23"/>
        <v>0</v>
      </c>
      <c r="X83" s="586">
        <f t="shared" si="24"/>
        <v>32940</v>
      </c>
      <c r="Y83" s="590">
        <f t="shared" si="25"/>
        <v>0</v>
      </c>
      <c r="Z83" s="587">
        <f t="shared" si="31"/>
        <v>0.11301795860834823</v>
      </c>
      <c r="AA83" s="587">
        <v>0.28111821257154396</v>
      </c>
      <c r="AB83" s="592"/>
      <c r="AC83" s="586">
        <v>549</v>
      </c>
      <c r="AD83" s="586">
        <f t="shared" si="26"/>
        <v>32940</v>
      </c>
      <c r="AE83" s="715"/>
      <c r="AF83" s="593">
        <v>6</v>
      </c>
      <c r="AG83" s="586">
        <f t="shared" si="27"/>
        <v>1647</v>
      </c>
      <c r="AH83" s="714">
        <f t="shared" si="28"/>
        <v>31293</v>
      </c>
      <c r="AI83" s="714">
        <f t="shared" si="29"/>
        <v>-1647</v>
      </c>
      <c r="AJ83" s="587">
        <f t="shared" si="30"/>
        <v>-0.05</v>
      </c>
      <c r="AK83" s="592">
        <f t="shared" si="32"/>
        <v>8.801795860834824E-2</v>
      </c>
      <c r="AL83" s="592" t="s">
        <v>293</v>
      </c>
      <c r="AM83" s="589" t="e">
        <f>VLOOKUP(F83,[7]PRM!E:R,14,FALSE)</f>
        <v>#N/A</v>
      </c>
      <c r="AN83" s="586" t="e">
        <f>T83-#REF!</f>
        <v>#REF!</v>
      </c>
      <c r="AO83" s="589"/>
    </row>
    <row r="84" spans="2:41" s="596" customFormat="1" ht="14" hidden="1">
      <c r="B84" s="802">
        <v>2605</v>
      </c>
      <c r="C84" s="1397" t="s">
        <v>292</v>
      </c>
      <c r="D84" s="1397" t="s">
        <v>308</v>
      </c>
      <c r="E84" s="1397"/>
      <c r="F84" s="1397" t="s">
        <v>468</v>
      </c>
      <c r="G84" s="713" t="s">
        <v>94</v>
      </c>
      <c r="H84" s="584"/>
      <c r="I84" s="584"/>
      <c r="J84" s="584">
        <v>3</v>
      </c>
      <c r="K84" s="584" t="s">
        <v>215</v>
      </c>
      <c r="L84" s="584" t="s">
        <v>760</v>
      </c>
      <c r="M84" s="586">
        <v>899</v>
      </c>
      <c r="N84" s="586">
        <f t="shared" si="33"/>
        <v>32364</v>
      </c>
      <c r="O84" s="584" t="s">
        <v>760</v>
      </c>
      <c r="P84" s="577">
        <f>IFERROR(_xlfn.XLOOKUP(G84,'[4]By Model'!$A:$A,'[4]By Model'!$K:$K),"")</f>
        <v>-0.13559220393407129</v>
      </c>
      <c r="Q84" s="588" t="str">
        <f>IFERROR(_xlfn.XLOOKUP(F84,'[5]By Model'!$A:$A,'[5]By Model'!$B:$B),"")</f>
        <v/>
      </c>
      <c r="R84" s="579">
        <f>IFERROR(_xlfn.XLOOKUP(G84,'[4]By Model'!$A:$A,'[4]By Model'!$I:$I),"")</f>
        <v>934.94535479285707</v>
      </c>
      <c r="S84" s="588" t="str">
        <f>IFERROR(_xlfn.XLOOKUP(F84,[6]Sum!$G:$G,[6]Sum!$AM:$AM),"")</f>
        <v/>
      </c>
      <c r="T84" s="586">
        <v>849</v>
      </c>
      <c r="U84" s="586">
        <f t="shared" si="22"/>
        <v>30564</v>
      </c>
      <c r="V84" s="589">
        <v>0</v>
      </c>
      <c r="W84" s="586">
        <f t="shared" si="23"/>
        <v>0</v>
      </c>
      <c r="X84" s="586">
        <f t="shared" si="24"/>
        <v>30564</v>
      </c>
      <c r="Y84" s="590">
        <f t="shared" si="25"/>
        <v>-5.5617352614015569E-2</v>
      </c>
      <c r="Z84" s="587">
        <f t="shared" si="31"/>
        <v>-0.16340088024107907</v>
      </c>
      <c r="AA84" s="587">
        <v>0.17311544437912141</v>
      </c>
      <c r="AB84" s="592"/>
      <c r="AC84" s="586">
        <v>849</v>
      </c>
      <c r="AD84" s="586">
        <f t="shared" si="26"/>
        <v>30564</v>
      </c>
      <c r="AE84" s="590">
        <f>AD84/AD85</f>
        <v>0.72875536480686698</v>
      </c>
      <c r="AF84" s="589">
        <v>0</v>
      </c>
      <c r="AG84" s="586">
        <f t="shared" si="27"/>
        <v>0</v>
      </c>
      <c r="AH84" s="714">
        <f t="shared" si="28"/>
        <v>30564</v>
      </c>
      <c r="AI84" s="714">
        <f t="shared" si="29"/>
        <v>0</v>
      </c>
      <c r="AJ84" s="587">
        <f t="shared" si="30"/>
        <v>0</v>
      </c>
      <c r="AK84" s="592">
        <f t="shared" si="32"/>
        <v>-0.16340088024107907</v>
      </c>
      <c r="AL84" s="592"/>
      <c r="AM84" s="589" t="e">
        <f>VLOOKUP(F84,[7]PRM!E:R,14,FALSE)</f>
        <v>#N/A</v>
      </c>
      <c r="AN84" s="586" t="e">
        <f>T84-#REF!</f>
        <v>#REF!</v>
      </c>
      <c r="AO84" s="589"/>
    </row>
    <row r="85" spans="2:41" s="596" customFormat="1" ht="14" hidden="1">
      <c r="B85" s="803">
        <v>2605</v>
      </c>
      <c r="C85" s="1398" t="s">
        <v>292</v>
      </c>
      <c r="D85" s="1398" t="s">
        <v>308</v>
      </c>
      <c r="E85" s="1398"/>
      <c r="F85" s="1398"/>
      <c r="G85" s="713" t="s">
        <v>94</v>
      </c>
      <c r="H85" s="584"/>
      <c r="I85" s="584"/>
      <c r="J85" s="584">
        <v>5</v>
      </c>
      <c r="K85" s="584" t="s">
        <v>215</v>
      </c>
      <c r="L85" s="584" t="s">
        <v>760</v>
      </c>
      <c r="M85" s="586">
        <v>699</v>
      </c>
      <c r="N85" s="586">
        <f t="shared" si="33"/>
        <v>41940</v>
      </c>
      <c r="O85" s="584" t="s">
        <v>760</v>
      </c>
      <c r="P85" s="577">
        <f>IFERROR(_xlfn.XLOOKUP(G85,'[4]By Model'!$A:$A,'[4]By Model'!$K:$K),"")</f>
        <v>-0.13559220393407129</v>
      </c>
      <c r="Q85" s="588" t="str">
        <f>IFERROR(_xlfn.XLOOKUP(F85,'[5]By Model'!$A:$A,'[5]By Model'!$B:$B),"")</f>
        <v/>
      </c>
      <c r="R85" s="579">
        <f>IFERROR(_xlfn.XLOOKUP(G85,'[4]By Model'!$A:$A,'[4]By Model'!$I:$I),"")</f>
        <v>934.94535479285707</v>
      </c>
      <c r="S85" s="588" t="str">
        <f>IFERROR(_xlfn.XLOOKUP(F85,[6]Sum!$G:$G,[6]Sum!$AM:$AM),"")</f>
        <v/>
      </c>
      <c r="T85" s="586">
        <v>699</v>
      </c>
      <c r="U85" s="586">
        <f t="shared" si="22"/>
        <v>41940</v>
      </c>
      <c r="V85" s="589">
        <v>0</v>
      </c>
      <c r="W85" s="586">
        <f t="shared" si="23"/>
        <v>0</v>
      </c>
      <c r="X85" s="586">
        <f t="shared" si="24"/>
        <v>41940</v>
      </c>
      <c r="Y85" s="590">
        <f t="shared" si="25"/>
        <v>0</v>
      </c>
      <c r="Z85" s="587">
        <f t="shared" si="31"/>
        <v>-0.13559220393407129</v>
      </c>
      <c r="AA85" s="587">
        <v>0.17311544437912141</v>
      </c>
      <c r="AB85" s="592"/>
      <c r="AC85" s="586">
        <v>699</v>
      </c>
      <c r="AD85" s="586">
        <f t="shared" si="26"/>
        <v>41940</v>
      </c>
      <c r="AE85" s="715"/>
      <c r="AF85" s="589">
        <v>6</v>
      </c>
      <c r="AG85" s="586">
        <f t="shared" si="27"/>
        <v>2097</v>
      </c>
      <c r="AH85" s="714">
        <f t="shared" si="28"/>
        <v>39843</v>
      </c>
      <c r="AI85" s="714">
        <f t="shared" si="29"/>
        <v>-2097</v>
      </c>
      <c r="AJ85" s="587">
        <f t="shared" si="30"/>
        <v>-0.05</v>
      </c>
      <c r="AK85" s="592">
        <f t="shared" si="32"/>
        <v>-0.16059220393407128</v>
      </c>
      <c r="AL85" s="592"/>
      <c r="AM85" s="589" t="e">
        <f>VLOOKUP(F85,[7]PRM!E:R,14,FALSE)</f>
        <v>#N/A</v>
      </c>
      <c r="AN85" s="586" t="e">
        <f>T85-#REF!</f>
        <v>#REF!</v>
      </c>
      <c r="AO85" s="589"/>
    </row>
    <row r="86" spans="2:41" s="596" customFormat="1" ht="14" hidden="1">
      <c r="B86" s="802">
        <v>2605</v>
      </c>
      <c r="C86" s="1397" t="s">
        <v>292</v>
      </c>
      <c r="D86" s="1397" t="s">
        <v>308</v>
      </c>
      <c r="E86" s="1397"/>
      <c r="F86" s="1397" t="s">
        <v>469</v>
      </c>
      <c r="G86" s="713" t="s">
        <v>95</v>
      </c>
      <c r="H86" s="584"/>
      <c r="I86" s="584"/>
      <c r="J86" s="584">
        <v>3</v>
      </c>
      <c r="K86" s="584" t="s">
        <v>215</v>
      </c>
      <c r="L86" s="584" t="s">
        <v>760</v>
      </c>
      <c r="M86" s="586">
        <v>649</v>
      </c>
      <c r="N86" s="586">
        <f t="shared" si="33"/>
        <v>23364</v>
      </c>
      <c r="O86" s="584" t="s">
        <v>760</v>
      </c>
      <c r="P86" s="577">
        <f>IFERROR(_xlfn.XLOOKUP(G86,'[4]By Model'!$A:$A,'[4]By Model'!$K:$K),"")</f>
        <v>7.3628375853981409E-2</v>
      </c>
      <c r="Q86" s="588" t="str">
        <f>IFERROR(_xlfn.XLOOKUP(F86,'[5]By Model'!$A:$A,'[5]By Model'!$B:$B),"")</f>
        <v/>
      </c>
      <c r="R86" s="579">
        <f>IFERROR(_xlfn.XLOOKUP(G86,'[4]By Model'!$A:$A,'[4]By Model'!$I:$I),"")</f>
        <v>660.88206851799998</v>
      </c>
      <c r="S86" s="588" t="str">
        <f>IFERROR(_xlfn.XLOOKUP(F86,[6]Sum!$G:$G,[6]Sum!$AM:$AM),"")</f>
        <v/>
      </c>
      <c r="T86" s="586">
        <v>599</v>
      </c>
      <c r="U86" s="586">
        <f t="shared" si="22"/>
        <v>21564</v>
      </c>
      <c r="V86" s="589">
        <v>0</v>
      </c>
      <c r="W86" s="586">
        <f t="shared" si="23"/>
        <v>0</v>
      </c>
      <c r="X86" s="586">
        <f t="shared" si="24"/>
        <v>21564</v>
      </c>
      <c r="Y86" s="590">
        <f t="shared" si="25"/>
        <v>-7.7041602465331316E-2</v>
      </c>
      <c r="Z86" s="587">
        <f t="shared" si="31"/>
        <v>3.5107574621315751E-2</v>
      </c>
      <c r="AA86" s="587">
        <v>0.19212307985469235</v>
      </c>
      <c r="AB86" s="592"/>
      <c r="AC86" s="586">
        <v>599</v>
      </c>
      <c r="AD86" s="586">
        <f t="shared" si="26"/>
        <v>21564</v>
      </c>
      <c r="AE86" s="590">
        <f>AD86/AD87</f>
        <v>0.72024048096192383</v>
      </c>
      <c r="AF86" s="589">
        <v>0</v>
      </c>
      <c r="AG86" s="586">
        <f t="shared" si="27"/>
        <v>0</v>
      </c>
      <c r="AH86" s="714">
        <f t="shared" si="28"/>
        <v>21564</v>
      </c>
      <c r="AI86" s="714">
        <f t="shared" si="29"/>
        <v>0</v>
      </c>
      <c r="AJ86" s="587">
        <f t="shared" si="30"/>
        <v>0</v>
      </c>
      <c r="AK86" s="592">
        <f t="shared" si="32"/>
        <v>3.5107574621315751E-2</v>
      </c>
      <c r="AL86" s="592"/>
      <c r="AM86" s="589" t="e">
        <f>VLOOKUP(F86,[7]PRM!E:R,14,FALSE)</f>
        <v>#N/A</v>
      </c>
      <c r="AN86" s="586" t="e">
        <f>T86-#REF!</f>
        <v>#REF!</v>
      </c>
      <c r="AO86" s="589"/>
    </row>
    <row r="87" spans="2:41" s="596" customFormat="1" ht="14" hidden="1">
      <c r="B87" s="803">
        <v>2605</v>
      </c>
      <c r="C87" s="1398" t="s">
        <v>292</v>
      </c>
      <c r="D87" s="1398" t="s">
        <v>308</v>
      </c>
      <c r="E87" s="1398"/>
      <c r="F87" s="1398"/>
      <c r="G87" s="713" t="s">
        <v>95</v>
      </c>
      <c r="H87" s="584"/>
      <c r="I87" s="584"/>
      <c r="J87" s="584">
        <v>5</v>
      </c>
      <c r="K87" s="584" t="s">
        <v>215</v>
      </c>
      <c r="L87" s="584" t="s">
        <v>760</v>
      </c>
      <c r="M87" s="586">
        <v>449</v>
      </c>
      <c r="N87" s="586">
        <f t="shared" si="33"/>
        <v>26940</v>
      </c>
      <c r="O87" s="584" t="s">
        <v>760</v>
      </c>
      <c r="P87" s="577">
        <f>IFERROR(_xlfn.XLOOKUP(G87,'[4]By Model'!$A:$A,'[4]By Model'!$K:$K),"")</f>
        <v>7.3628375853981409E-2</v>
      </c>
      <c r="Q87" s="588" t="str">
        <f>IFERROR(_xlfn.XLOOKUP(F87,'[5]By Model'!$A:$A,'[5]By Model'!$B:$B),"")</f>
        <v/>
      </c>
      <c r="R87" s="579">
        <f>IFERROR(_xlfn.XLOOKUP(G87,'[4]By Model'!$A:$A,'[4]By Model'!$I:$I),"")</f>
        <v>660.88206851799998</v>
      </c>
      <c r="S87" s="588" t="str">
        <f>IFERROR(_xlfn.XLOOKUP(F87,[6]Sum!$G:$G,[6]Sum!$AM:$AM),"")</f>
        <v/>
      </c>
      <c r="T87" s="586">
        <v>499</v>
      </c>
      <c r="U87" s="586">
        <f t="shared" si="22"/>
        <v>29940</v>
      </c>
      <c r="V87" s="589">
        <v>0</v>
      </c>
      <c r="W87" s="586">
        <f t="shared" si="23"/>
        <v>0</v>
      </c>
      <c r="X87" s="586">
        <f t="shared" si="24"/>
        <v>29940</v>
      </c>
      <c r="Y87" s="590">
        <f t="shared" si="25"/>
        <v>0.11135857461024501</v>
      </c>
      <c r="Z87" s="587">
        <f t="shared" si="31"/>
        <v>0.12930766315910391</v>
      </c>
      <c r="AA87" s="587">
        <v>0.19212307985469235</v>
      </c>
      <c r="AB87" s="592"/>
      <c r="AC87" s="586">
        <v>499</v>
      </c>
      <c r="AD87" s="586">
        <f t="shared" si="26"/>
        <v>29940</v>
      </c>
      <c r="AE87" s="715"/>
      <c r="AF87" s="589">
        <v>6</v>
      </c>
      <c r="AG87" s="586">
        <f t="shared" si="27"/>
        <v>1497</v>
      </c>
      <c r="AH87" s="714">
        <f t="shared" si="28"/>
        <v>28443</v>
      </c>
      <c r="AI87" s="714">
        <f t="shared" si="29"/>
        <v>-1497</v>
      </c>
      <c r="AJ87" s="587">
        <f t="shared" si="30"/>
        <v>-0.05</v>
      </c>
      <c r="AK87" s="592">
        <f t="shared" si="32"/>
        <v>0.10430766315910392</v>
      </c>
      <c r="AL87" s="592"/>
      <c r="AM87" s="589" t="e">
        <f>VLOOKUP(F87,[7]PRM!E:R,14,FALSE)</f>
        <v>#N/A</v>
      </c>
      <c r="AN87" s="586" t="e">
        <f>T87-#REF!</f>
        <v>#REF!</v>
      </c>
      <c r="AO87" s="589"/>
    </row>
    <row r="88" spans="2:41" s="596" customFormat="1" ht="14" hidden="1">
      <c r="B88" s="802">
        <v>2605</v>
      </c>
      <c r="C88" s="1397" t="s">
        <v>292</v>
      </c>
      <c r="D88" s="1397" t="s">
        <v>308</v>
      </c>
      <c r="E88" s="1397"/>
      <c r="F88" s="1397" t="s">
        <v>470</v>
      </c>
      <c r="G88" s="713" t="s">
        <v>91</v>
      </c>
      <c r="H88" s="584"/>
      <c r="I88" s="584"/>
      <c r="J88" s="584">
        <v>3</v>
      </c>
      <c r="K88" s="584" t="s">
        <v>215</v>
      </c>
      <c r="L88" s="584" t="s">
        <v>760</v>
      </c>
      <c r="M88" s="586" t="s">
        <v>260</v>
      </c>
      <c r="N88" s="586" t="e">
        <f t="shared" si="33"/>
        <v>#VALUE!</v>
      </c>
      <c r="O88" s="584" t="s">
        <v>760</v>
      </c>
      <c r="P88" s="577">
        <f>IFERROR(_xlfn.XLOOKUP(G88,'[4]By Model'!$A:$A,'[4]By Model'!$K:$K),"")</f>
        <v>-0.28357677231565853</v>
      </c>
      <c r="Q88" s="588" t="str">
        <f>IFERROR(_xlfn.XLOOKUP(F88,'[5]By Model'!$A:$A,'[5]By Model'!$B:$B),"")</f>
        <v/>
      </c>
      <c r="R88" s="579">
        <f>IFERROR(_xlfn.XLOOKUP(G88,'[4]By Model'!$A:$A,'[4]By Model'!$I:$I),"")</f>
        <v>1207.8597637</v>
      </c>
      <c r="S88" s="588" t="str">
        <f>IFERROR(_xlfn.XLOOKUP(F88,[6]Sum!$G:$G,[6]Sum!$AM:$AM),"")</f>
        <v/>
      </c>
      <c r="T88" s="586"/>
      <c r="U88" s="586">
        <f t="shared" si="22"/>
        <v>0</v>
      </c>
      <c r="V88" s="589">
        <v>0</v>
      </c>
      <c r="W88" s="586">
        <f t="shared" si="23"/>
        <v>0</v>
      </c>
      <c r="X88" s="586">
        <f t="shared" si="24"/>
        <v>0</v>
      </c>
      <c r="Y88" s="590" t="e">
        <f t="shared" si="25"/>
        <v>#VALUE!</v>
      </c>
      <c r="Z88" s="587" t="str">
        <f t="shared" si="31"/>
        <v/>
      </c>
      <c r="AA88" s="587">
        <v>0.27787143003612824</v>
      </c>
      <c r="AB88" s="592"/>
      <c r="AC88" s="586"/>
      <c r="AD88" s="586">
        <f t="shared" si="26"/>
        <v>0</v>
      </c>
      <c r="AE88" s="590" t="e">
        <f>AD88/AD89</f>
        <v>#DIV/0!</v>
      </c>
      <c r="AF88" s="589">
        <v>0</v>
      </c>
      <c r="AG88" s="586">
        <f t="shared" si="27"/>
        <v>0</v>
      </c>
      <c r="AH88" s="714">
        <f t="shared" si="28"/>
        <v>0</v>
      </c>
      <c r="AI88" s="714">
        <f t="shared" si="29"/>
        <v>0</v>
      </c>
      <c r="AJ88" s="587" t="e">
        <f t="shared" si="30"/>
        <v>#DIV/0!</v>
      </c>
      <c r="AK88" s="592" t="str">
        <f t="shared" si="32"/>
        <v/>
      </c>
      <c r="AL88" s="592"/>
      <c r="AM88" s="589" t="e">
        <f>VLOOKUP(F88,[7]PRM!E:R,14,FALSE)</f>
        <v>#N/A</v>
      </c>
      <c r="AN88" s="586" t="e">
        <f>T88-#REF!</f>
        <v>#REF!</v>
      </c>
      <c r="AO88" s="589"/>
    </row>
    <row r="89" spans="2:41" s="596" customFormat="1" ht="14" hidden="1">
      <c r="B89" s="803">
        <v>2605</v>
      </c>
      <c r="C89" s="1398" t="s">
        <v>292</v>
      </c>
      <c r="D89" s="1398" t="s">
        <v>308</v>
      </c>
      <c r="E89" s="1398"/>
      <c r="F89" s="1398" t="s">
        <v>470</v>
      </c>
      <c r="G89" s="713" t="s">
        <v>91</v>
      </c>
      <c r="H89" s="584"/>
      <c r="I89" s="584"/>
      <c r="J89" s="584">
        <v>5</v>
      </c>
      <c r="K89" s="584" t="s">
        <v>215</v>
      </c>
      <c r="L89" s="584" t="s">
        <v>760</v>
      </c>
      <c r="M89" s="586" t="s">
        <v>260</v>
      </c>
      <c r="N89" s="586" t="e">
        <f t="shared" si="33"/>
        <v>#VALUE!</v>
      </c>
      <c r="O89" s="584" t="s">
        <v>760</v>
      </c>
      <c r="P89" s="577">
        <f>IFERROR(_xlfn.XLOOKUP(G89,'[4]By Model'!$A:$A,'[4]By Model'!$K:$K),"")</f>
        <v>-0.28357677231565853</v>
      </c>
      <c r="Q89" s="588" t="str">
        <f>IFERROR(_xlfn.XLOOKUP(F89,'[5]By Model'!$A:$A,'[5]By Model'!$B:$B),"")</f>
        <v/>
      </c>
      <c r="R89" s="579">
        <f>IFERROR(_xlfn.XLOOKUP(G89,'[4]By Model'!$A:$A,'[4]By Model'!$I:$I),"")</f>
        <v>1207.8597637</v>
      </c>
      <c r="S89" s="588" t="str">
        <f>IFERROR(_xlfn.XLOOKUP(F89,[6]Sum!$G:$G,[6]Sum!$AM:$AM),"")</f>
        <v/>
      </c>
      <c r="T89" s="586"/>
      <c r="U89" s="586">
        <f t="shared" si="22"/>
        <v>0</v>
      </c>
      <c r="V89" s="589">
        <v>0</v>
      </c>
      <c r="W89" s="586">
        <f t="shared" si="23"/>
        <v>0</v>
      </c>
      <c r="X89" s="586">
        <f t="shared" si="24"/>
        <v>0</v>
      </c>
      <c r="Y89" s="590" t="e">
        <f t="shared" si="25"/>
        <v>#VALUE!</v>
      </c>
      <c r="Z89" s="587" t="str">
        <f t="shared" si="31"/>
        <v/>
      </c>
      <c r="AA89" s="587">
        <v>0.27787143003612824</v>
      </c>
      <c r="AB89" s="592"/>
      <c r="AC89" s="586"/>
      <c r="AD89" s="586">
        <f t="shared" si="26"/>
        <v>0</v>
      </c>
      <c r="AE89" s="715"/>
      <c r="AF89" s="589">
        <v>6</v>
      </c>
      <c r="AG89" s="586">
        <f t="shared" si="27"/>
        <v>0</v>
      </c>
      <c r="AH89" s="714">
        <f t="shared" si="28"/>
        <v>0</v>
      </c>
      <c r="AI89" s="714">
        <f t="shared" si="29"/>
        <v>0</v>
      </c>
      <c r="AJ89" s="587" t="e">
        <f t="shared" si="30"/>
        <v>#DIV/0!</v>
      </c>
      <c r="AK89" s="592" t="str">
        <f t="shared" si="32"/>
        <v/>
      </c>
      <c r="AL89" s="592"/>
      <c r="AM89" s="589" t="e">
        <f>VLOOKUP(F89,[7]PRM!E:R,14,FALSE)</f>
        <v>#N/A</v>
      </c>
      <c r="AN89" s="586" t="e">
        <f>T89-#REF!</f>
        <v>#REF!</v>
      </c>
      <c r="AO89" s="589"/>
    </row>
    <row r="90" spans="2:41" s="436" customFormat="1" ht="14" hidden="1">
      <c r="B90" s="804">
        <v>2605</v>
      </c>
      <c r="C90" s="1374" t="s">
        <v>292</v>
      </c>
      <c r="D90" s="1374"/>
      <c r="E90" s="1374"/>
      <c r="F90" s="1374" t="s">
        <v>85</v>
      </c>
      <c r="G90" s="566" t="str">
        <f>F90</f>
        <v>32LQ630BPSA.ATM</v>
      </c>
      <c r="H90" s="566"/>
      <c r="I90" s="566"/>
      <c r="J90" s="566">
        <v>3</v>
      </c>
      <c r="K90" s="566" t="s">
        <v>215</v>
      </c>
      <c r="L90" s="566" t="s">
        <v>760</v>
      </c>
      <c r="M90" s="576">
        <v>299</v>
      </c>
      <c r="N90" s="576">
        <f t="shared" si="33"/>
        <v>10764</v>
      </c>
      <c r="O90" s="566" t="s">
        <v>760</v>
      </c>
      <c r="P90" s="577">
        <f>IFERROR(_xlfn.XLOOKUP(F90,'[4]By Model'!$A:$A,'[4]By Model'!$K:$K),"")</f>
        <v>0.20407529888581666</v>
      </c>
      <c r="Q90" s="578">
        <f>IFERROR(_xlfn.XLOOKUP(F90,'[5]By Model'!$A:$A,'[5]By Model'!$B:$B),"")</f>
        <v>12</v>
      </c>
      <c r="R90" s="579">
        <f>IFERROR(_xlfn.XLOOKUP(F90,'[4]By Model'!$A:$A,'[4]By Model'!$I:$I),"")</f>
        <v>297.89360780999999</v>
      </c>
      <c r="S90" s="578" t="str">
        <f>IFERROR(_xlfn.XLOOKUP(F90,[6]Sum!$G:$G,[6]Sum!$AM:$AM),"")</f>
        <v/>
      </c>
      <c r="T90" s="576">
        <v>299</v>
      </c>
      <c r="U90" s="576">
        <f t="shared" si="22"/>
        <v>10764</v>
      </c>
      <c r="V90" s="580">
        <v>0</v>
      </c>
      <c r="W90" s="576">
        <f t="shared" si="23"/>
        <v>0</v>
      </c>
      <c r="X90" s="576">
        <f t="shared" si="24"/>
        <v>10764</v>
      </c>
      <c r="Y90" s="581">
        <f t="shared" si="25"/>
        <v>0</v>
      </c>
      <c r="Z90" s="577">
        <f t="shared" si="31"/>
        <v>0.20407529888581666</v>
      </c>
      <c r="AA90" s="577">
        <v>0.21355935658041425</v>
      </c>
      <c r="AB90" s="582"/>
      <c r="AC90" s="576">
        <v>299</v>
      </c>
      <c r="AD90" s="576">
        <f t="shared" si="26"/>
        <v>10764</v>
      </c>
      <c r="AE90" s="581">
        <f>AD90/AD91</f>
        <v>0.90150753768844216</v>
      </c>
      <c r="AF90" s="580">
        <v>0</v>
      </c>
      <c r="AG90" s="576">
        <f t="shared" si="27"/>
        <v>0</v>
      </c>
      <c r="AH90" s="709">
        <f t="shared" si="28"/>
        <v>10764</v>
      </c>
      <c r="AI90" s="709">
        <f t="shared" si="29"/>
        <v>0</v>
      </c>
      <c r="AJ90" s="577">
        <f t="shared" si="30"/>
        <v>0</v>
      </c>
      <c r="AK90" s="582">
        <f t="shared" si="32"/>
        <v>0.20407529888581666</v>
      </c>
      <c r="AL90" s="582"/>
      <c r="AM90" s="580" t="e">
        <f>VLOOKUP(F90,[7]PRM!E:R,14,FALSE)</f>
        <v>#N/A</v>
      </c>
      <c r="AN90" s="576" t="e">
        <f>T90-#REF!</f>
        <v>#REF!</v>
      </c>
      <c r="AO90" s="580"/>
    </row>
    <row r="91" spans="2:41" s="436" customFormat="1" ht="14" hidden="1">
      <c r="B91" s="805">
        <v>2605</v>
      </c>
      <c r="C91" s="1375" t="s">
        <v>292</v>
      </c>
      <c r="D91" s="1375"/>
      <c r="E91" s="1375"/>
      <c r="F91" s="1375" t="s">
        <v>85</v>
      </c>
      <c r="G91" s="566" t="str">
        <f t="shared" ref="G91:G107" si="34">F91</f>
        <v>32LQ630BPSA.ATM</v>
      </c>
      <c r="H91" s="566"/>
      <c r="I91" s="566"/>
      <c r="J91" s="566">
        <v>5</v>
      </c>
      <c r="K91" s="566" t="s">
        <v>215</v>
      </c>
      <c r="L91" s="566" t="s">
        <v>760</v>
      </c>
      <c r="M91" s="576">
        <v>199</v>
      </c>
      <c r="N91" s="576">
        <f t="shared" si="33"/>
        <v>11940</v>
      </c>
      <c r="O91" s="566" t="s">
        <v>760</v>
      </c>
      <c r="P91" s="577">
        <f>IFERROR(_xlfn.XLOOKUP(F91,'[4]By Model'!$A:$A,'[4]By Model'!$K:$K),"")</f>
        <v>0.20407529888581666</v>
      </c>
      <c r="Q91" s="578">
        <f>IFERROR(_xlfn.XLOOKUP(F91,'[5]By Model'!$A:$A,'[5]By Model'!$B:$B),"")</f>
        <v>12</v>
      </c>
      <c r="R91" s="579">
        <f>IFERROR(_xlfn.XLOOKUP(F91,'[4]By Model'!$A:$A,'[4]By Model'!$I:$I),"")</f>
        <v>297.89360780999999</v>
      </c>
      <c r="S91" s="578" t="str">
        <f>IFERROR(_xlfn.XLOOKUP(F91,[6]Sum!$G:$G,[6]Sum!$AM:$AM),"")</f>
        <v/>
      </c>
      <c r="T91" s="576">
        <v>179</v>
      </c>
      <c r="U91" s="576">
        <f t="shared" si="22"/>
        <v>10740</v>
      </c>
      <c r="V91" s="580">
        <v>0</v>
      </c>
      <c r="W91" s="576">
        <f t="shared" si="23"/>
        <v>0</v>
      </c>
      <c r="X91" s="576">
        <f t="shared" si="24"/>
        <v>10740</v>
      </c>
      <c r="Y91" s="581">
        <f t="shared" si="25"/>
        <v>-0.10050251256281406</v>
      </c>
      <c r="Z91" s="577">
        <f t="shared" si="31"/>
        <v>0.15382404260440963</v>
      </c>
      <c r="AA91" s="577">
        <v>0.21355935658041425</v>
      </c>
      <c r="AB91" s="582"/>
      <c r="AC91" s="576">
        <v>199</v>
      </c>
      <c r="AD91" s="576">
        <f t="shared" si="26"/>
        <v>11940</v>
      </c>
      <c r="AE91" s="711"/>
      <c r="AF91" s="583">
        <v>0</v>
      </c>
      <c r="AG91" s="576">
        <f t="shared" si="27"/>
        <v>0</v>
      </c>
      <c r="AH91" s="709">
        <f t="shared" si="28"/>
        <v>11940</v>
      </c>
      <c r="AI91" s="709">
        <f t="shared" si="29"/>
        <v>1200</v>
      </c>
      <c r="AJ91" s="577">
        <f t="shared" si="30"/>
        <v>0.11173184357541899</v>
      </c>
      <c r="AK91" s="582">
        <f t="shared" si="32"/>
        <v>0.20968996439211912</v>
      </c>
      <c r="AL91" s="582"/>
      <c r="AM91" s="580" t="e">
        <f>VLOOKUP(F91,[7]PRM!E:R,14,FALSE)</f>
        <v>#N/A</v>
      </c>
      <c r="AN91" s="576" t="e">
        <f>T91-#REF!</f>
        <v>#REF!</v>
      </c>
      <c r="AO91" s="580"/>
    </row>
    <row r="92" spans="2:41" s="436" customFormat="1" ht="14" hidden="1">
      <c r="B92" s="804">
        <v>2605</v>
      </c>
      <c r="C92" s="1374" t="s">
        <v>292</v>
      </c>
      <c r="D92" s="1374"/>
      <c r="E92" s="1374"/>
      <c r="F92" s="1374" t="s">
        <v>214</v>
      </c>
      <c r="G92" s="566" t="str">
        <f t="shared" si="34"/>
        <v>27LX6TDGA.ATM</v>
      </c>
      <c r="H92" s="566"/>
      <c r="I92" s="566"/>
      <c r="J92" s="566">
        <v>3</v>
      </c>
      <c r="K92" s="566" t="s">
        <v>215</v>
      </c>
      <c r="L92" s="566" t="s">
        <v>760</v>
      </c>
      <c r="M92" s="576">
        <v>1199</v>
      </c>
      <c r="N92" s="576">
        <f t="shared" si="33"/>
        <v>43164</v>
      </c>
      <c r="O92" s="566" t="s">
        <v>760</v>
      </c>
      <c r="P92" s="577">
        <f>IFERROR(_xlfn.XLOOKUP(F92,'[4]By Model'!$A:$A,'[4]By Model'!$K:$K),"")</f>
        <v>2.3151953745518233E-2</v>
      </c>
      <c r="Q92" s="578">
        <f>IFERROR(_xlfn.XLOOKUP(F92,'[5]By Model'!$A:$A,'[5]By Model'!$B:$B),"")</f>
        <v>174</v>
      </c>
      <c r="R92" s="579">
        <f>IFERROR(_xlfn.XLOOKUP(F92,'[4]By Model'!$A:$A,'[4]By Model'!$I:$I),"")</f>
        <v>908.34641473591546</v>
      </c>
      <c r="S92" s="578">
        <f>IFERROR(_xlfn.XLOOKUP(F92,[6]Sum!$G:$G,[6]Sum!$AM:$AM),"")</f>
        <v>138</v>
      </c>
      <c r="T92" s="576">
        <v>1049</v>
      </c>
      <c r="U92" s="576">
        <f t="shared" si="22"/>
        <v>37764</v>
      </c>
      <c r="V92" s="580">
        <v>0</v>
      </c>
      <c r="W92" s="576">
        <f t="shared" si="23"/>
        <v>0</v>
      </c>
      <c r="X92" s="576">
        <f t="shared" si="24"/>
        <v>37764</v>
      </c>
      <c r="Y92" s="581">
        <f t="shared" si="25"/>
        <v>-0.12510425354462051</v>
      </c>
      <c r="Z92" s="577">
        <f t="shared" si="31"/>
        <v>-3.9400173026792024E-2</v>
      </c>
      <c r="AA92" s="577"/>
      <c r="AB92" s="582" t="s">
        <v>218</v>
      </c>
      <c r="AC92" s="576">
        <v>1049</v>
      </c>
      <c r="AD92" s="576">
        <f t="shared" si="26"/>
        <v>37764</v>
      </c>
      <c r="AE92" s="581">
        <f>AD92/AD93</f>
        <v>0.96979969183359016</v>
      </c>
      <c r="AF92" s="580">
        <v>0</v>
      </c>
      <c r="AG92" s="576">
        <f t="shared" si="27"/>
        <v>0</v>
      </c>
      <c r="AH92" s="709">
        <f t="shared" si="28"/>
        <v>37764</v>
      </c>
      <c r="AI92" s="709">
        <f t="shared" si="29"/>
        <v>0</v>
      </c>
      <c r="AJ92" s="577">
        <f t="shared" si="30"/>
        <v>0</v>
      </c>
      <c r="AK92" s="582">
        <f t="shared" si="32"/>
        <v>-3.9400173026792024E-2</v>
      </c>
      <c r="AL92" s="582" t="s">
        <v>489</v>
      </c>
      <c r="AM92" s="580"/>
      <c r="AN92" s="576"/>
      <c r="AO92" s="580"/>
    </row>
    <row r="93" spans="2:41" s="436" customFormat="1" ht="14" hidden="1">
      <c r="B93" s="805">
        <v>2605</v>
      </c>
      <c r="C93" s="1375" t="s">
        <v>292</v>
      </c>
      <c r="D93" s="1375"/>
      <c r="E93" s="1375"/>
      <c r="F93" s="1375" t="s">
        <v>214</v>
      </c>
      <c r="G93" s="566" t="str">
        <f t="shared" si="34"/>
        <v>27LX6TDGA.ATM</v>
      </c>
      <c r="H93" s="566"/>
      <c r="I93" s="566"/>
      <c r="J93" s="566">
        <v>5</v>
      </c>
      <c r="K93" s="566" t="s">
        <v>215</v>
      </c>
      <c r="L93" s="566" t="s">
        <v>760</v>
      </c>
      <c r="M93" s="576">
        <v>1199</v>
      </c>
      <c r="N93" s="576">
        <f t="shared" si="33"/>
        <v>71940</v>
      </c>
      <c r="O93" s="566" t="s">
        <v>760</v>
      </c>
      <c r="P93" s="577">
        <f>IFERROR(_xlfn.XLOOKUP(F93,'[4]By Model'!$A:$A,'[4]By Model'!$K:$K),"")</f>
        <v>2.3151953745518233E-2</v>
      </c>
      <c r="Q93" s="578">
        <f>IFERROR(_xlfn.XLOOKUP(F93,'[5]By Model'!$A:$A,'[5]By Model'!$B:$B),"")</f>
        <v>174</v>
      </c>
      <c r="R93" s="579">
        <f>IFERROR(_xlfn.XLOOKUP(F93,'[4]By Model'!$A:$A,'[4]By Model'!$I:$I),"")</f>
        <v>908.34641473591546</v>
      </c>
      <c r="S93" s="578">
        <f>IFERROR(_xlfn.XLOOKUP(F93,[6]Sum!$G:$G,[6]Sum!$AM:$AM),"")</f>
        <v>138</v>
      </c>
      <c r="T93" s="576">
        <v>649</v>
      </c>
      <c r="U93" s="576">
        <f t="shared" si="22"/>
        <v>38940</v>
      </c>
      <c r="V93" s="580">
        <v>6</v>
      </c>
      <c r="W93" s="576">
        <f t="shared" si="23"/>
        <v>1947</v>
      </c>
      <c r="X93" s="576">
        <f t="shared" si="24"/>
        <v>36993</v>
      </c>
      <c r="Y93" s="581">
        <f t="shared" si="25"/>
        <v>-0.48577981651376145</v>
      </c>
      <c r="Z93" s="577">
        <f t="shared" si="31"/>
        <v>-0.21973795451136249</v>
      </c>
      <c r="AA93" s="577"/>
      <c r="AB93" s="582" t="s">
        <v>218</v>
      </c>
      <c r="AC93" s="576">
        <v>649</v>
      </c>
      <c r="AD93" s="576">
        <f t="shared" si="26"/>
        <v>38940</v>
      </c>
      <c r="AE93" s="711"/>
      <c r="AF93" s="580">
        <v>6</v>
      </c>
      <c r="AG93" s="576">
        <f t="shared" si="27"/>
        <v>1947</v>
      </c>
      <c r="AH93" s="709">
        <f t="shared" si="28"/>
        <v>36993</v>
      </c>
      <c r="AI93" s="709">
        <f t="shared" si="29"/>
        <v>0</v>
      </c>
      <c r="AJ93" s="577">
        <f t="shared" si="30"/>
        <v>0</v>
      </c>
      <c r="AK93" s="582">
        <f t="shared" si="32"/>
        <v>-0.21973795451136249</v>
      </c>
      <c r="AL93" s="582" t="s">
        <v>489</v>
      </c>
      <c r="AM93" s="580"/>
      <c r="AN93" s="576"/>
      <c r="AO93" s="580"/>
    </row>
    <row r="94" spans="2:41" s="436" customFormat="1" ht="14" hidden="1">
      <c r="B94" s="804">
        <v>2605</v>
      </c>
      <c r="C94" s="1374" t="s">
        <v>44</v>
      </c>
      <c r="D94" s="1374"/>
      <c r="E94" s="1374"/>
      <c r="F94" s="1374" t="s">
        <v>191</v>
      </c>
      <c r="G94" s="566" t="str">
        <f t="shared" si="34"/>
        <v>34GX90SA-W.ATM</v>
      </c>
      <c r="H94" s="566"/>
      <c r="I94" s="566"/>
      <c r="J94" s="566">
        <v>3</v>
      </c>
      <c r="K94" s="566" t="s">
        <v>215</v>
      </c>
      <c r="L94" s="566" t="s">
        <v>760</v>
      </c>
      <c r="M94" s="576">
        <v>1049</v>
      </c>
      <c r="N94" s="576">
        <f t="shared" si="33"/>
        <v>37764</v>
      </c>
      <c r="O94" s="566" t="s">
        <v>760</v>
      </c>
      <c r="P94" s="577">
        <f>IFERROR(_xlfn.XLOOKUP(F94,'[4]By Model'!$A:$A,'[4]By Model'!$K:$K),"")</f>
        <v>2.8169032946193059E-3</v>
      </c>
      <c r="Q94" s="578">
        <f>IFERROR(_xlfn.XLOOKUP(F94,'[5]By Model'!$A:$A,'[5]By Model'!$B:$B),"")</f>
        <v>2</v>
      </c>
      <c r="R94" s="579">
        <f>IFERROR(_xlfn.XLOOKUP(F94,'[4]By Model'!$A:$A,'[4]By Model'!$I:$I),"")</f>
        <v>1176.9144884499999</v>
      </c>
      <c r="S94" s="578" t="str">
        <f>IFERROR(_xlfn.XLOOKUP(F94,[6]Sum!$G:$G,[6]Sum!$AM:$AM),"")</f>
        <v/>
      </c>
      <c r="T94" s="576">
        <v>999</v>
      </c>
      <c r="U94" s="576">
        <f t="shared" si="22"/>
        <v>35964</v>
      </c>
      <c r="V94" s="580">
        <v>0</v>
      </c>
      <c r="W94" s="576">
        <f t="shared" si="23"/>
        <v>0</v>
      </c>
      <c r="X94" s="576">
        <f t="shared" si="24"/>
        <v>35964</v>
      </c>
      <c r="Y94" s="581">
        <f t="shared" si="25"/>
        <v>-4.7664442326024736E-2</v>
      </c>
      <c r="Z94" s="577">
        <f t="shared" si="31"/>
        <v>-2.1015317868393061E-2</v>
      </c>
      <c r="AA94" s="577">
        <v>0.19971948594228475</v>
      </c>
      <c r="AB94" s="582"/>
      <c r="AC94" s="576">
        <v>999</v>
      </c>
      <c r="AD94" s="576">
        <f t="shared" si="26"/>
        <v>35964</v>
      </c>
      <c r="AE94" s="581">
        <f>AD94/AD95</f>
        <v>0.75018773466833544</v>
      </c>
      <c r="AF94" s="580">
        <v>0</v>
      </c>
      <c r="AG94" s="576">
        <f t="shared" si="27"/>
        <v>0</v>
      </c>
      <c r="AH94" s="709">
        <f t="shared" si="28"/>
        <v>35964</v>
      </c>
      <c r="AI94" s="709">
        <f t="shared" si="29"/>
        <v>0</v>
      </c>
      <c r="AJ94" s="577">
        <f t="shared" si="30"/>
        <v>0</v>
      </c>
      <c r="AK94" s="582">
        <f t="shared" si="32"/>
        <v>-2.1015317868393061E-2</v>
      </c>
      <c r="AL94" s="582"/>
      <c r="AM94" s="580" t="e">
        <f>VLOOKUP(F94,[7]PRM!E:R,14,FALSE)</f>
        <v>#N/A</v>
      </c>
      <c r="AN94" s="576" t="e">
        <f>T94-#REF!</f>
        <v>#REF!</v>
      </c>
      <c r="AO94" s="580"/>
    </row>
    <row r="95" spans="2:41" s="436" customFormat="1" ht="14" hidden="1">
      <c r="B95" s="805">
        <v>2605</v>
      </c>
      <c r="C95" s="1375" t="s">
        <v>44</v>
      </c>
      <c r="D95" s="1375"/>
      <c r="E95" s="1375"/>
      <c r="F95" s="1375" t="s">
        <v>191</v>
      </c>
      <c r="G95" s="566" t="str">
        <f t="shared" si="34"/>
        <v>34GX90SA-W.ATM</v>
      </c>
      <c r="H95" s="566"/>
      <c r="I95" s="566"/>
      <c r="J95" s="566">
        <v>5</v>
      </c>
      <c r="K95" s="566" t="s">
        <v>215</v>
      </c>
      <c r="L95" s="566" t="s">
        <v>760</v>
      </c>
      <c r="M95" s="576">
        <v>1049</v>
      </c>
      <c r="N95" s="576">
        <f t="shared" si="33"/>
        <v>62940</v>
      </c>
      <c r="O95" s="566" t="s">
        <v>760</v>
      </c>
      <c r="P95" s="577">
        <f>IFERROR(_xlfn.XLOOKUP(F95,'[4]By Model'!$A:$A,'[4]By Model'!$K:$K),"")</f>
        <v>2.8169032946193059E-3</v>
      </c>
      <c r="Q95" s="578">
        <f>IFERROR(_xlfn.XLOOKUP(F95,'[5]By Model'!$A:$A,'[5]By Model'!$B:$B),"")</f>
        <v>2</v>
      </c>
      <c r="R95" s="579">
        <f>IFERROR(_xlfn.XLOOKUP(F95,'[4]By Model'!$A:$A,'[4]By Model'!$I:$I),"")</f>
        <v>1176.9144884499999</v>
      </c>
      <c r="S95" s="578" t="str">
        <f>IFERROR(_xlfn.XLOOKUP(F95,[6]Sum!$G:$G,[6]Sum!$AM:$AM),"")</f>
        <v/>
      </c>
      <c r="T95" s="576">
        <v>799</v>
      </c>
      <c r="U95" s="576">
        <f t="shared" si="22"/>
        <v>47940</v>
      </c>
      <c r="V95" s="580">
        <v>0</v>
      </c>
      <c r="W95" s="576">
        <f t="shared" si="23"/>
        <v>0</v>
      </c>
      <c r="X95" s="576">
        <f t="shared" si="24"/>
        <v>47940</v>
      </c>
      <c r="Y95" s="581">
        <f t="shared" si="25"/>
        <v>-0.2383222116301239</v>
      </c>
      <c r="Z95" s="577">
        <f t="shared" si="31"/>
        <v>-0.11634420252044264</v>
      </c>
      <c r="AA95" s="577">
        <v>0.19971948594228475</v>
      </c>
      <c r="AB95" s="582"/>
      <c r="AC95" s="576">
        <v>799</v>
      </c>
      <c r="AD95" s="576">
        <f t="shared" si="26"/>
        <v>47940</v>
      </c>
      <c r="AE95" s="711"/>
      <c r="AF95" s="583">
        <v>0</v>
      </c>
      <c r="AG95" s="576">
        <f t="shared" si="27"/>
        <v>0</v>
      </c>
      <c r="AH95" s="709">
        <f t="shared" si="28"/>
        <v>47940</v>
      </c>
      <c r="AI95" s="709">
        <f t="shared" si="29"/>
        <v>0</v>
      </c>
      <c r="AJ95" s="577">
        <f t="shared" si="30"/>
        <v>0</v>
      </c>
      <c r="AK95" s="582">
        <f t="shared" si="32"/>
        <v>-0.11634420252044264</v>
      </c>
      <c r="AL95" s="582"/>
      <c r="AM95" s="580" t="e">
        <f>VLOOKUP(F95,[7]PRM!E:R,14,FALSE)</f>
        <v>#N/A</v>
      </c>
      <c r="AN95" s="576" t="e">
        <f>T95-#REF!</f>
        <v>#REF!</v>
      </c>
      <c r="AO95" s="580"/>
    </row>
    <row r="96" spans="2:41" s="436" customFormat="1" ht="14" hidden="1">
      <c r="B96" s="804">
        <v>2605</v>
      </c>
      <c r="C96" s="1374" t="s">
        <v>44</v>
      </c>
      <c r="D96" s="1374" t="s">
        <v>323</v>
      </c>
      <c r="E96" s="1374"/>
      <c r="F96" s="1374" t="s">
        <v>374</v>
      </c>
      <c r="G96" s="566" t="str">
        <f t="shared" si="34"/>
        <v>27GX790A-B.ATM</v>
      </c>
      <c r="H96" s="566"/>
      <c r="I96" s="566"/>
      <c r="J96" s="566">
        <v>3</v>
      </c>
      <c r="K96" s="566" t="s">
        <v>215</v>
      </c>
      <c r="L96" s="566" t="s">
        <v>760</v>
      </c>
      <c r="M96" s="576">
        <v>949</v>
      </c>
      <c r="N96" s="576">
        <f t="shared" si="33"/>
        <v>34164</v>
      </c>
      <c r="O96" s="566" t="s">
        <v>760</v>
      </c>
      <c r="P96" s="577" t="str">
        <f>IFERROR(_xlfn.XLOOKUP(F96,'[4]By Model'!$A:$A,'[4]By Model'!$K:$K),"")</f>
        <v/>
      </c>
      <c r="Q96" s="578">
        <f>IFERROR(_xlfn.XLOOKUP(F96,'[5]By Model'!$A:$A,'[5]By Model'!$B:$B),"")</f>
        <v>1</v>
      </c>
      <c r="R96" s="579" t="str">
        <f>IFERROR(_xlfn.XLOOKUP(F96,'[4]By Model'!$A:$A,'[4]By Model'!$I:$I),"")</f>
        <v/>
      </c>
      <c r="S96" s="578" t="str">
        <f>IFERROR(_xlfn.XLOOKUP(F96,[6]Sum!$G:$G,[6]Sum!$AM:$AM),"")</f>
        <v/>
      </c>
      <c r="T96" s="576">
        <v>899</v>
      </c>
      <c r="U96" s="576">
        <f t="shared" si="22"/>
        <v>32364</v>
      </c>
      <c r="V96" s="580">
        <v>0</v>
      </c>
      <c r="W96" s="576">
        <f t="shared" si="23"/>
        <v>0</v>
      </c>
      <c r="X96" s="576">
        <f t="shared" si="24"/>
        <v>32364</v>
      </c>
      <c r="Y96" s="581">
        <f t="shared" si="25"/>
        <v>-5.2687038988408874E-2</v>
      </c>
      <c r="Z96" s="577" t="str">
        <f t="shared" si="31"/>
        <v/>
      </c>
      <c r="AA96" s="577">
        <v>0.19715390367041863</v>
      </c>
      <c r="AB96" s="582"/>
      <c r="AC96" s="576">
        <v>899</v>
      </c>
      <c r="AD96" s="576">
        <f t="shared" si="26"/>
        <v>32364</v>
      </c>
      <c r="AE96" s="581">
        <f>AD96/AD97</f>
        <v>0.83112480739599381</v>
      </c>
      <c r="AF96" s="580">
        <v>0</v>
      </c>
      <c r="AG96" s="576">
        <f t="shared" si="27"/>
        <v>0</v>
      </c>
      <c r="AH96" s="709">
        <f t="shared" si="28"/>
        <v>32364</v>
      </c>
      <c r="AI96" s="709">
        <f t="shared" si="29"/>
        <v>0</v>
      </c>
      <c r="AJ96" s="577">
        <f t="shared" si="30"/>
        <v>0</v>
      </c>
      <c r="AK96" s="582" t="str">
        <f t="shared" si="32"/>
        <v/>
      </c>
      <c r="AL96" s="582"/>
      <c r="AM96" s="580" t="e">
        <f>VLOOKUP(F96,[7]PRM!E:R,14,FALSE)</f>
        <v>#N/A</v>
      </c>
      <c r="AN96" s="576" t="e">
        <f>T96-#REF!</f>
        <v>#REF!</v>
      </c>
      <c r="AO96" s="580"/>
    </row>
    <row r="97" spans="2:42" s="718" customFormat="1" ht="14" hidden="1">
      <c r="B97" s="805">
        <v>2605</v>
      </c>
      <c r="C97" s="1375" t="s">
        <v>44</v>
      </c>
      <c r="D97" s="1375"/>
      <c r="E97" s="1375"/>
      <c r="F97" s="1375" t="s">
        <v>374</v>
      </c>
      <c r="G97" s="600" t="str">
        <f t="shared" si="34"/>
        <v>27GX790A-B.ATM</v>
      </c>
      <c r="H97" s="600"/>
      <c r="I97" s="600"/>
      <c r="J97" s="600">
        <v>5</v>
      </c>
      <c r="K97" s="600" t="s">
        <v>215</v>
      </c>
      <c r="L97" s="600" t="s">
        <v>760</v>
      </c>
      <c r="M97" s="601">
        <v>949</v>
      </c>
      <c r="N97" s="601">
        <f t="shared" si="33"/>
        <v>56940</v>
      </c>
      <c r="O97" s="600" t="s">
        <v>760</v>
      </c>
      <c r="P97" s="602" t="str">
        <f>IFERROR(_xlfn.XLOOKUP(F97,'[4]By Model'!$A:$A,'[4]By Model'!$K:$K),"")</f>
        <v/>
      </c>
      <c r="Q97" s="603">
        <f>IFERROR(_xlfn.XLOOKUP(F97,'[5]By Model'!$A:$A,'[5]By Model'!$B:$B),"")</f>
        <v>1</v>
      </c>
      <c r="R97" s="716" t="str">
        <f>IFERROR(_xlfn.XLOOKUP(F97,'[4]By Model'!$A:$A,'[4]By Model'!$I:$I),"")</f>
        <v/>
      </c>
      <c r="S97" s="603" t="str">
        <f>IFERROR(_xlfn.XLOOKUP(F97,[6]Sum!$G:$G,[6]Sum!$AM:$AM),"")</f>
        <v/>
      </c>
      <c r="T97" s="601">
        <v>649</v>
      </c>
      <c r="U97" s="601">
        <f t="shared" si="22"/>
        <v>38940</v>
      </c>
      <c r="V97" s="604">
        <v>3</v>
      </c>
      <c r="W97" s="601">
        <f t="shared" si="23"/>
        <v>973.5</v>
      </c>
      <c r="X97" s="601">
        <f t="shared" si="24"/>
        <v>37966.5</v>
      </c>
      <c r="Y97" s="602">
        <f t="shared" si="25"/>
        <v>-0.33321917808219181</v>
      </c>
      <c r="Z97" s="602" t="str">
        <f t="shared" si="31"/>
        <v/>
      </c>
      <c r="AA97" s="602">
        <v>0.19715390367041863</v>
      </c>
      <c r="AB97" s="607"/>
      <c r="AC97" s="601">
        <v>649</v>
      </c>
      <c r="AD97" s="601">
        <f t="shared" si="26"/>
        <v>38940</v>
      </c>
      <c r="AE97" s="608"/>
      <c r="AF97" s="610">
        <v>3</v>
      </c>
      <c r="AG97" s="601">
        <f t="shared" si="27"/>
        <v>973.5</v>
      </c>
      <c r="AH97" s="717">
        <f t="shared" si="28"/>
        <v>37966.5</v>
      </c>
      <c r="AI97" s="717">
        <f t="shared" si="29"/>
        <v>0</v>
      </c>
      <c r="AJ97" s="602">
        <f t="shared" si="30"/>
        <v>0</v>
      </c>
      <c r="AK97" s="607" t="str">
        <f t="shared" si="32"/>
        <v/>
      </c>
      <c r="AL97" s="607"/>
      <c r="AM97" s="604" t="e">
        <f>VLOOKUP(F97,[7]PRM!E:R,14,FALSE)</f>
        <v>#N/A</v>
      </c>
      <c r="AN97" s="601" t="e">
        <f>T97-#REF!</f>
        <v>#REF!</v>
      </c>
      <c r="AO97" s="604"/>
    </row>
    <row r="98" spans="2:42" s="436" customFormat="1" ht="14" hidden="1">
      <c r="B98" s="804">
        <v>2605</v>
      </c>
      <c r="C98" s="1374" t="s">
        <v>44</v>
      </c>
      <c r="D98" s="1374"/>
      <c r="E98" s="1374"/>
      <c r="F98" s="1374" t="s">
        <v>164</v>
      </c>
      <c r="G98" s="566" t="str">
        <f t="shared" si="34"/>
        <v>32U889SA-W.ATM</v>
      </c>
      <c r="H98" s="566"/>
      <c r="I98" s="566"/>
      <c r="J98" s="566">
        <v>3</v>
      </c>
      <c r="K98" s="566" t="s">
        <v>215</v>
      </c>
      <c r="L98" s="566" t="s">
        <v>760</v>
      </c>
      <c r="M98" s="576">
        <v>899</v>
      </c>
      <c r="N98" s="576">
        <f t="shared" si="33"/>
        <v>32364</v>
      </c>
      <c r="O98" s="566" t="s">
        <v>760</v>
      </c>
      <c r="P98" s="577">
        <f>IFERROR(_xlfn.XLOOKUP(F98,'[4]By Model'!$A:$A,'[4]By Model'!$K:$K),"")</f>
        <v>1.4838149925544346E-2</v>
      </c>
      <c r="Q98" s="578">
        <f>IFERROR(_xlfn.XLOOKUP(F98,'[5]By Model'!$A:$A,'[5]By Model'!$B:$B),"")</f>
        <v>99</v>
      </c>
      <c r="R98" s="579">
        <f>IFERROR(_xlfn.XLOOKUP(F98,'[4]By Model'!$A:$A,'[4]By Model'!$I:$I),"")</f>
        <v>849.94495977303382</v>
      </c>
      <c r="S98" s="578" t="str">
        <f>IFERROR(_xlfn.XLOOKUP(F98,[6]Sum!$G:$G,[6]Sum!$AM:$AM),"")</f>
        <v/>
      </c>
      <c r="T98" s="576">
        <v>849</v>
      </c>
      <c r="U98" s="576">
        <f t="shared" si="22"/>
        <v>30564</v>
      </c>
      <c r="V98" s="580">
        <v>0</v>
      </c>
      <c r="W98" s="576">
        <f t="shared" si="23"/>
        <v>0</v>
      </c>
      <c r="X98" s="576">
        <f t="shared" si="24"/>
        <v>30564</v>
      </c>
      <c r="Y98" s="581">
        <f t="shared" si="25"/>
        <v>-5.5617352614015569E-2</v>
      </c>
      <c r="Z98" s="577">
        <f t="shared" si="31"/>
        <v>-1.2970526381463439E-2</v>
      </c>
      <c r="AA98" s="577">
        <v>0.20319553918412364</v>
      </c>
      <c r="AB98" s="582" t="s">
        <v>293</v>
      </c>
      <c r="AC98" s="576">
        <v>849</v>
      </c>
      <c r="AD98" s="576">
        <f t="shared" si="26"/>
        <v>30564</v>
      </c>
      <c r="AE98" s="581">
        <f>AD98/AD99</f>
        <v>0.85041736227045073</v>
      </c>
      <c r="AF98" s="580">
        <v>0</v>
      </c>
      <c r="AG98" s="576">
        <f t="shared" si="27"/>
        <v>0</v>
      </c>
      <c r="AH98" s="709">
        <f t="shared" si="28"/>
        <v>30564</v>
      </c>
      <c r="AI98" s="709">
        <f t="shared" si="29"/>
        <v>0</v>
      </c>
      <c r="AJ98" s="577">
        <f t="shared" si="30"/>
        <v>0</v>
      </c>
      <c r="AK98" s="582">
        <f t="shared" si="32"/>
        <v>-1.2970526381463439E-2</v>
      </c>
      <c r="AL98" s="582" t="s">
        <v>293</v>
      </c>
      <c r="AM98" s="580" t="e">
        <f>VLOOKUP(F98,[7]PRM!E:R,14,FALSE)</f>
        <v>#N/A</v>
      </c>
      <c r="AN98" s="576" t="e">
        <f>T98-#REF!</f>
        <v>#REF!</v>
      </c>
      <c r="AO98" s="580"/>
    </row>
    <row r="99" spans="2:42" s="436" customFormat="1" ht="14" hidden="1">
      <c r="B99" s="805">
        <v>2605</v>
      </c>
      <c r="C99" s="1375" t="s">
        <v>44</v>
      </c>
      <c r="D99" s="1375"/>
      <c r="E99" s="1375"/>
      <c r="F99" s="1375" t="s">
        <v>164</v>
      </c>
      <c r="G99" s="566" t="str">
        <f t="shared" si="34"/>
        <v>32U889SA-W.ATM</v>
      </c>
      <c r="H99" s="566"/>
      <c r="I99" s="566"/>
      <c r="J99" s="566">
        <v>5</v>
      </c>
      <c r="K99" s="566" t="s">
        <v>215</v>
      </c>
      <c r="L99" s="566" t="s">
        <v>760</v>
      </c>
      <c r="M99" s="576">
        <v>899</v>
      </c>
      <c r="N99" s="576">
        <f t="shared" si="33"/>
        <v>53940</v>
      </c>
      <c r="O99" s="566" t="s">
        <v>760</v>
      </c>
      <c r="P99" s="577">
        <f>IFERROR(_xlfn.XLOOKUP(F99,'[4]By Model'!$A:$A,'[4]By Model'!$K:$K),"")</f>
        <v>1.4838149925544346E-2</v>
      </c>
      <c r="Q99" s="578">
        <f>IFERROR(_xlfn.XLOOKUP(F99,'[5]By Model'!$A:$A,'[5]By Model'!$B:$B),"")</f>
        <v>99</v>
      </c>
      <c r="R99" s="579">
        <f>IFERROR(_xlfn.XLOOKUP(F99,'[4]By Model'!$A:$A,'[4]By Model'!$I:$I),"")</f>
        <v>849.94495977303382</v>
      </c>
      <c r="S99" s="578" t="str">
        <f>IFERROR(_xlfn.XLOOKUP(F99,[6]Sum!$G:$G,[6]Sum!$AM:$AM),"")</f>
        <v/>
      </c>
      <c r="T99" s="576">
        <v>599</v>
      </c>
      <c r="U99" s="576">
        <f t="shared" si="22"/>
        <v>35940</v>
      </c>
      <c r="V99" s="580">
        <v>6</v>
      </c>
      <c r="W99" s="576">
        <f t="shared" si="23"/>
        <v>1797</v>
      </c>
      <c r="X99" s="576">
        <f t="shared" si="24"/>
        <v>34143</v>
      </c>
      <c r="Y99" s="581">
        <f t="shared" si="25"/>
        <v>-0.36701890989988872</v>
      </c>
      <c r="Z99" s="577">
        <f t="shared" si="31"/>
        <v>-0.1686713050244</v>
      </c>
      <c r="AA99" s="577">
        <v>0.20319553918412364</v>
      </c>
      <c r="AB99" s="582" t="s">
        <v>293</v>
      </c>
      <c r="AC99" s="576">
        <v>599</v>
      </c>
      <c r="AD99" s="576">
        <f t="shared" si="26"/>
        <v>35940</v>
      </c>
      <c r="AE99" s="711"/>
      <c r="AF99" s="583">
        <v>6</v>
      </c>
      <c r="AG99" s="576">
        <f t="shared" si="27"/>
        <v>1797</v>
      </c>
      <c r="AH99" s="709">
        <f t="shared" si="28"/>
        <v>34143</v>
      </c>
      <c r="AI99" s="709">
        <f t="shared" si="29"/>
        <v>0</v>
      </c>
      <c r="AJ99" s="577">
        <f t="shared" si="30"/>
        <v>0</v>
      </c>
      <c r="AK99" s="582">
        <f t="shared" si="32"/>
        <v>-0.1686713050244</v>
      </c>
      <c r="AL99" s="582" t="s">
        <v>293</v>
      </c>
      <c r="AM99" s="580" t="e">
        <f>VLOOKUP(F99,[7]PRM!E:R,14,FALSE)</f>
        <v>#N/A</v>
      </c>
      <c r="AN99" s="576" t="e">
        <f>T99-#REF!</f>
        <v>#REF!</v>
      </c>
      <c r="AO99" s="580"/>
    </row>
    <row r="100" spans="2:42" s="436" customFormat="1" ht="14" hidden="1">
      <c r="B100" s="804">
        <v>2605</v>
      </c>
      <c r="C100" s="1374" t="s">
        <v>44</v>
      </c>
      <c r="D100" s="1374"/>
      <c r="E100" s="1374"/>
      <c r="F100" s="1374" t="s">
        <v>375</v>
      </c>
      <c r="G100" s="566" t="str">
        <f t="shared" si="34"/>
        <v>32U731SA-W.ATM</v>
      </c>
      <c r="H100" s="566"/>
      <c r="I100" s="566"/>
      <c r="J100" s="566">
        <v>3</v>
      </c>
      <c r="K100" s="566" t="s">
        <v>215</v>
      </c>
      <c r="L100" s="566" t="s">
        <v>760</v>
      </c>
      <c r="M100" s="576">
        <v>449</v>
      </c>
      <c r="N100" s="576">
        <f t="shared" si="33"/>
        <v>16164</v>
      </c>
      <c r="O100" s="566" t="s">
        <v>760</v>
      </c>
      <c r="P100" s="577">
        <f>IFERROR(_xlfn.XLOOKUP(F100,'[4]By Model'!$A:$A,'[4]By Model'!$K:$K),"")</f>
        <v>0.19943473671011097</v>
      </c>
      <c r="Q100" s="578">
        <f>IFERROR(_xlfn.XLOOKUP(F100,'[5]By Model'!$A:$A,'[5]By Model'!$B:$B),"")</f>
        <v>1</v>
      </c>
      <c r="R100" s="579">
        <f>IFERROR(_xlfn.XLOOKUP(F100,'[4]By Model'!$A:$A,'[4]By Model'!$I:$I),"")</f>
        <v>555.11690854999995</v>
      </c>
      <c r="S100" s="578">
        <f>IFERROR(_xlfn.XLOOKUP(F100,[6]Sum!$G:$G,[6]Sum!$AM:$AM),"")</f>
        <v>1</v>
      </c>
      <c r="T100" s="576">
        <v>449</v>
      </c>
      <c r="U100" s="576">
        <f t="shared" si="22"/>
        <v>16164</v>
      </c>
      <c r="V100" s="580">
        <v>0</v>
      </c>
      <c r="W100" s="576">
        <f t="shared" si="23"/>
        <v>0</v>
      </c>
      <c r="X100" s="576">
        <f t="shared" si="24"/>
        <v>16164</v>
      </c>
      <c r="Y100" s="581">
        <f t="shared" si="25"/>
        <v>0</v>
      </c>
      <c r="Z100" s="577">
        <f t="shared" si="31"/>
        <v>0.19943473671011097</v>
      </c>
      <c r="AA100" s="577">
        <v>0.21135857461024501</v>
      </c>
      <c r="AB100" s="582"/>
      <c r="AC100" s="576">
        <v>449</v>
      </c>
      <c r="AD100" s="576">
        <f t="shared" si="26"/>
        <v>16164</v>
      </c>
      <c r="AE100" s="581">
        <f>AD100/AD101</f>
        <v>0.49071038251366123</v>
      </c>
      <c r="AF100" s="580">
        <v>0</v>
      </c>
      <c r="AG100" s="576">
        <f t="shared" si="27"/>
        <v>0</v>
      </c>
      <c r="AH100" s="709">
        <f t="shared" si="28"/>
        <v>16164</v>
      </c>
      <c r="AI100" s="709">
        <f t="shared" si="29"/>
        <v>0</v>
      </c>
      <c r="AJ100" s="577">
        <f t="shared" si="30"/>
        <v>0</v>
      </c>
      <c r="AK100" s="582">
        <f t="shared" si="32"/>
        <v>0.19943473671011097</v>
      </c>
      <c r="AL100" s="582"/>
      <c r="AM100" s="580" t="e">
        <f>VLOOKUP(F100,[7]PRM!E:R,14,FALSE)</f>
        <v>#N/A</v>
      </c>
      <c r="AN100" s="576" t="e">
        <f>T100-#REF!</f>
        <v>#REF!</v>
      </c>
      <c r="AO100" s="580"/>
    </row>
    <row r="101" spans="2:42" s="436" customFormat="1" ht="14" hidden="1">
      <c r="B101" s="805">
        <v>2605</v>
      </c>
      <c r="C101" s="1375" t="s">
        <v>44</v>
      </c>
      <c r="D101" s="1375"/>
      <c r="E101" s="1375"/>
      <c r="F101" s="1375" t="s">
        <v>375</v>
      </c>
      <c r="G101" s="566" t="str">
        <f t="shared" si="34"/>
        <v>32U731SA-W.ATM</v>
      </c>
      <c r="H101" s="566"/>
      <c r="I101" s="566"/>
      <c r="J101" s="566">
        <v>5</v>
      </c>
      <c r="K101" s="566" t="s">
        <v>215</v>
      </c>
      <c r="L101" s="566" t="s">
        <v>760</v>
      </c>
      <c r="M101" s="576">
        <v>449</v>
      </c>
      <c r="N101" s="576">
        <f t="shared" si="33"/>
        <v>26940</v>
      </c>
      <c r="O101" s="566" t="s">
        <v>760</v>
      </c>
      <c r="P101" s="577">
        <f>IFERROR(_xlfn.XLOOKUP(F101,'[4]By Model'!$A:$A,'[4]By Model'!$K:$K),"")</f>
        <v>0.19943473671011097</v>
      </c>
      <c r="Q101" s="578">
        <f>IFERROR(_xlfn.XLOOKUP(F101,'[5]By Model'!$A:$A,'[5]By Model'!$B:$B),"")</f>
        <v>1</v>
      </c>
      <c r="R101" s="579">
        <f>IFERROR(_xlfn.XLOOKUP(F101,'[4]By Model'!$A:$A,'[4]By Model'!$I:$I),"")</f>
        <v>555.11690854999995</v>
      </c>
      <c r="S101" s="578">
        <f>IFERROR(_xlfn.XLOOKUP(F101,[6]Sum!$G:$G,[6]Sum!$AM:$AM),"")</f>
        <v>1</v>
      </c>
      <c r="T101" s="576">
        <v>549</v>
      </c>
      <c r="U101" s="576">
        <f t="shared" si="22"/>
        <v>32940</v>
      </c>
      <c r="V101" s="580">
        <v>0</v>
      </c>
      <c r="W101" s="576">
        <f t="shared" si="23"/>
        <v>0</v>
      </c>
      <c r="X101" s="576">
        <f t="shared" si="24"/>
        <v>32940</v>
      </c>
      <c r="Y101" s="581">
        <f t="shared" si="25"/>
        <v>0.22271714922049002</v>
      </c>
      <c r="Z101" s="577">
        <f t="shared" si="31"/>
        <v>0.31079331132035598</v>
      </c>
      <c r="AA101" s="577">
        <v>0.21135857461024501</v>
      </c>
      <c r="AB101" s="582"/>
      <c r="AC101" s="576">
        <v>549</v>
      </c>
      <c r="AD101" s="576">
        <f t="shared" si="26"/>
        <v>32940</v>
      </c>
      <c r="AE101" s="711"/>
      <c r="AF101" s="583">
        <v>0</v>
      </c>
      <c r="AG101" s="576">
        <f t="shared" si="27"/>
        <v>0</v>
      </c>
      <c r="AH101" s="709">
        <f t="shared" si="28"/>
        <v>32940</v>
      </c>
      <c r="AI101" s="709">
        <f t="shared" si="29"/>
        <v>0</v>
      </c>
      <c r="AJ101" s="577">
        <f t="shared" si="30"/>
        <v>0</v>
      </c>
      <c r="AK101" s="582">
        <f t="shared" si="32"/>
        <v>0.31079331132035598</v>
      </c>
      <c r="AL101" s="582"/>
      <c r="AM101" s="580" t="e">
        <f>VLOOKUP(F101,[7]PRM!E:R,14,FALSE)</f>
        <v>#N/A</v>
      </c>
      <c r="AN101" s="576" t="e">
        <f>T101-#REF!</f>
        <v>#REF!</v>
      </c>
      <c r="AO101" s="580"/>
    </row>
    <row r="102" spans="2:42" s="436" customFormat="1" ht="14" hidden="1">
      <c r="B102" s="804">
        <v>2605</v>
      </c>
      <c r="C102" s="1374" t="s">
        <v>44</v>
      </c>
      <c r="D102" s="1374"/>
      <c r="E102" s="1374"/>
      <c r="F102" s="1374" t="s">
        <v>216</v>
      </c>
      <c r="G102" s="566" t="str">
        <f t="shared" si="34"/>
        <v>45GX950A-B.ATM</v>
      </c>
      <c r="H102" s="566"/>
      <c r="I102" s="566"/>
      <c r="J102" s="566">
        <v>3</v>
      </c>
      <c r="K102" s="566" t="s">
        <v>215</v>
      </c>
      <c r="L102" s="566" t="s">
        <v>760</v>
      </c>
      <c r="M102" s="576">
        <v>2149</v>
      </c>
      <c r="N102" s="576">
        <f t="shared" si="33"/>
        <v>77364</v>
      </c>
      <c r="O102" s="566" t="s">
        <v>760</v>
      </c>
      <c r="P102" s="577">
        <f>IFERROR(_xlfn.XLOOKUP(F102,'[4]By Model'!$A:$A,'[4]By Model'!$K:$K),"")</f>
        <v>-4.5787446063721435E-3</v>
      </c>
      <c r="Q102" s="578">
        <f>IFERROR(_xlfn.XLOOKUP(F102,'[5]By Model'!$A:$A,'[5]By Model'!$B:$B),"")</f>
        <v>12</v>
      </c>
      <c r="R102" s="579">
        <f>IFERROR(_xlfn.XLOOKUP(F102,'[4]By Model'!$A:$A,'[4]By Model'!$I:$I),"")</f>
        <v>1804.6818945545456</v>
      </c>
      <c r="S102" s="578" t="str">
        <f>IFERROR(_xlfn.XLOOKUP(F102,[6]Sum!$G:$G,[6]Sum!$AM:$AM),"")</f>
        <v/>
      </c>
      <c r="T102" s="576">
        <v>2049</v>
      </c>
      <c r="U102" s="576">
        <f t="shared" si="22"/>
        <v>73764</v>
      </c>
      <c r="V102" s="580">
        <v>0</v>
      </c>
      <c r="W102" s="576">
        <f t="shared" si="23"/>
        <v>0</v>
      </c>
      <c r="X102" s="576">
        <f t="shared" si="24"/>
        <v>73764</v>
      </c>
      <c r="Y102" s="581">
        <f t="shared" si="25"/>
        <v>-4.6533271288971667E-2</v>
      </c>
      <c r="Z102" s="577">
        <f t="shared" si="31"/>
        <v>-2.7845380250857976E-2</v>
      </c>
      <c r="AA102" s="577"/>
      <c r="AB102" s="582" t="s">
        <v>293</v>
      </c>
      <c r="AC102" s="576">
        <v>2049</v>
      </c>
      <c r="AD102" s="576">
        <f t="shared" si="26"/>
        <v>73764</v>
      </c>
      <c r="AE102" s="581">
        <f>AD102/AD103</f>
        <v>0.87877055039313801</v>
      </c>
      <c r="AF102" s="580">
        <v>0</v>
      </c>
      <c r="AG102" s="576">
        <f t="shared" si="27"/>
        <v>0</v>
      </c>
      <c r="AH102" s="709">
        <f t="shared" si="28"/>
        <v>73764</v>
      </c>
      <c r="AI102" s="709">
        <f t="shared" si="29"/>
        <v>0</v>
      </c>
      <c r="AJ102" s="577">
        <f t="shared" si="30"/>
        <v>0</v>
      </c>
      <c r="AK102" s="582">
        <f t="shared" si="32"/>
        <v>-2.7845380250857976E-2</v>
      </c>
      <c r="AL102" s="582" t="s">
        <v>218</v>
      </c>
      <c r="AM102" s="580"/>
      <c r="AN102" s="576"/>
      <c r="AO102" s="580"/>
    </row>
    <row r="103" spans="2:42" s="436" customFormat="1" ht="14" hidden="1">
      <c r="B103" s="805">
        <v>2605</v>
      </c>
      <c r="C103" s="1375" t="s">
        <v>44</v>
      </c>
      <c r="D103" s="1375"/>
      <c r="E103" s="1375"/>
      <c r="F103" s="1375" t="s">
        <v>216</v>
      </c>
      <c r="G103" s="566" t="str">
        <f t="shared" si="34"/>
        <v>45GX950A-B.ATM</v>
      </c>
      <c r="H103" s="566"/>
      <c r="I103" s="566"/>
      <c r="J103" s="566">
        <v>5</v>
      </c>
      <c r="K103" s="566" t="s">
        <v>215</v>
      </c>
      <c r="L103" s="566" t="s">
        <v>760</v>
      </c>
      <c r="M103" s="576">
        <v>2149</v>
      </c>
      <c r="N103" s="576">
        <f t="shared" si="33"/>
        <v>128940</v>
      </c>
      <c r="O103" s="566" t="s">
        <v>760</v>
      </c>
      <c r="P103" s="577">
        <f>IFERROR(_xlfn.XLOOKUP(F103,'[4]By Model'!$A:$A,'[4]By Model'!$K:$K),"")</f>
        <v>-4.5787446063721435E-3</v>
      </c>
      <c r="Q103" s="578">
        <f>IFERROR(_xlfn.XLOOKUP(F103,'[5]By Model'!$A:$A,'[5]By Model'!$B:$B),"")</f>
        <v>12</v>
      </c>
      <c r="R103" s="579">
        <f>IFERROR(_xlfn.XLOOKUP(F103,'[4]By Model'!$A:$A,'[4]By Model'!$I:$I),"")</f>
        <v>1804.6818945545456</v>
      </c>
      <c r="S103" s="578" t="str">
        <f>IFERROR(_xlfn.XLOOKUP(F103,[6]Sum!$G:$G,[6]Sum!$AM:$AM),"")</f>
        <v/>
      </c>
      <c r="T103" s="576">
        <v>1399</v>
      </c>
      <c r="U103" s="576">
        <f t="shared" si="22"/>
        <v>83940</v>
      </c>
      <c r="V103" s="580">
        <v>6</v>
      </c>
      <c r="W103" s="576">
        <f t="shared" si="23"/>
        <v>4197</v>
      </c>
      <c r="X103" s="576">
        <f t="shared" si="24"/>
        <v>79743</v>
      </c>
      <c r="Y103" s="581">
        <f t="shared" si="25"/>
        <v>-0.38154955793392276</v>
      </c>
      <c r="Z103" s="577">
        <f t="shared" si="31"/>
        <v>-0.19535352357333352</v>
      </c>
      <c r="AA103" s="577"/>
      <c r="AB103" s="582" t="s">
        <v>293</v>
      </c>
      <c r="AC103" s="576">
        <v>1399</v>
      </c>
      <c r="AD103" s="576">
        <f t="shared" si="26"/>
        <v>83940</v>
      </c>
      <c r="AE103" s="711"/>
      <c r="AF103" s="583">
        <v>6</v>
      </c>
      <c r="AG103" s="576">
        <f t="shared" si="27"/>
        <v>4197</v>
      </c>
      <c r="AH103" s="709">
        <f t="shared" si="28"/>
        <v>79743</v>
      </c>
      <c r="AI103" s="709">
        <f t="shared" si="29"/>
        <v>0</v>
      </c>
      <c r="AJ103" s="577">
        <f t="shared" si="30"/>
        <v>0</v>
      </c>
      <c r="AK103" s="582">
        <f t="shared" si="32"/>
        <v>-0.19535352357333352</v>
      </c>
      <c r="AL103" s="582" t="s">
        <v>218</v>
      </c>
      <c r="AM103" s="580"/>
      <c r="AN103" s="576"/>
      <c r="AO103" s="580"/>
    </row>
    <row r="104" spans="2:42" s="436" customFormat="1" ht="14" hidden="1">
      <c r="B104" s="804">
        <v>2605</v>
      </c>
      <c r="C104" s="1374" t="s">
        <v>44</v>
      </c>
      <c r="D104" s="1374"/>
      <c r="E104" s="1374" t="s">
        <v>389</v>
      </c>
      <c r="F104" s="1374" t="s">
        <v>365</v>
      </c>
      <c r="G104" s="566" t="str">
        <f t="shared" si="34"/>
        <v>27GX704A-B.ATM</v>
      </c>
      <c r="H104" s="566"/>
      <c r="I104" s="566" t="s">
        <v>389</v>
      </c>
      <c r="J104" s="566">
        <v>3</v>
      </c>
      <c r="K104" s="566" t="s">
        <v>215</v>
      </c>
      <c r="L104" s="566" t="s">
        <v>389</v>
      </c>
      <c r="M104" s="576" t="s">
        <v>260</v>
      </c>
      <c r="N104" s="576" t="e">
        <f t="shared" si="33"/>
        <v>#VALUE!</v>
      </c>
      <c r="O104" s="566" t="s">
        <v>389</v>
      </c>
      <c r="P104" s="577">
        <f>IFERROR(_xlfn.XLOOKUP(F104,'[4]By Model'!$A:$A,'[4]By Model'!$K:$K),"")</f>
        <v>0.13490350144330704</v>
      </c>
      <c r="Q104" s="578" t="str">
        <f>IFERROR(_xlfn.XLOOKUP(F104,'[5]By Model'!$A:$A,'[5]By Model'!$B:$B),"")</f>
        <v/>
      </c>
      <c r="R104" s="579">
        <f>IFERROR(_xlfn.XLOOKUP(F104,'[4]By Model'!$A:$A,'[4]By Model'!$I:$I),"")</f>
        <v>599.4296597</v>
      </c>
      <c r="S104" s="578" t="str">
        <f>IFERROR(_xlfn.XLOOKUP(F104,[6]Sum!$G:$G,[6]Sum!$AM:$AM),"")</f>
        <v/>
      </c>
      <c r="T104" s="576">
        <v>0</v>
      </c>
      <c r="U104" s="576">
        <f t="shared" si="22"/>
        <v>0</v>
      </c>
      <c r="V104" s="580">
        <v>0</v>
      </c>
      <c r="W104" s="576">
        <f t="shared" si="23"/>
        <v>0</v>
      </c>
      <c r="X104" s="576">
        <f t="shared" si="24"/>
        <v>0</v>
      </c>
      <c r="Y104" s="581" t="e">
        <f t="shared" si="25"/>
        <v>#VALUE!</v>
      </c>
      <c r="Z104" s="577" t="str">
        <f t="shared" si="31"/>
        <v/>
      </c>
      <c r="AA104" s="577">
        <v>0.11</v>
      </c>
      <c r="AB104" s="582" t="s">
        <v>389</v>
      </c>
      <c r="AC104" s="576">
        <v>0</v>
      </c>
      <c r="AD104" s="576">
        <f t="shared" si="26"/>
        <v>0</v>
      </c>
      <c r="AE104" s="581">
        <f>AD104/AD105</f>
        <v>0</v>
      </c>
      <c r="AF104" s="580">
        <v>0</v>
      </c>
      <c r="AG104" s="576">
        <f t="shared" si="27"/>
        <v>0</v>
      </c>
      <c r="AH104" s="709">
        <f t="shared" si="28"/>
        <v>0</v>
      </c>
      <c r="AI104" s="709">
        <f t="shared" si="29"/>
        <v>0</v>
      </c>
      <c r="AJ104" s="577" t="e">
        <f t="shared" si="30"/>
        <v>#DIV/0!</v>
      </c>
      <c r="AK104" s="582" t="str">
        <f t="shared" si="32"/>
        <v/>
      </c>
      <c r="AL104" s="582" t="s">
        <v>389</v>
      </c>
      <c r="AM104" s="580" t="s">
        <v>389</v>
      </c>
      <c r="AN104" s="576" t="s">
        <v>389</v>
      </c>
      <c r="AO104" s="580" t="s">
        <v>389</v>
      </c>
    </row>
    <row r="105" spans="2:42" s="436" customFormat="1" ht="14" hidden="1">
      <c r="B105" s="805">
        <v>2605</v>
      </c>
      <c r="C105" s="1375" t="s">
        <v>44</v>
      </c>
      <c r="D105" s="1375"/>
      <c r="E105" s="1375" t="s">
        <v>389</v>
      </c>
      <c r="F105" s="1375" t="s">
        <v>365</v>
      </c>
      <c r="G105" s="566" t="str">
        <f t="shared" si="34"/>
        <v>27GX704A-B.ATM</v>
      </c>
      <c r="H105" s="566"/>
      <c r="I105" s="566" t="s">
        <v>389</v>
      </c>
      <c r="J105" s="566">
        <v>5</v>
      </c>
      <c r="K105" s="566" t="s">
        <v>215</v>
      </c>
      <c r="L105" s="566" t="s">
        <v>389</v>
      </c>
      <c r="M105" s="576" t="s">
        <v>260</v>
      </c>
      <c r="N105" s="576" t="e">
        <f t="shared" si="33"/>
        <v>#VALUE!</v>
      </c>
      <c r="O105" s="566" t="s">
        <v>389</v>
      </c>
      <c r="P105" s="577">
        <f>IFERROR(_xlfn.XLOOKUP(F105,'[4]By Model'!$A:$A,'[4]By Model'!$K:$K),"")</f>
        <v>0.13490350144330704</v>
      </c>
      <c r="Q105" s="578" t="str">
        <f>IFERROR(_xlfn.XLOOKUP(F105,'[5]By Model'!$A:$A,'[5]By Model'!$B:$B),"")</f>
        <v/>
      </c>
      <c r="R105" s="579">
        <f>IFERROR(_xlfn.XLOOKUP(F105,'[4]By Model'!$A:$A,'[4]By Model'!$I:$I),"")</f>
        <v>599.4296597</v>
      </c>
      <c r="S105" s="578" t="str">
        <f>IFERROR(_xlfn.XLOOKUP(F105,[6]Sum!$G:$G,[6]Sum!$AM:$AM),"")</f>
        <v/>
      </c>
      <c r="T105" s="576">
        <v>449</v>
      </c>
      <c r="U105" s="576">
        <f t="shared" si="22"/>
        <v>26940</v>
      </c>
      <c r="V105" s="580">
        <v>3</v>
      </c>
      <c r="W105" s="576">
        <f t="shared" si="23"/>
        <v>673.5</v>
      </c>
      <c r="X105" s="576">
        <f t="shared" si="24"/>
        <v>26266.5</v>
      </c>
      <c r="Y105" s="581" t="e">
        <f t="shared" si="25"/>
        <v>#VALUE!</v>
      </c>
      <c r="Z105" s="577" t="str">
        <f t="shared" si="31"/>
        <v/>
      </c>
      <c r="AA105" s="577">
        <v>0.11</v>
      </c>
      <c r="AB105" s="582" t="s">
        <v>389</v>
      </c>
      <c r="AC105" s="576">
        <v>449</v>
      </c>
      <c r="AD105" s="576">
        <f t="shared" si="26"/>
        <v>26940</v>
      </c>
      <c r="AE105" s="711"/>
      <c r="AF105" s="580">
        <v>3</v>
      </c>
      <c r="AG105" s="576">
        <f t="shared" si="27"/>
        <v>673.5</v>
      </c>
      <c r="AH105" s="709">
        <f t="shared" si="28"/>
        <v>26266.5</v>
      </c>
      <c r="AI105" s="709">
        <f t="shared" si="29"/>
        <v>0</v>
      </c>
      <c r="AJ105" s="577">
        <f t="shared" si="30"/>
        <v>0</v>
      </c>
      <c r="AK105" s="582" t="str">
        <f t="shared" si="32"/>
        <v/>
      </c>
      <c r="AL105" s="582" t="s">
        <v>389</v>
      </c>
      <c r="AM105" s="580" t="s">
        <v>389</v>
      </c>
      <c r="AN105" s="576" t="s">
        <v>389</v>
      </c>
      <c r="AO105" s="580" t="s">
        <v>389</v>
      </c>
    </row>
    <row r="106" spans="2:42" s="599" customFormat="1" ht="14" hidden="1">
      <c r="B106" s="802">
        <v>2605</v>
      </c>
      <c r="C106" s="1397" t="s">
        <v>44</v>
      </c>
      <c r="D106" s="1397" t="s">
        <v>308</v>
      </c>
      <c r="E106" s="1397" t="s">
        <v>389</v>
      </c>
      <c r="F106" s="1397" t="s">
        <v>483</v>
      </c>
      <c r="G106" s="566" t="str">
        <f t="shared" si="34"/>
        <v>34U650A-B.ATM</v>
      </c>
      <c r="H106" s="585"/>
      <c r="I106" s="585" t="s">
        <v>389</v>
      </c>
      <c r="J106" s="585">
        <v>3</v>
      </c>
      <c r="K106" s="585" t="s">
        <v>215</v>
      </c>
      <c r="L106" s="585" t="s">
        <v>389</v>
      </c>
      <c r="M106" s="595" t="s">
        <v>260</v>
      </c>
      <c r="N106" s="576" t="e">
        <f t="shared" si="33"/>
        <v>#VALUE!</v>
      </c>
      <c r="O106" s="585" t="s">
        <v>389</v>
      </c>
      <c r="P106" s="577" t="str">
        <f>IFERROR(_xlfn.XLOOKUP(F106,'[4]By Model'!$A:$A,'[4]By Model'!$K:$K),"")</f>
        <v/>
      </c>
      <c r="Q106" s="578" t="str">
        <f>IFERROR(_xlfn.XLOOKUP(F106,'[5]By Model'!$A:$A,'[5]By Model'!$B:$B),"")</f>
        <v/>
      </c>
      <c r="R106" s="579" t="str">
        <f>IFERROR(_xlfn.XLOOKUP(F106,'[4]By Model'!$A:$A,'[4]By Model'!$I:$I),"")</f>
        <v/>
      </c>
      <c r="S106" s="578" t="str">
        <f>IFERROR(_xlfn.XLOOKUP(F106,[6]Sum!$G:$G,[6]Sum!$AM:$AM),"")</f>
        <v/>
      </c>
      <c r="T106" s="595">
        <v>0</v>
      </c>
      <c r="U106" s="576">
        <f t="shared" si="22"/>
        <v>0</v>
      </c>
      <c r="V106" s="580">
        <v>0</v>
      </c>
      <c r="W106" s="576">
        <f t="shared" si="23"/>
        <v>0</v>
      </c>
      <c r="X106" s="576">
        <f t="shared" si="24"/>
        <v>0</v>
      </c>
      <c r="Y106" s="581" t="e">
        <f t="shared" si="25"/>
        <v>#VALUE!</v>
      </c>
      <c r="Z106" s="577" t="str">
        <f t="shared" si="31"/>
        <v/>
      </c>
      <c r="AA106" s="591">
        <v>0.1</v>
      </c>
      <c r="AB106" s="597" t="s">
        <v>389</v>
      </c>
      <c r="AC106" s="595">
        <v>0</v>
      </c>
      <c r="AD106" s="576">
        <f t="shared" si="26"/>
        <v>0</v>
      </c>
      <c r="AE106" s="581">
        <f>AD106/AD107</f>
        <v>0</v>
      </c>
      <c r="AF106" s="580">
        <v>0</v>
      </c>
      <c r="AG106" s="576">
        <f t="shared" si="27"/>
        <v>0</v>
      </c>
      <c r="AH106" s="709">
        <f t="shared" si="28"/>
        <v>0</v>
      </c>
      <c r="AI106" s="709">
        <f t="shared" si="29"/>
        <v>0</v>
      </c>
      <c r="AJ106" s="577" t="e">
        <f t="shared" si="30"/>
        <v>#DIV/0!</v>
      </c>
      <c r="AK106" s="582" t="str">
        <f t="shared" si="32"/>
        <v/>
      </c>
      <c r="AL106" s="597" t="s">
        <v>389</v>
      </c>
      <c r="AM106" s="594" t="s">
        <v>389</v>
      </c>
      <c r="AN106" s="595" t="s">
        <v>389</v>
      </c>
      <c r="AO106" s="594" t="s">
        <v>389</v>
      </c>
    </row>
    <row r="107" spans="2:42" s="599" customFormat="1" ht="14" hidden="1">
      <c r="B107" s="803">
        <v>2605</v>
      </c>
      <c r="C107" s="1398" t="s">
        <v>44</v>
      </c>
      <c r="D107" s="1398" t="s">
        <v>308</v>
      </c>
      <c r="E107" s="1398" t="s">
        <v>389</v>
      </c>
      <c r="F107" s="1398" t="s">
        <v>392</v>
      </c>
      <c r="G107" s="566" t="str">
        <f t="shared" si="34"/>
        <v>34G650A-B.ATM</v>
      </c>
      <c r="H107" s="585"/>
      <c r="I107" s="585" t="s">
        <v>389</v>
      </c>
      <c r="J107" s="585">
        <v>5</v>
      </c>
      <c r="K107" s="585" t="s">
        <v>215</v>
      </c>
      <c r="L107" s="585" t="s">
        <v>389</v>
      </c>
      <c r="M107" s="595" t="s">
        <v>260</v>
      </c>
      <c r="N107" s="576" t="e">
        <f t="shared" si="33"/>
        <v>#VALUE!</v>
      </c>
      <c r="O107" s="585" t="s">
        <v>389</v>
      </c>
      <c r="P107" s="577" t="str">
        <f>IFERROR(_xlfn.XLOOKUP(F107,'[4]By Model'!$A:$A,'[4]By Model'!$K:$K),"")</f>
        <v/>
      </c>
      <c r="Q107" s="578" t="str">
        <f>IFERROR(_xlfn.XLOOKUP(F107,'[5]By Model'!$A:$A,'[5]By Model'!$B:$B),"")</f>
        <v/>
      </c>
      <c r="R107" s="579" t="str">
        <f>IFERROR(_xlfn.XLOOKUP(F107,'[4]By Model'!$A:$A,'[4]By Model'!$I:$I),"")</f>
        <v/>
      </c>
      <c r="S107" s="578" t="str">
        <f>IFERROR(_xlfn.XLOOKUP(F107,[6]Sum!$G:$G,[6]Sum!$AM:$AM),"")</f>
        <v/>
      </c>
      <c r="T107" s="595">
        <v>399</v>
      </c>
      <c r="U107" s="576">
        <f t="shared" si="22"/>
        <v>23940</v>
      </c>
      <c r="V107" s="594">
        <v>0</v>
      </c>
      <c r="W107" s="576">
        <f t="shared" si="23"/>
        <v>0</v>
      </c>
      <c r="X107" s="576">
        <f t="shared" si="24"/>
        <v>23940</v>
      </c>
      <c r="Y107" s="581" t="e">
        <f t="shared" si="25"/>
        <v>#VALUE!</v>
      </c>
      <c r="Z107" s="577" t="str">
        <f t="shared" si="31"/>
        <v/>
      </c>
      <c r="AA107" s="591">
        <v>0.1</v>
      </c>
      <c r="AB107" s="597" t="s">
        <v>389</v>
      </c>
      <c r="AC107" s="595">
        <v>399</v>
      </c>
      <c r="AD107" s="576">
        <f t="shared" si="26"/>
        <v>23940</v>
      </c>
      <c r="AE107" s="711"/>
      <c r="AF107" s="594">
        <v>0</v>
      </c>
      <c r="AG107" s="576">
        <f t="shared" si="27"/>
        <v>0</v>
      </c>
      <c r="AH107" s="709">
        <f t="shared" si="28"/>
        <v>23940</v>
      </c>
      <c r="AI107" s="709">
        <f t="shared" si="29"/>
        <v>0</v>
      </c>
      <c r="AJ107" s="577">
        <f t="shared" si="30"/>
        <v>0</v>
      </c>
      <c r="AK107" s="582" t="str">
        <f t="shared" si="32"/>
        <v/>
      </c>
      <c r="AL107" s="597" t="s">
        <v>389</v>
      </c>
      <c r="AM107" s="594" t="s">
        <v>389</v>
      </c>
      <c r="AN107" s="595" t="s">
        <v>389</v>
      </c>
      <c r="AO107" s="594" t="s">
        <v>389</v>
      </c>
    </row>
    <row r="108" spans="2:42" s="436" customFormat="1" ht="14" hidden="1">
      <c r="B108" s="799">
        <v>2605</v>
      </c>
      <c r="C108" s="1391" t="s">
        <v>23</v>
      </c>
      <c r="D108" s="1391"/>
      <c r="E108" s="1391"/>
      <c r="F108" s="1391" t="s">
        <v>56</v>
      </c>
      <c r="G108" s="566" t="s">
        <v>519</v>
      </c>
      <c r="H108" s="566"/>
      <c r="I108" s="566"/>
      <c r="J108" s="566">
        <v>3</v>
      </c>
      <c r="K108" s="566" t="s">
        <v>286</v>
      </c>
      <c r="L108" s="566">
        <v>12</v>
      </c>
      <c r="M108" s="576">
        <v>1249</v>
      </c>
      <c r="N108" s="576">
        <f t="shared" si="33"/>
        <v>44964</v>
      </c>
      <c r="O108" s="566">
        <v>12</v>
      </c>
      <c r="P108" s="577">
        <f>IFERROR(_xlfn.XLOOKUP(F108,'[4]By Model'!$A:$A,'[4]By Model'!$K:$K),"")</f>
        <v>-0.71213766828469138</v>
      </c>
      <c r="Q108" s="578" t="str">
        <f>IFERROR(_xlfn.XLOOKUP(F108,'[5]By Model'!$A:$A,'[5]By Model'!$B:$B),"")</f>
        <v/>
      </c>
      <c r="R108" s="579">
        <f>IFERROR(_xlfn.XLOOKUP(F108,'[4]By Model'!$A:$A,'[4]By Model'!$I:$I),"")</f>
        <v>430.82676381333329</v>
      </c>
      <c r="S108" s="578" t="str">
        <f>IFERROR(_xlfn.XLOOKUP(F108,[6]Sum!$G:$G,[6]Sum!$AM:$AM),"")</f>
        <v/>
      </c>
      <c r="T108" s="576">
        <v>1199</v>
      </c>
      <c r="U108" s="576">
        <f t="shared" si="22"/>
        <v>43164</v>
      </c>
      <c r="V108" s="580">
        <v>0</v>
      </c>
      <c r="W108" s="576">
        <f t="shared" si="23"/>
        <v>0</v>
      </c>
      <c r="X108" s="576">
        <f t="shared" si="24"/>
        <v>43164</v>
      </c>
      <c r="Y108" s="581">
        <f t="shared" si="25"/>
        <v>-4.0032025620496348E-2</v>
      </c>
      <c r="Z108" s="577">
        <f t="shared" si="31"/>
        <v>-0.73215368109493961</v>
      </c>
      <c r="AA108" s="577">
        <v>0.19408320493066253</v>
      </c>
      <c r="AB108" s="582"/>
      <c r="AC108" s="576">
        <v>1099</v>
      </c>
      <c r="AD108" s="576">
        <f t="shared" si="26"/>
        <v>39564</v>
      </c>
      <c r="AE108" s="581">
        <f>AD108/AD110</f>
        <v>0.82528160200250311</v>
      </c>
      <c r="AF108" s="580">
        <v>0</v>
      </c>
      <c r="AG108" s="576">
        <f t="shared" si="27"/>
        <v>0</v>
      </c>
      <c r="AH108" s="709">
        <f t="shared" si="28"/>
        <v>39564</v>
      </c>
      <c r="AI108" s="709">
        <f t="shared" si="29"/>
        <v>-3600</v>
      </c>
      <c r="AJ108" s="577">
        <f t="shared" si="30"/>
        <v>-8.3402835696413671E-2</v>
      </c>
      <c r="AK108" s="582">
        <f t="shared" si="32"/>
        <v>-0.77385509894314641</v>
      </c>
      <c r="AL108" s="582"/>
      <c r="AM108" s="580" t="e">
        <f>VLOOKUP(F108,[7]PRM!E:R,14,FALSE)</f>
        <v>#N/A</v>
      </c>
      <c r="AN108" s="576" t="e">
        <f>T108-#REF!</f>
        <v>#REF!</v>
      </c>
      <c r="AO108" s="580"/>
      <c r="AP108" s="719"/>
    </row>
    <row r="109" spans="2:42" s="436" customFormat="1" ht="14" hidden="1">
      <c r="B109" s="800">
        <v>2605</v>
      </c>
      <c r="C109" s="1392" t="s">
        <v>23</v>
      </c>
      <c r="D109" s="1392"/>
      <c r="E109" s="1392"/>
      <c r="F109" s="1392"/>
      <c r="G109" s="566" t="s">
        <v>519</v>
      </c>
      <c r="H109" s="566"/>
      <c r="I109" s="566"/>
      <c r="J109" s="566">
        <v>3</v>
      </c>
      <c r="K109" s="566" t="s">
        <v>286</v>
      </c>
      <c r="L109" s="566">
        <v>6</v>
      </c>
      <c r="M109" s="576">
        <v>1399</v>
      </c>
      <c r="N109" s="576">
        <f t="shared" si="33"/>
        <v>50364</v>
      </c>
      <c r="O109" s="566">
        <v>6</v>
      </c>
      <c r="P109" s="577" t="str">
        <f>IFERROR(_xlfn.XLOOKUP(F109,'[4]By Model'!$A:$A,'[4]By Model'!$K:$K),"")</f>
        <v/>
      </c>
      <c r="Q109" s="578" t="str">
        <f>IFERROR(_xlfn.XLOOKUP(F109,'[5]By Model'!$A:$A,'[5]By Model'!$B:$B),"")</f>
        <v/>
      </c>
      <c r="R109" s="579" t="str">
        <f>IFERROR(_xlfn.XLOOKUP(F109,'[4]By Model'!$A:$A,'[4]By Model'!$I:$I),"")</f>
        <v/>
      </c>
      <c r="S109" s="578" t="str">
        <f>IFERROR(_xlfn.XLOOKUP(F109,[6]Sum!$G:$G,[6]Sum!$AM:$AM),"")</f>
        <v/>
      </c>
      <c r="T109" s="576">
        <v>1349</v>
      </c>
      <c r="U109" s="576">
        <f t="shared" si="22"/>
        <v>48564</v>
      </c>
      <c r="V109" s="580">
        <v>0</v>
      </c>
      <c r="W109" s="576">
        <f t="shared" si="23"/>
        <v>0</v>
      </c>
      <c r="X109" s="576">
        <f t="shared" si="24"/>
        <v>48564</v>
      </c>
      <c r="Y109" s="581">
        <f t="shared" si="25"/>
        <v>-3.5739814152966454E-2</v>
      </c>
      <c r="Z109" s="577" t="str">
        <f t="shared" si="31"/>
        <v/>
      </c>
      <c r="AA109" s="577">
        <v>0.17351134846461955</v>
      </c>
      <c r="AB109" s="582"/>
      <c r="AC109" s="576">
        <v>1199</v>
      </c>
      <c r="AD109" s="576">
        <f t="shared" si="26"/>
        <v>43164</v>
      </c>
      <c r="AE109" s="581">
        <f>AD109/AD111</f>
        <v>0.80022246941045605</v>
      </c>
      <c r="AF109" s="580">
        <v>0</v>
      </c>
      <c r="AG109" s="576">
        <f t="shared" si="27"/>
        <v>0</v>
      </c>
      <c r="AH109" s="709">
        <f t="shared" si="28"/>
        <v>43164</v>
      </c>
      <c r="AI109" s="709">
        <f t="shared" si="29"/>
        <v>-5400</v>
      </c>
      <c r="AJ109" s="577">
        <f t="shared" si="30"/>
        <v>-0.1111934766493699</v>
      </c>
      <c r="AK109" s="582" t="str">
        <f t="shared" si="32"/>
        <v/>
      </c>
      <c r="AL109" s="582"/>
      <c r="AM109" s="580" t="e">
        <f>VLOOKUP(F109,[7]PRM!E:R,14,FALSE)</f>
        <v>#N/A</v>
      </c>
      <c r="AN109" s="576" t="e">
        <f>T109-#REF!</f>
        <v>#REF!</v>
      </c>
      <c r="AO109" s="580"/>
    </row>
    <row r="110" spans="2:42" s="436" customFormat="1" ht="14" hidden="1">
      <c r="B110" s="800">
        <v>2605</v>
      </c>
      <c r="C110" s="1392" t="s">
        <v>23</v>
      </c>
      <c r="D110" s="1392"/>
      <c r="E110" s="1392"/>
      <c r="F110" s="1392"/>
      <c r="G110" s="566" t="s">
        <v>519</v>
      </c>
      <c r="H110" s="566"/>
      <c r="I110" s="566"/>
      <c r="J110" s="566">
        <v>5</v>
      </c>
      <c r="K110" s="566" t="s">
        <v>286</v>
      </c>
      <c r="L110" s="566">
        <v>12</v>
      </c>
      <c r="M110" s="576">
        <v>799</v>
      </c>
      <c r="N110" s="576">
        <f t="shared" si="33"/>
        <v>47940</v>
      </c>
      <c r="O110" s="566">
        <v>12</v>
      </c>
      <c r="P110" s="577" t="str">
        <f>IFERROR(_xlfn.XLOOKUP(F110,'[4]By Model'!$A:$A,'[4]By Model'!$K:$K),"")</f>
        <v/>
      </c>
      <c r="Q110" s="578" t="str">
        <f>IFERROR(_xlfn.XLOOKUP(F110,'[5]By Model'!$A:$A,'[5]By Model'!$B:$B),"")</f>
        <v/>
      </c>
      <c r="R110" s="579" t="str">
        <f>IFERROR(_xlfn.XLOOKUP(F110,'[4]By Model'!$A:$A,'[4]By Model'!$I:$I),"")</f>
        <v/>
      </c>
      <c r="S110" s="578" t="str">
        <f>IFERROR(_xlfn.XLOOKUP(F110,[6]Sum!$G:$G,[6]Sum!$AM:$AM),"")</f>
        <v/>
      </c>
      <c r="T110" s="576">
        <v>799</v>
      </c>
      <c r="U110" s="576">
        <f t="shared" si="22"/>
        <v>47940</v>
      </c>
      <c r="V110" s="580">
        <v>12</v>
      </c>
      <c r="W110" s="576">
        <f t="shared" si="23"/>
        <v>4794</v>
      </c>
      <c r="X110" s="576">
        <f t="shared" si="24"/>
        <v>43146</v>
      </c>
      <c r="Y110" s="581">
        <f t="shared" si="25"/>
        <v>-9.9999999999999978E-2</v>
      </c>
      <c r="Z110" s="577" t="str">
        <f t="shared" si="31"/>
        <v/>
      </c>
      <c r="AA110" s="577">
        <v>0.19408320493066253</v>
      </c>
      <c r="AB110" s="582"/>
      <c r="AC110" s="576">
        <v>799</v>
      </c>
      <c r="AD110" s="576">
        <f t="shared" si="26"/>
        <v>47940</v>
      </c>
      <c r="AE110" s="711"/>
      <c r="AF110" s="583">
        <v>6</v>
      </c>
      <c r="AG110" s="576">
        <f t="shared" si="27"/>
        <v>2397</v>
      </c>
      <c r="AH110" s="709">
        <f t="shared" si="28"/>
        <v>45543</v>
      </c>
      <c r="AI110" s="709">
        <f t="shared" si="29"/>
        <v>2397</v>
      </c>
      <c r="AJ110" s="577">
        <f t="shared" si="30"/>
        <v>5.5555555555555552E-2</v>
      </c>
      <c r="AK110" s="582" t="str">
        <f t="shared" si="32"/>
        <v/>
      </c>
      <c r="AL110" s="582"/>
      <c r="AM110" s="580" t="e">
        <f>VLOOKUP(F110,[7]PRM!E:R,14,FALSE)</f>
        <v>#N/A</v>
      </c>
      <c r="AN110" s="576" t="e">
        <f>T110-#REF!</f>
        <v>#REF!</v>
      </c>
      <c r="AO110" s="580"/>
    </row>
    <row r="111" spans="2:42" s="436" customFormat="1" ht="14" hidden="1">
      <c r="B111" s="801">
        <v>2605</v>
      </c>
      <c r="C111" s="1393" t="s">
        <v>23</v>
      </c>
      <c r="D111" s="1393"/>
      <c r="E111" s="1393"/>
      <c r="F111" s="1393"/>
      <c r="G111" s="566" t="s">
        <v>519</v>
      </c>
      <c r="H111" s="566"/>
      <c r="I111" s="566"/>
      <c r="J111" s="566">
        <v>5</v>
      </c>
      <c r="K111" s="566" t="s">
        <v>286</v>
      </c>
      <c r="L111" s="566">
        <v>6</v>
      </c>
      <c r="M111" s="576">
        <v>899</v>
      </c>
      <c r="N111" s="576">
        <f t="shared" si="33"/>
        <v>53940</v>
      </c>
      <c r="O111" s="566">
        <v>6</v>
      </c>
      <c r="P111" s="577" t="str">
        <f>IFERROR(_xlfn.XLOOKUP(F111,'[4]By Model'!$A:$A,'[4]By Model'!$K:$K),"")</f>
        <v/>
      </c>
      <c r="Q111" s="578" t="str">
        <f>IFERROR(_xlfn.XLOOKUP(F111,'[5]By Model'!$A:$A,'[5]By Model'!$B:$B),"")</f>
        <v/>
      </c>
      <c r="R111" s="579" t="str">
        <f>IFERROR(_xlfn.XLOOKUP(F111,'[4]By Model'!$A:$A,'[4]By Model'!$I:$I),"")</f>
        <v/>
      </c>
      <c r="S111" s="578" t="str">
        <f>IFERROR(_xlfn.XLOOKUP(F111,[6]Sum!$G:$G,[6]Sum!$AM:$AM),"")</f>
        <v/>
      </c>
      <c r="T111" s="576">
        <v>899</v>
      </c>
      <c r="U111" s="576">
        <f t="shared" si="22"/>
        <v>53940</v>
      </c>
      <c r="V111" s="580">
        <v>12</v>
      </c>
      <c r="W111" s="576">
        <f t="shared" si="23"/>
        <v>5394</v>
      </c>
      <c r="X111" s="576">
        <f t="shared" si="24"/>
        <v>48546</v>
      </c>
      <c r="Y111" s="581">
        <f t="shared" si="25"/>
        <v>-9.9999999999999978E-2</v>
      </c>
      <c r="Z111" s="577" t="str">
        <f t="shared" si="31"/>
        <v/>
      </c>
      <c r="AA111" s="577">
        <v>0.17351134846461955</v>
      </c>
      <c r="AB111" s="582"/>
      <c r="AC111" s="576">
        <v>899</v>
      </c>
      <c r="AD111" s="576">
        <f t="shared" si="26"/>
        <v>53940</v>
      </c>
      <c r="AE111" s="711"/>
      <c r="AF111" s="583">
        <v>6</v>
      </c>
      <c r="AG111" s="576">
        <f t="shared" si="27"/>
        <v>2697</v>
      </c>
      <c r="AH111" s="709">
        <f t="shared" si="28"/>
        <v>51243</v>
      </c>
      <c r="AI111" s="709">
        <f t="shared" si="29"/>
        <v>2697</v>
      </c>
      <c r="AJ111" s="577">
        <f t="shared" si="30"/>
        <v>5.5555555555555552E-2</v>
      </c>
      <c r="AK111" s="582" t="str">
        <f t="shared" si="32"/>
        <v/>
      </c>
      <c r="AL111" s="582"/>
      <c r="AM111" s="580" t="e">
        <f>VLOOKUP(F111,[7]PRM!E:R,14,FALSE)</f>
        <v>#N/A</v>
      </c>
      <c r="AN111" s="576" t="e">
        <f>T111-#REF!</f>
        <v>#REF!</v>
      </c>
      <c r="AO111" s="580"/>
    </row>
    <row r="112" spans="2:42" s="436" customFormat="1" ht="14" hidden="1">
      <c r="B112" s="799">
        <v>2605</v>
      </c>
      <c r="C112" s="1391" t="s">
        <v>23</v>
      </c>
      <c r="D112" s="1391"/>
      <c r="E112" s="1391"/>
      <c r="F112" s="1391" t="s">
        <v>57</v>
      </c>
      <c r="G112" s="566" t="s">
        <v>520</v>
      </c>
      <c r="H112" s="566"/>
      <c r="I112" s="566"/>
      <c r="J112" s="566">
        <v>3</v>
      </c>
      <c r="K112" s="566" t="s">
        <v>286</v>
      </c>
      <c r="L112" s="566">
        <v>6</v>
      </c>
      <c r="M112" s="576">
        <v>1549</v>
      </c>
      <c r="N112" s="576">
        <f t="shared" si="33"/>
        <v>55764</v>
      </c>
      <c r="O112" s="566">
        <v>6</v>
      </c>
      <c r="P112" s="577">
        <f>IFERROR(_xlfn.XLOOKUP(F112,'[4]By Model'!$A:$A,'[4]By Model'!$K:$K),"")</f>
        <v>0.39274142194368183</v>
      </c>
      <c r="Q112" s="578" t="str">
        <f>IFERROR(_xlfn.XLOOKUP(F112,'[5]By Model'!$A:$A,'[5]By Model'!$B:$B),"")</f>
        <v/>
      </c>
      <c r="R112" s="579">
        <f>IFERROR(_xlfn.XLOOKUP(F112,'[4]By Model'!$A:$A,'[4]By Model'!$I:$I),"")</f>
        <v>515.60573249843753</v>
      </c>
      <c r="S112" s="578" t="str">
        <f>IFERROR(_xlfn.XLOOKUP(F112,[6]Sum!$G:$G,[6]Sum!$AM:$AM),"")</f>
        <v/>
      </c>
      <c r="T112" s="576">
        <v>1349</v>
      </c>
      <c r="U112" s="576">
        <f t="shared" si="22"/>
        <v>48564</v>
      </c>
      <c r="V112" s="580">
        <v>0</v>
      </c>
      <c r="W112" s="576">
        <f t="shared" si="23"/>
        <v>0</v>
      </c>
      <c r="X112" s="576">
        <f t="shared" si="24"/>
        <v>48564</v>
      </c>
      <c r="Y112" s="581">
        <f t="shared" si="25"/>
        <v>-0.12911555842479017</v>
      </c>
      <c r="Z112" s="577">
        <f t="shared" si="31"/>
        <v>0.32818364273128675</v>
      </c>
      <c r="AA112" s="577">
        <v>0.20515644555694618</v>
      </c>
      <c r="AB112" s="582"/>
      <c r="AC112" s="576">
        <v>1149</v>
      </c>
      <c r="AD112" s="576">
        <f t="shared" si="26"/>
        <v>41364</v>
      </c>
      <c r="AE112" s="581">
        <f>AD112/AD114</f>
        <v>0.72644889357218123</v>
      </c>
      <c r="AF112" s="580">
        <v>0</v>
      </c>
      <c r="AG112" s="576">
        <f t="shared" si="27"/>
        <v>0</v>
      </c>
      <c r="AH112" s="709">
        <f t="shared" si="28"/>
        <v>41364</v>
      </c>
      <c r="AI112" s="709">
        <f t="shared" si="29"/>
        <v>-7200</v>
      </c>
      <c r="AJ112" s="577">
        <f t="shared" si="30"/>
        <v>-0.14825796886582654</v>
      </c>
      <c r="AK112" s="582">
        <f t="shared" si="32"/>
        <v>0.25405465829837348</v>
      </c>
      <c r="AL112" s="582"/>
      <c r="AM112" s="580" t="e">
        <f>VLOOKUP(F112,[7]PRM!E:R,14,FALSE)</f>
        <v>#N/A</v>
      </c>
      <c r="AN112" s="576" t="e">
        <f>T112-#REF!</f>
        <v>#REF!</v>
      </c>
      <c r="AO112" s="580"/>
    </row>
    <row r="113" spans="2:43" s="436" customFormat="1" ht="14" hidden="1">
      <c r="B113" s="800">
        <v>2605</v>
      </c>
      <c r="C113" s="1392" t="s">
        <v>23</v>
      </c>
      <c r="D113" s="1392"/>
      <c r="E113" s="1392"/>
      <c r="F113" s="1392" t="s">
        <v>57</v>
      </c>
      <c r="G113" s="566" t="s">
        <v>520</v>
      </c>
      <c r="H113" s="566"/>
      <c r="I113" s="566"/>
      <c r="J113" s="566">
        <v>3</v>
      </c>
      <c r="K113" s="566" t="s">
        <v>286</v>
      </c>
      <c r="L113" s="566">
        <v>12</v>
      </c>
      <c r="M113" s="576">
        <v>1399</v>
      </c>
      <c r="N113" s="576">
        <f t="shared" si="33"/>
        <v>50364</v>
      </c>
      <c r="O113" s="566">
        <v>12</v>
      </c>
      <c r="P113" s="577">
        <f>IFERROR(_xlfn.XLOOKUP(F113,'[4]By Model'!$A:$A,'[4]By Model'!$K:$K),"")</f>
        <v>0.39274142194368183</v>
      </c>
      <c r="Q113" s="578" t="str">
        <f>IFERROR(_xlfn.XLOOKUP(F113,'[5]By Model'!$A:$A,'[5]By Model'!$B:$B),"")</f>
        <v/>
      </c>
      <c r="R113" s="579">
        <f>IFERROR(_xlfn.XLOOKUP(F113,'[4]By Model'!$A:$A,'[4]By Model'!$I:$I),"")</f>
        <v>515.60573249843753</v>
      </c>
      <c r="S113" s="578" t="str">
        <f>IFERROR(_xlfn.XLOOKUP(F113,[6]Sum!$G:$G,[6]Sum!$AM:$AM),"")</f>
        <v/>
      </c>
      <c r="T113" s="576">
        <v>1199</v>
      </c>
      <c r="U113" s="576">
        <f t="shared" si="22"/>
        <v>43164</v>
      </c>
      <c r="V113" s="580">
        <v>0</v>
      </c>
      <c r="W113" s="576">
        <f t="shared" si="23"/>
        <v>0</v>
      </c>
      <c r="X113" s="576">
        <f t="shared" si="24"/>
        <v>43164</v>
      </c>
      <c r="Y113" s="581">
        <f t="shared" si="25"/>
        <v>-0.14295925661186559</v>
      </c>
      <c r="Z113" s="577">
        <f t="shared" si="31"/>
        <v>0.32126179363774904</v>
      </c>
      <c r="AA113" s="577">
        <v>0.22306151645207445</v>
      </c>
      <c r="AB113" s="582"/>
      <c r="AC113" s="576">
        <v>1299</v>
      </c>
      <c r="AD113" s="576">
        <f t="shared" si="26"/>
        <v>46764</v>
      </c>
      <c r="AE113" s="581">
        <f>AD113/AD115</f>
        <v>0.91802120141342758</v>
      </c>
      <c r="AF113" s="580">
        <v>0</v>
      </c>
      <c r="AG113" s="576">
        <f t="shared" si="27"/>
        <v>0</v>
      </c>
      <c r="AH113" s="709">
        <f t="shared" si="28"/>
        <v>46764</v>
      </c>
      <c r="AI113" s="709">
        <f t="shared" si="29"/>
        <v>3600</v>
      </c>
      <c r="AJ113" s="577">
        <f t="shared" si="30"/>
        <v>8.3402835696413671E-2</v>
      </c>
      <c r="AK113" s="582">
        <f t="shared" si="32"/>
        <v>0.36296321148595589</v>
      </c>
      <c r="AL113" s="582"/>
      <c r="AM113" s="580" t="e">
        <f>VLOOKUP(F113,[7]PRM!E:R,14,FALSE)</f>
        <v>#N/A</v>
      </c>
      <c r="AN113" s="576" t="e">
        <f>T113-#REF!</f>
        <v>#REF!</v>
      </c>
      <c r="AO113" s="580"/>
      <c r="AQ113" s="436" t="e" cm="1" vm="1">
        <f t="array" aca="1" ref="AQ113" ca="1">_xlfn.UNIQUE(F105:F153)</f>
        <v>#VALUE!</v>
      </c>
    </row>
    <row r="114" spans="2:43" s="436" customFormat="1" ht="14" hidden="1">
      <c r="B114" s="800">
        <v>2605</v>
      </c>
      <c r="C114" s="1392" t="s">
        <v>23</v>
      </c>
      <c r="D114" s="1392"/>
      <c r="E114" s="1392"/>
      <c r="F114" s="1392" t="s">
        <v>57</v>
      </c>
      <c r="G114" s="566" t="s">
        <v>520</v>
      </c>
      <c r="H114" s="566"/>
      <c r="I114" s="566"/>
      <c r="J114" s="566">
        <v>5</v>
      </c>
      <c r="K114" s="566" t="s">
        <v>286</v>
      </c>
      <c r="L114" s="566">
        <v>6</v>
      </c>
      <c r="M114" s="576">
        <v>949</v>
      </c>
      <c r="N114" s="576">
        <f t="shared" si="33"/>
        <v>56940</v>
      </c>
      <c r="O114" s="566">
        <v>6</v>
      </c>
      <c r="P114" s="577">
        <f>IFERROR(_xlfn.XLOOKUP(F114,'[4]By Model'!$A:$A,'[4]By Model'!$K:$K),"")</f>
        <v>0.39274142194368183</v>
      </c>
      <c r="Q114" s="578" t="str">
        <f>IFERROR(_xlfn.XLOOKUP(F114,'[5]By Model'!$A:$A,'[5]By Model'!$B:$B),"")</f>
        <v/>
      </c>
      <c r="R114" s="579">
        <f>IFERROR(_xlfn.XLOOKUP(F114,'[4]By Model'!$A:$A,'[4]By Model'!$I:$I),"")</f>
        <v>515.60573249843753</v>
      </c>
      <c r="S114" s="578" t="str">
        <f>IFERROR(_xlfn.XLOOKUP(F114,[6]Sum!$G:$G,[6]Sum!$AM:$AM),"")</f>
        <v/>
      </c>
      <c r="T114" s="576">
        <v>949</v>
      </c>
      <c r="U114" s="576">
        <f t="shared" si="22"/>
        <v>56940</v>
      </c>
      <c r="V114" s="580">
        <v>12</v>
      </c>
      <c r="W114" s="576">
        <f t="shared" si="23"/>
        <v>5694</v>
      </c>
      <c r="X114" s="576">
        <f t="shared" si="24"/>
        <v>51246</v>
      </c>
      <c r="Y114" s="581">
        <f t="shared" si="25"/>
        <v>-9.9999999999999978E-2</v>
      </c>
      <c r="Z114" s="577">
        <f t="shared" si="31"/>
        <v>0.34274142194368185</v>
      </c>
      <c r="AA114" s="577">
        <v>0.20515644555694618</v>
      </c>
      <c r="AB114" s="582"/>
      <c r="AC114" s="576">
        <v>949</v>
      </c>
      <c r="AD114" s="576">
        <f t="shared" si="26"/>
        <v>56940</v>
      </c>
      <c r="AE114" s="711"/>
      <c r="AF114" s="583">
        <v>6</v>
      </c>
      <c r="AG114" s="576">
        <f t="shared" si="27"/>
        <v>2847</v>
      </c>
      <c r="AH114" s="709">
        <f t="shared" si="28"/>
        <v>54093</v>
      </c>
      <c r="AI114" s="709">
        <f t="shared" si="29"/>
        <v>2847</v>
      </c>
      <c r="AJ114" s="577">
        <f t="shared" si="30"/>
        <v>5.5555555555555552E-2</v>
      </c>
      <c r="AK114" s="582">
        <f t="shared" si="32"/>
        <v>0.37051919972145964</v>
      </c>
      <c r="AL114" s="582"/>
      <c r="AM114" s="580" t="e">
        <f>VLOOKUP(F114,[7]PRM!E:R,14,FALSE)</f>
        <v>#N/A</v>
      </c>
      <c r="AN114" s="576" t="e">
        <f>T114-#REF!</f>
        <v>#REF!</v>
      </c>
      <c r="AO114" s="580"/>
    </row>
    <row r="115" spans="2:43" s="436" customFormat="1" ht="14" hidden="1">
      <c r="B115" s="801">
        <v>2605</v>
      </c>
      <c r="C115" s="1393" t="s">
        <v>23</v>
      </c>
      <c r="D115" s="1393"/>
      <c r="E115" s="1393"/>
      <c r="F115" s="1393" t="s">
        <v>57</v>
      </c>
      <c r="G115" s="566" t="s">
        <v>520</v>
      </c>
      <c r="H115" s="566"/>
      <c r="I115" s="566"/>
      <c r="J115" s="566">
        <v>5</v>
      </c>
      <c r="K115" s="566" t="s">
        <v>286</v>
      </c>
      <c r="L115" s="566">
        <v>12</v>
      </c>
      <c r="M115" s="576">
        <v>849</v>
      </c>
      <c r="N115" s="576">
        <f t="shared" si="33"/>
        <v>50940</v>
      </c>
      <c r="O115" s="566">
        <v>12</v>
      </c>
      <c r="P115" s="577">
        <f>IFERROR(_xlfn.XLOOKUP(F115,'[4]By Model'!$A:$A,'[4]By Model'!$K:$K),"")</f>
        <v>0.39274142194368183</v>
      </c>
      <c r="Q115" s="578" t="str">
        <f>IFERROR(_xlfn.XLOOKUP(F115,'[5]By Model'!$A:$A,'[5]By Model'!$B:$B),"")</f>
        <v/>
      </c>
      <c r="R115" s="579">
        <f>IFERROR(_xlfn.XLOOKUP(F115,'[4]By Model'!$A:$A,'[4]By Model'!$I:$I),"")</f>
        <v>515.60573249843753</v>
      </c>
      <c r="S115" s="578" t="str">
        <f>IFERROR(_xlfn.XLOOKUP(F115,[6]Sum!$G:$G,[6]Sum!$AM:$AM),"")</f>
        <v/>
      </c>
      <c r="T115" s="576">
        <v>849</v>
      </c>
      <c r="U115" s="576">
        <f t="shared" si="22"/>
        <v>50940</v>
      </c>
      <c r="V115" s="580">
        <v>12</v>
      </c>
      <c r="W115" s="576">
        <f t="shared" si="23"/>
        <v>5094</v>
      </c>
      <c r="X115" s="576">
        <f t="shared" si="24"/>
        <v>45846</v>
      </c>
      <c r="Y115" s="581">
        <f t="shared" si="25"/>
        <v>-9.9999999999999978E-2</v>
      </c>
      <c r="Z115" s="577">
        <f t="shared" si="31"/>
        <v>0.34274142194368185</v>
      </c>
      <c r="AA115" s="577">
        <v>0.22306151645207445</v>
      </c>
      <c r="AB115" s="582"/>
      <c r="AC115" s="576">
        <v>849</v>
      </c>
      <c r="AD115" s="576">
        <f t="shared" si="26"/>
        <v>50940</v>
      </c>
      <c r="AE115" s="711"/>
      <c r="AF115" s="583">
        <v>6</v>
      </c>
      <c r="AG115" s="576">
        <f t="shared" si="27"/>
        <v>2547</v>
      </c>
      <c r="AH115" s="709">
        <f t="shared" si="28"/>
        <v>48393</v>
      </c>
      <c r="AI115" s="709">
        <f t="shared" si="29"/>
        <v>2547</v>
      </c>
      <c r="AJ115" s="577">
        <f t="shared" si="30"/>
        <v>5.5555555555555552E-2</v>
      </c>
      <c r="AK115" s="582">
        <f t="shared" si="32"/>
        <v>0.37051919972145964</v>
      </c>
      <c r="AL115" s="582"/>
      <c r="AM115" s="580" t="e">
        <f>VLOOKUP(F115,[7]PRM!E:R,14,FALSE)</f>
        <v>#N/A</v>
      </c>
      <c r="AN115" s="576" t="e">
        <f>T115-#REF!</f>
        <v>#REF!</v>
      </c>
      <c r="AO115" s="580"/>
      <c r="AQ115" s="436" cm="1">
        <f t="array" ref="AQ115:AQ126">_xlfn.UNIQUE(F110:F155)</f>
        <v>0</v>
      </c>
    </row>
    <row r="116" spans="2:43" s="436" customFormat="1" ht="14" hidden="1">
      <c r="B116" s="799">
        <v>2605</v>
      </c>
      <c r="C116" s="1391" t="s">
        <v>23</v>
      </c>
      <c r="D116" s="1391"/>
      <c r="E116" s="1391"/>
      <c r="F116" s="1391" t="s">
        <v>328</v>
      </c>
      <c r="G116" s="566" t="s">
        <v>521</v>
      </c>
      <c r="H116" s="566"/>
      <c r="I116" s="566"/>
      <c r="J116" s="566">
        <v>3</v>
      </c>
      <c r="K116" s="566" t="s">
        <v>286</v>
      </c>
      <c r="L116" s="566">
        <v>12</v>
      </c>
      <c r="M116" s="576">
        <v>1399</v>
      </c>
      <c r="N116" s="576">
        <f t="shared" si="33"/>
        <v>50364</v>
      </c>
      <c r="O116" s="566">
        <v>6</v>
      </c>
      <c r="P116" s="577" t="str">
        <f>IFERROR(_xlfn.XLOOKUP(F116,'[4]By Model'!$A:$A,'[4]By Model'!$K:$K),"")</f>
        <v/>
      </c>
      <c r="Q116" s="578" t="str">
        <f>IFERROR(_xlfn.XLOOKUP(F116,'[5]By Model'!$A:$A,'[5]By Model'!$B:$B),"")</f>
        <v/>
      </c>
      <c r="R116" s="579" t="str">
        <f>IFERROR(_xlfn.XLOOKUP(F116,'[4]By Model'!$A:$A,'[4]By Model'!$I:$I),"")</f>
        <v/>
      </c>
      <c r="S116" s="578" t="str">
        <f>IFERROR(_xlfn.XLOOKUP(F116,[6]Sum!$G:$G,[6]Sum!$AM:$AM),"")</f>
        <v/>
      </c>
      <c r="T116" s="576">
        <v>1349</v>
      </c>
      <c r="U116" s="576">
        <f t="shared" si="22"/>
        <v>48564</v>
      </c>
      <c r="V116" s="580">
        <v>0</v>
      </c>
      <c r="W116" s="576">
        <f t="shared" si="23"/>
        <v>0</v>
      </c>
      <c r="X116" s="576">
        <f t="shared" si="24"/>
        <v>48564</v>
      </c>
      <c r="Y116" s="581">
        <f t="shared" si="25"/>
        <v>-3.5739814152966454E-2</v>
      </c>
      <c r="Z116" s="577" t="str">
        <f t="shared" si="31"/>
        <v/>
      </c>
      <c r="AA116" s="577"/>
      <c r="AB116" s="582"/>
      <c r="AC116" s="576">
        <v>1299</v>
      </c>
      <c r="AD116" s="576">
        <f t="shared" si="26"/>
        <v>46764</v>
      </c>
      <c r="AE116" s="581">
        <f>AD116/AD118</f>
        <v>0.74299332697807441</v>
      </c>
      <c r="AF116" s="580">
        <v>0</v>
      </c>
      <c r="AG116" s="576">
        <f t="shared" si="27"/>
        <v>0</v>
      </c>
      <c r="AH116" s="709">
        <f t="shared" si="28"/>
        <v>46764</v>
      </c>
      <c r="AI116" s="709">
        <f t="shared" si="29"/>
        <v>-1800</v>
      </c>
      <c r="AJ116" s="577">
        <f t="shared" si="30"/>
        <v>-3.7064492216456635E-2</v>
      </c>
      <c r="AK116" s="582" t="str">
        <f t="shared" si="32"/>
        <v/>
      </c>
      <c r="AL116" s="582"/>
      <c r="AM116" s="580"/>
      <c r="AN116" s="576" t="e">
        <f>T116-#REF!</f>
        <v>#REF!</v>
      </c>
      <c r="AO116" s="580"/>
      <c r="AQ116" s="436" t="str">
        <v>SAQ13A.S11</v>
      </c>
    </row>
    <row r="117" spans="2:43" s="436" customFormat="1" ht="14" hidden="1">
      <c r="B117" s="800">
        <v>2605</v>
      </c>
      <c r="C117" s="1392" t="s">
        <v>23</v>
      </c>
      <c r="D117" s="1392"/>
      <c r="E117" s="1392"/>
      <c r="F117" s="1392" t="s">
        <v>328</v>
      </c>
      <c r="G117" s="566" t="s">
        <v>521</v>
      </c>
      <c r="H117" s="566"/>
      <c r="I117" s="566"/>
      <c r="J117" s="566">
        <v>3</v>
      </c>
      <c r="K117" s="566" t="s">
        <v>286</v>
      </c>
      <c r="L117" s="566">
        <v>6</v>
      </c>
      <c r="M117" s="576">
        <v>1599</v>
      </c>
      <c r="N117" s="576">
        <f t="shared" si="33"/>
        <v>57564</v>
      </c>
      <c r="O117" s="566">
        <v>6</v>
      </c>
      <c r="P117" s="577" t="str">
        <f>IFERROR(_xlfn.XLOOKUP(F117,'[4]By Model'!$A:$A,'[4]By Model'!$K:$K),"")</f>
        <v/>
      </c>
      <c r="Q117" s="578" t="str">
        <f>IFERROR(_xlfn.XLOOKUP(F117,'[5]By Model'!$A:$A,'[5]By Model'!$B:$B),"")</f>
        <v/>
      </c>
      <c r="R117" s="579" t="str">
        <f>IFERROR(_xlfn.XLOOKUP(F117,'[4]By Model'!$A:$A,'[4]By Model'!$I:$I),"")</f>
        <v/>
      </c>
      <c r="S117" s="578" t="str">
        <f>IFERROR(_xlfn.XLOOKUP(F117,[6]Sum!$G:$G,[6]Sum!$AM:$AM),"")</f>
        <v/>
      </c>
      <c r="T117" s="576">
        <v>1499</v>
      </c>
      <c r="U117" s="576">
        <f t="shared" si="22"/>
        <v>53964</v>
      </c>
      <c r="V117" s="580">
        <v>0</v>
      </c>
      <c r="W117" s="576">
        <f t="shared" si="23"/>
        <v>0</v>
      </c>
      <c r="X117" s="576">
        <f t="shared" si="24"/>
        <v>53964</v>
      </c>
      <c r="Y117" s="581">
        <f t="shared" si="25"/>
        <v>-6.2539086929330856E-2</v>
      </c>
      <c r="Z117" s="577" t="str">
        <f t="shared" si="31"/>
        <v/>
      </c>
      <c r="AA117" s="577"/>
      <c r="AB117" s="582"/>
      <c r="AC117" s="576">
        <v>1399</v>
      </c>
      <c r="AD117" s="576">
        <f t="shared" si="26"/>
        <v>50364</v>
      </c>
      <c r="AE117" s="581">
        <f>AD117/AD119</f>
        <v>0.73054830287206263</v>
      </c>
      <c r="AF117" s="580">
        <v>0</v>
      </c>
      <c r="AG117" s="576">
        <f t="shared" si="27"/>
        <v>0</v>
      </c>
      <c r="AH117" s="709">
        <f t="shared" si="28"/>
        <v>50364</v>
      </c>
      <c r="AI117" s="709">
        <f t="shared" si="29"/>
        <v>-3600</v>
      </c>
      <c r="AJ117" s="577">
        <f t="shared" si="30"/>
        <v>-6.6711140760507007E-2</v>
      </c>
      <c r="AK117" s="582" t="str">
        <f t="shared" si="32"/>
        <v/>
      </c>
      <c r="AL117" s="582"/>
      <c r="AM117" s="580"/>
      <c r="AN117" s="576" t="e">
        <f>T117-#REF!</f>
        <v>#REF!</v>
      </c>
      <c r="AO117" s="580"/>
      <c r="AQ117" s="436" t="str">
        <v>SAQ18B.S21</v>
      </c>
    </row>
    <row r="118" spans="2:43" s="436" customFormat="1" ht="14" hidden="1">
      <c r="B118" s="800">
        <v>2605</v>
      </c>
      <c r="C118" s="1392" t="s">
        <v>23</v>
      </c>
      <c r="D118" s="1392"/>
      <c r="E118" s="1392"/>
      <c r="F118" s="1392" t="s">
        <v>328</v>
      </c>
      <c r="G118" s="566" t="s">
        <v>521</v>
      </c>
      <c r="H118" s="566"/>
      <c r="I118" s="566"/>
      <c r="J118" s="566">
        <v>5</v>
      </c>
      <c r="K118" s="566" t="s">
        <v>286</v>
      </c>
      <c r="L118" s="566">
        <v>6</v>
      </c>
      <c r="M118" s="576">
        <v>1049</v>
      </c>
      <c r="N118" s="576">
        <f t="shared" si="33"/>
        <v>62940</v>
      </c>
      <c r="O118" s="566">
        <v>6</v>
      </c>
      <c r="P118" s="577" t="str">
        <f>IFERROR(_xlfn.XLOOKUP(F118,'[4]By Model'!$A:$A,'[4]By Model'!$K:$K),"")</f>
        <v/>
      </c>
      <c r="Q118" s="578" t="str">
        <f>IFERROR(_xlfn.XLOOKUP(F118,'[5]By Model'!$A:$A,'[5]By Model'!$B:$B),"")</f>
        <v/>
      </c>
      <c r="R118" s="579" t="str">
        <f>IFERROR(_xlfn.XLOOKUP(F118,'[4]By Model'!$A:$A,'[4]By Model'!$I:$I),"")</f>
        <v/>
      </c>
      <c r="S118" s="578" t="str">
        <f>IFERROR(_xlfn.XLOOKUP(F118,[6]Sum!$G:$G,[6]Sum!$AM:$AM),"")</f>
        <v/>
      </c>
      <c r="T118" s="576">
        <v>1049</v>
      </c>
      <c r="U118" s="576">
        <f t="shared" si="22"/>
        <v>62940</v>
      </c>
      <c r="V118" s="580">
        <v>12</v>
      </c>
      <c r="W118" s="576">
        <f t="shared" si="23"/>
        <v>6294</v>
      </c>
      <c r="X118" s="576">
        <f t="shared" si="24"/>
        <v>56646</v>
      </c>
      <c r="Y118" s="581">
        <f t="shared" si="25"/>
        <v>-9.9999999999999978E-2</v>
      </c>
      <c r="Z118" s="577" t="str">
        <f t="shared" si="31"/>
        <v/>
      </c>
      <c r="AA118" s="577"/>
      <c r="AB118" s="582"/>
      <c r="AC118" s="576">
        <v>1049</v>
      </c>
      <c r="AD118" s="576">
        <f t="shared" si="26"/>
        <v>62940</v>
      </c>
      <c r="AE118" s="711"/>
      <c r="AF118" s="583">
        <v>6</v>
      </c>
      <c r="AG118" s="576">
        <f t="shared" si="27"/>
        <v>3147</v>
      </c>
      <c r="AH118" s="709">
        <f t="shared" si="28"/>
        <v>59793</v>
      </c>
      <c r="AI118" s="709">
        <f t="shared" si="29"/>
        <v>3147</v>
      </c>
      <c r="AJ118" s="577">
        <f t="shared" si="30"/>
        <v>5.5555555555555552E-2</v>
      </c>
      <c r="AK118" s="582" t="str">
        <f t="shared" si="32"/>
        <v/>
      </c>
      <c r="AL118" s="582"/>
      <c r="AM118" s="580"/>
      <c r="AN118" s="576" t="e">
        <f>T118-#REF!</f>
        <v>#REF!</v>
      </c>
      <c r="AO118" s="580"/>
      <c r="AQ118" s="436" t="str">
        <v>SAQ24B.S21</v>
      </c>
    </row>
    <row r="119" spans="2:43" s="436" customFormat="1" ht="14" hidden="1">
      <c r="B119" s="801">
        <v>2605</v>
      </c>
      <c r="C119" s="1393" t="s">
        <v>23</v>
      </c>
      <c r="D119" s="1393"/>
      <c r="E119" s="1393"/>
      <c r="F119" s="1393" t="s">
        <v>328</v>
      </c>
      <c r="G119" s="566" t="s">
        <v>521</v>
      </c>
      <c r="H119" s="566"/>
      <c r="I119" s="566"/>
      <c r="J119" s="566">
        <v>5</v>
      </c>
      <c r="K119" s="566" t="s">
        <v>286</v>
      </c>
      <c r="L119" s="566">
        <v>6</v>
      </c>
      <c r="M119" s="576">
        <v>1149</v>
      </c>
      <c r="N119" s="576">
        <f t="shared" si="33"/>
        <v>68940</v>
      </c>
      <c r="O119" s="566">
        <v>6</v>
      </c>
      <c r="P119" s="577" t="str">
        <f>IFERROR(_xlfn.XLOOKUP(F119,'[4]By Model'!$A:$A,'[4]By Model'!$K:$K),"")</f>
        <v/>
      </c>
      <c r="Q119" s="578" t="str">
        <f>IFERROR(_xlfn.XLOOKUP(F119,'[5]By Model'!$A:$A,'[5]By Model'!$B:$B),"")</f>
        <v/>
      </c>
      <c r="R119" s="579" t="str">
        <f>IFERROR(_xlfn.XLOOKUP(F119,'[4]By Model'!$A:$A,'[4]By Model'!$I:$I),"")</f>
        <v/>
      </c>
      <c r="S119" s="578" t="str">
        <f>IFERROR(_xlfn.XLOOKUP(F119,[6]Sum!$G:$G,[6]Sum!$AM:$AM),"")</f>
        <v/>
      </c>
      <c r="T119" s="576">
        <v>1149</v>
      </c>
      <c r="U119" s="576">
        <f t="shared" si="22"/>
        <v>68940</v>
      </c>
      <c r="V119" s="580">
        <v>12</v>
      </c>
      <c r="W119" s="576">
        <f t="shared" si="23"/>
        <v>6894</v>
      </c>
      <c r="X119" s="576">
        <f t="shared" si="24"/>
        <v>62046</v>
      </c>
      <c r="Y119" s="581">
        <f t="shared" si="25"/>
        <v>-9.9999999999999978E-2</v>
      </c>
      <c r="Z119" s="577" t="str">
        <f t="shared" si="31"/>
        <v/>
      </c>
      <c r="AA119" s="577"/>
      <c r="AB119" s="582"/>
      <c r="AC119" s="576">
        <v>1149</v>
      </c>
      <c r="AD119" s="576">
        <f t="shared" si="26"/>
        <v>68940</v>
      </c>
      <c r="AE119" s="711"/>
      <c r="AF119" s="583">
        <v>6</v>
      </c>
      <c r="AG119" s="576">
        <f t="shared" si="27"/>
        <v>3447</v>
      </c>
      <c r="AH119" s="709">
        <f t="shared" si="28"/>
        <v>65493</v>
      </c>
      <c r="AI119" s="709">
        <f t="shared" si="29"/>
        <v>3447</v>
      </c>
      <c r="AJ119" s="577">
        <f t="shared" si="30"/>
        <v>5.5555555555555552E-2</v>
      </c>
      <c r="AK119" s="582" t="str">
        <f t="shared" si="32"/>
        <v/>
      </c>
      <c r="AL119" s="582"/>
      <c r="AM119" s="580"/>
      <c r="AN119" s="576" t="e">
        <f>T119-#REF!</f>
        <v>#REF!</v>
      </c>
      <c r="AO119" s="580"/>
      <c r="AQ119" s="436" t="str">
        <v>SIQ11B.S01</v>
      </c>
    </row>
    <row r="120" spans="2:43" s="436" customFormat="1" ht="14" hidden="1">
      <c r="B120" s="799">
        <v>2605</v>
      </c>
      <c r="C120" s="1391" t="s">
        <v>23</v>
      </c>
      <c r="D120" s="1391"/>
      <c r="E120" s="1391"/>
      <c r="F120" s="1391" t="s">
        <v>329</v>
      </c>
      <c r="G120" s="566" t="s">
        <v>522</v>
      </c>
      <c r="H120" s="566"/>
      <c r="I120" s="566"/>
      <c r="J120" s="566">
        <v>3</v>
      </c>
      <c r="K120" s="566" t="s">
        <v>286</v>
      </c>
      <c r="L120" s="566">
        <v>12</v>
      </c>
      <c r="M120" s="576">
        <v>1699</v>
      </c>
      <c r="N120" s="576">
        <f t="shared" si="33"/>
        <v>61164</v>
      </c>
      <c r="O120" s="566">
        <v>12</v>
      </c>
      <c r="P120" s="577" t="str">
        <f>IFERROR(_xlfn.XLOOKUP(F120,'[4]By Model'!$A:$A,'[4]By Model'!$K:$K),"")</f>
        <v/>
      </c>
      <c r="Q120" s="578" t="str">
        <f>IFERROR(_xlfn.XLOOKUP(F120,'[5]By Model'!$A:$A,'[5]By Model'!$B:$B),"")</f>
        <v/>
      </c>
      <c r="R120" s="579" t="str">
        <f>IFERROR(_xlfn.XLOOKUP(F120,'[4]By Model'!$A:$A,'[4]By Model'!$I:$I),"")</f>
        <v/>
      </c>
      <c r="S120" s="578" t="str">
        <f>IFERROR(_xlfn.XLOOKUP(F120,[6]Sum!$G:$G,[6]Sum!$AM:$AM),"")</f>
        <v/>
      </c>
      <c r="T120" s="576">
        <v>1649</v>
      </c>
      <c r="U120" s="576">
        <f t="shared" si="22"/>
        <v>59364</v>
      </c>
      <c r="V120" s="580">
        <v>0</v>
      </c>
      <c r="W120" s="576">
        <f t="shared" si="23"/>
        <v>0</v>
      </c>
      <c r="X120" s="576">
        <f t="shared" si="24"/>
        <v>59364</v>
      </c>
      <c r="Y120" s="581">
        <f t="shared" si="25"/>
        <v>-2.9429075927015935E-2</v>
      </c>
      <c r="Z120" s="577" t="str">
        <f t="shared" si="31"/>
        <v/>
      </c>
      <c r="AA120" s="577"/>
      <c r="AB120" s="582"/>
      <c r="AC120" s="576">
        <v>1599</v>
      </c>
      <c r="AD120" s="576">
        <f t="shared" si="26"/>
        <v>57564</v>
      </c>
      <c r="AE120" s="581">
        <f>AD120/AD122</f>
        <v>0.80016680567139287</v>
      </c>
      <c r="AF120" s="580">
        <v>0</v>
      </c>
      <c r="AG120" s="576">
        <f t="shared" si="27"/>
        <v>0</v>
      </c>
      <c r="AH120" s="709">
        <f t="shared" si="28"/>
        <v>57564</v>
      </c>
      <c r="AI120" s="709">
        <f t="shared" si="29"/>
        <v>-1800</v>
      </c>
      <c r="AJ120" s="577">
        <f t="shared" si="30"/>
        <v>-3.0321406913280776E-2</v>
      </c>
      <c r="AK120" s="582" t="str">
        <f t="shared" si="32"/>
        <v/>
      </c>
      <c r="AL120" s="582"/>
      <c r="AM120" s="580"/>
      <c r="AN120" s="576" t="e">
        <f>T120-#REF!</f>
        <v>#REF!</v>
      </c>
      <c r="AO120" s="580"/>
      <c r="AQ120" s="436" t="str">
        <v>SIQ13B.S01</v>
      </c>
    </row>
    <row r="121" spans="2:43" s="436" customFormat="1" ht="14" hidden="1">
      <c r="B121" s="800">
        <v>2605</v>
      </c>
      <c r="C121" s="1392" t="s">
        <v>23</v>
      </c>
      <c r="D121" s="1392"/>
      <c r="E121" s="1392"/>
      <c r="F121" s="1392" t="s">
        <v>329</v>
      </c>
      <c r="G121" s="566" t="s">
        <v>522</v>
      </c>
      <c r="H121" s="566"/>
      <c r="I121" s="566"/>
      <c r="J121" s="566">
        <v>3</v>
      </c>
      <c r="K121" s="566" t="s">
        <v>286</v>
      </c>
      <c r="L121" s="566">
        <v>6</v>
      </c>
      <c r="M121" s="576">
        <v>1899</v>
      </c>
      <c r="N121" s="576">
        <f t="shared" si="33"/>
        <v>68364</v>
      </c>
      <c r="O121" s="566">
        <v>6</v>
      </c>
      <c r="P121" s="577" t="str">
        <f>IFERROR(_xlfn.XLOOKUP(F121,'[4]By Model'!$A:$A,'[4]By Model'!$K:$K),"")</f>
        <v/>
      </c>
      <c r="Q121" s="578" t="str">
        <f>IFERROR(_xlfn.XLOOKUP(F121,'[5]By Model'!$A:$A,'[5]By Model'!$B:$B),"")</f>
        <v/>
      </c>
      <c r="R121" s="579" t="str">
        <f>IFERROR(_xlfn.XLOOKUP(F121,'[4]By Model'!$A:$A,'[4]By Model'!$I:$I),"")</f>
        <v/>
      </c>
      <c r="S121" s="578" t="str">
        <f>IFERROR(_xlfn.XLOOKUP(F121,[6]Sum!$G:$G,[6]Sum!$AM:$AM),"")</f>
        <v/>
      </c>
      <c r="T121" s="576">
        <v>1799</v>
      </c>
      <c r="U121" s="576">
        <f t="shared" si="22"/>
        <v>64764</v>
      </c>
      <c r="V121" s="580">
        <v>0</v>
      </c>
      <c r="W121" s="576">
        <f t="shared" si="23"/>
        <v>0</v>
      </c>
      <c r="X121" s="576">
        <f t="shared" si="24"/>
        <v>64764</v>
      </c>
      <c r="Y121" s="581">
        <f t="shared" si="25"/>
        <v>-5.2659294365455467E-2</v>
      </c>
      <c r="Z121" s="577" t="str">
        <f t="shared" si="31"/>
        <v/>
      </c>
      <c r="AA121" s="577"/>
      <c r="AB121" s="582"/>
      <c r="AC121" s="576">
        <v>1749</v>
      </c>
      <c r="AD121" s="576">
        <f t="shared" si="26"/>
        <v>62964</v>
      </c>
      <c r="AE121" s="581">
        <f>AD121/AD123</f>
        <v>0.80785219399538111</v>
      </c>
      <c r="AF121" s="580">
        <v>0</v>
      </c>
      <c r="AG121" s="576">
        <f t="shared" si="27"/>
        <v>0</v>
      </c>
      <c r="AH121" s="709">
        <f t="shared" si="28"/>
        <v>62964</v>
      </c>
      <c r="AI121" s="709">
        <f t="shared" si="29"/>
        <v>-1800</v>
      </c>
      <c r="AJ121" s="577">
        <f t="shared" si="30"/>
        <v>-2.7793218454697052E-2</v>
      </c>
      <c r="AK121" s="582" t="str">
        <f t="shared" si="32"/>
        <v/>
      </c>
      <c r="AL121" s="582"/>
      <c r="AM121" s="580"/>
      <c r="AN121" s="576" t="e">
        <f>T121-#REF!</f>
        <v>#REF!</v>
      </c>
      <c r="AO121" s="580"/>
      <c r="AQ121" s="436" t="str">
        <v>SIQ18B.S11</v>
      </c>
    </row>
    <row r="122" spans="2:43" s="436" customFormat="1" ht="14" hidden="1">
      <c r="B122" s="800">
        <v>2605</v>
      </c>
      <c r="C122" s="1392" t="s">
        <v>23</v>
      </c>
      <c r="D122" s="1392"/>
      <c r="E122" s="1392"/>
      <c r="F122" s="1392" t="s">
        <v>329</v>
      </c>
      <c r="G122" s="566" t="s">
        <v>522</v>
      </c>
      <c r="H122" s="566"/>
      <c r="I122" s="566"/>
      <c r="J122" s="566">
        <v>5</v>
      </c>
      <c r="K122" s="566" t="s">
        <v>286</v>
      </c>
      <c r="L122" s="566">
        <v>12</v>
      </c>
      <c r="M122" s="576">
        <v>1199</v>
      </c>
      <c r="N122" s="576">
        <f t="shared" si="33"/>
        <v>71940</v>
      </c>
      <c r="O122" s="566">
        <v>12</v>
      </c>
      <c r="P122" s="577" t="str">
        <f>IFERROR(_xlfn.XLOOKUP(F122,'[4]By Model'!$A:$A,'[4]By Model'!$K:$K),"")</f>
        <v/>
      </c>
      <c r="Q122" s="578" t="str">
        <f>IFERROR(_xlfn.XLOOKUP(F122,'[5]By Model'!$A:$A,'[5]By Model'!$B:$B),"")</f>
        <v/>
      </c>
      <c r="R122" s="579" t="str">
        <f>IFERROR(_xlfn.XLOOKUP(F122,'[4]By Model'!$A:$A,'[4]By Model'!$I:$I),"")</f>
        <v/>
      </c>
      <c r="S122" s="578" t="str">
        <f>IFERROR(_xlfn.XLOOKUP(F122,[6]Sum!$G:$G,[6]Sum!$AM:$AM),"")</f>
        <v/>
      </c>
      <c r="T122" s="576">
        <v>1199</v>
      </c>
      <c r="U122" s="576">
        <f t="shared" si="22"/>
        <v>71940</v>
      </c>
      <c r="V122" s="580">
        <v>12</v>
      </c>
      <c r="W122" s="576">
        <f t="shared" si="23"/>
        <v>7194</v>
      </c>
      <c r="X122" s="576">
        <f t="shared" si="24"/>
        <v>64746</v>
      </c>
      <c r="Y122" s="581">
        <f t="shared" si="25"/>
        <v>-9.9999999999999978E-2</v>
      </c>
      <c r="Z122" s="577" t="str">
        <f t="shared" si="31"/>
        <v/>
      </c>
      <c r="AA122" s="577"/>
      <c r="AB122" s="582"/>
      <c r="AC122" s="576">
        <v>1199</v>
      </c>
      <c r="AD122" s="576">
        <f t="shared" si="26"/>
        <v>71940</v>
      </c>
      <c r="AE122" s="711"/>
      <c r="AF122" s="583">
        <v>6</v>
      </c>
      <c r="AG122" s="576">
        <f t="shared" si="27"/>
        <v>3597</v>
      </c>
      <c r="AH122" s="709">
        <f t="shared" si="28"/>
        <v>68343</v>
      </c>
      <c r="AI122" s="709">
        <f t="shared" si="29"/>
        <v>3597</v>
      </c>
      <c r="AJ122" s="577">
        <f t="shared" si="30"/>
        <v>5.5555555555555552E-2</v>
      </c>
      <c r="AK122" s="582" t="str">
        <f t="shared" si="32"/>
        <v/>
      </c>
      <c r="AL122" s="582"/>
      <c r="AM122" s="580"/>
      <c r="AN122" s="576" t="e">
        <f>T122-#REF!</f>
        <v>#REF!</v>
      </c>
      <c r="AO122" s="580"/>
      <c r="AQ122" s="436" t="str">
        <v>SIQ24B.S11</v>
      </c>
    </row>
    <row r="123" spans="2:43" s="436" customFormat="1" ht="14" hidden="1">
      <c r="B123" s="801">
        <v>2605</v>
      </c>
      <c r="C123" s="1393" t="s">
        <v>23</v>
      </c>
      <c r="D123" s="1393"/>
      <c r="E123" s="1393"/>
      <c r="F123" s="1393" t="s">
        <v>329</v>
      </c>
      <c r="G123" s="566" t="s">
        <v>522</v>
      </c>
      <c r="H123" s="566"/>
      <c r="I123" s="566"/>
      <c r="J123" s="566">
        <v>5</v>
      </c>
      <c r="K123" s="566" t="s">
        <v>286</v>
      </c>
      <c r="L123" s="566">
        <v>6</v>
      </c>
      <c r="M123" s="576">
        <v>1299</v>
      </c>
      <c r="N123" s="576">
        <f t="shared" si="33"/>
        <v>77940</v>
      </c>
      <c r="O123" s="566">
        <v>6</v>
      </c>
      <c r="P123" s="577" t="str">
        <f>IFERROR(_xlfn.XLOOKUP(F123,'[4]By Model'!$A:$A,'[4]By Model'!$K:$K),"")</f>
        <v/>
      </c>
      <c r="Q123" s="578" t="str">
        <f>IFERROR(_xlfn.XLOOKUP(F123,'[5]By Model'!$A:$A,'[5]By Model'!$B:$B),"")</f>
        <v/>
      </c>
      <c r="R123" s="579" t="str">
        <f>IFERROR(_xlfn.XLOOKUP(F123,'[4]By Model'!$A:$A,'[4]By Model'!$I:$I),"")</f>
        <v/>
      </c>
      <c r="S123" s="578" t="str">
        <f>IFERROR(_xlfn.XLOOKUP(F123,[6]Sum!$G:$G,[6]Sum!$AM:$AM),"")</f>
        <v/>
      </c>
      <c r="T123" s="576">
        <v>1299</v>
      </c>
      <c r="U123" s="576">
        <f t="shared" si="22"/>
        <v>77940</v>
      </c>
      <c r="V123" s="580">
        <v>12</v>
      </c>
      <c r="W123" s="576">
        <f t="shared" si="23"/>
        <v>7794</v>
      </c>
      <c r="X123" s="576">
        <f t="shared" si="24"/>
        <v>70146</v>
      </c>
      <c r="Y123" s="581">
        <f t="shared" si="25"/>
        <v>-9.9999999999999978E-2</v>
      </c>
      <c r="Z123" s="577" t="str">
        <f t="shared" si="31"/>
        <v/>
      </c>
      <c r="AA123" s="577"/>
      <c r="AB123" s="582"/>
      <c r="AC123" s="576">
        <v>1299</v>
      </c>
      <c r="AD123" s="576">
        <f t="shared" si="26"/>
        <v>77940</v>
      </c>
      <c r="AE123" s="711"/>
      <c r="AF123" s="583">
        <v>6</v>
      </c>
      <c r="AG123" s="576">
        <f t="shared" si="27"/>
        <v>3897</v>
      </c>
      <c r="AH123" s="709">
        <f t="shared" si="28"/>
        <v>74043</v>
      </c>
      <c r="AI123" s="709">
        <f t="shared" si="29"/>
        <v>3897</v>
      </c>
      <c r="AJ123" s="577">
        <f t="shared" si="30"/>
        <v>5.5555555555555552E-2</v>
      </c>
      <c r="AK123" s="582" t="str">
        <f t="shared" si="32"/>
        <v/>
      </c>
      <c r="AL123" s="582"/>
      <c r="AM123" s="580"/>
      <c r="AN123" s="576" t="e">
        <f>T123-#REF!</f>
        <v>#REF!</v>
      </c>
      <c r="AO123" s="580"/>
      <c r="AQ123" s="436" t="str">
        <v>IXY11A.JU1</v>
      </c>
    </row>
    <row r="124" spans="2:43" s="436" customFormat="1" ht="14" hidden="1">
      <c r="B124" s="799">
        <v>2605</v>
      </c>
      <c r="C124" s="1391" t="s">
        <v>23</v>
      </c>
      <c r="D124" s="1391"/>
      <c r="E124" s="1391"/>
      <c r="F124" s="1391" t="s">
        <v>327</v>
      </c>
      <c r="G124" s="566" t="s">
        <v>523</v>
      </c>
      <c r="H124" s="566"/>
      <c r="I124" s="566"/>
      <c r="J124" s="566">
        <v>3</v>
      </c>
      <c r="K124" s="566" t="s">
        <v>286</v>
      </c>
      <c r="L124" s="566">
        <v>12</v>
      </c>
      <c r="M124" s="576">
        <v>849</v>
      </c>
      <c r="N124" s="576">
        <f t="shared" si="33"/>
        <v>30564</v>
      </c>
      <c r="O124" s="566">
        <v>12</v>
      </c>
      <c r="P124" s="577">
        <f>IFERROR(_xlfn.XLOOKUP(F124,'[4]By Model'!$A:$A,'[4]By Model'!$K:$K),"")</f>
        <v>0.16221207562433695</v>
      </c>
      <c r="Q124" s="578" t="str">
        <f>IFERROR(_xlfn.XLOOKUP(F124,'[5]By Model'!$A:$A,'[5]By Model'!$B:$B),"")</f>
        <v/>
      </c>
      <c r="R124" s="579">
        <f>IFERROR(_xlfn.XLOOKUP(F124,'[4]By Model'!$A:$A,'[4]By Model'!$I:$I),"")</f>
        <v>311.07703373461538</v>
      </c>
      <c r="S124" s="578" t="str">
        <f>IFERROR(_xlfn.XLOOKUP(F124,[6]Sum!$G:$G,[6]Sum!$AM:$AM),"")</f>
        <v/>
      </c>
      <c r="T124" s="576">
        <v>799</v>
      </c>
      <c r="U124" s="576">
        <f t="shared" si="22"/>
        <v>28764</v>
      </c>
      <c r="V124" s="580">
        <v>0</v>
      </c>
      <c r="W124" s="576">
        <f t="shared" si="23"/>
        <v>0</v>
      </c>
      <c r="X124" s="576">
        <f t="shared" si="24"/>
        <v>28764</v>
      </c>
      <c r="Y124" s="581">
        <f t="shared" si="25"/>
        <v>-5.8892815076560634E-2</v>
      </c>
      <c r="Z124" s="577">
        <f t="shared" si="31"/>
        <v>0.13276566808605664</v>
      </c>
      <c r="AA124" s="577"/>
      <c r="AB124" s="582"/>
      <c r="AC124" s="576">
        <v>799</v>
      </c>
      <c r="AD124" s="576">
        <f t="shared" si="26"/>
        <v>28764</v>
      </c>
      <c r="AE124" s="581">
        <f>AD124/AD126</f>
        <v>0.80033388981636056</v>
      </c>
      <c r="AF124" s="580">
        <v>0</v>
      </c>
      <c r="AG124" s="576">
        <f t="shared" si="27"/>
        <v>0</v>
      </c>
      <c r="AH124" s="709">
        <f t="shared" si="28"/>
        <v>28764</v>
      </c>
      <c r="AI124" s="709">
        <f t="shared" si="29"/>
        <v>0</v>
      </c>
      <c r="AJ124" s="577">
        <f t="shared" si="30"/>
        <v>0</v>
      </c>
      <c r="AK124" s="582">
        <f t="shared" si="32"/>
        <v>0.13276566808605664</v>
      </c>
      <c r="AL124" s="582"/>
      <c r="AM124" s="580"/>
      <c r="AN124" s="576" t="e">
        <f>T124-#REF!</f>
        <v>#REF!</v>
      </c>
      <c r="AO124" s="580"/>
      <c r="AQ124" s="436" t="str">
        <v>IXY13A.JU1</v>
      </c>
    </row>
    <row r="125" spans="2:43" s="436" customFormat="1" ht="14" hidden="1">
      <c r="B125" s="800">
        <v>2605</v>
      </c>
      <c r="C125" s="1392" t="s">
        <v>23</v>
      </c>
      <c r="D125" s="1392"/>
      <c r="E125" s="1392"/>
      <c r="F125" s="1392" t="s">
        <v>327</v>
      </c>
      <c r="G125" s="566" t="s">
        <v>523</v>
      </c>
      <c r="H125" s="566"/>
      <c r="I125" s="566"/>
      <c r="J125" s="566">
        <v>3</v>
      </c>
      <c r="K125" s="566" t="s">
        <v>286</v>
      </c>
      <c r="L125" s="566">
        <v>6</v>
      </c>
      <c r="M125" s="576">
        <v>999</v>
      </c>
      <c r="N125" s="576">
        <f t="shared" si="33"/>
        <v>35964</v>
      </c>
      <c r="O125" s="566">
        <v>6</v>
      </c>
      <c r="P125" s="577">
        <f>IFERROR(_xlfn.XLOOKUP(F125,'[4]By Model'!$A:$A,'[4]By Model'!$K:$K),"")</f>
        <v>0.16221207562433695</v>
      </c>
      <c r="Q125" s="578" t="str">
        <f>IFERROR(_xlfn.XLOOKUP(F125,'[5]By Model'!$A:$A,'[5]By Model'!$B:$B),"")</f>
        <v/>
      </c>
      <c r="R125" s="579">
        <f>IFERROR(_xlfn.XLOOKUP(F125,'[4]By Model'!$A:$A,'[4]By Model'!$I:$I),"")</f>
        <v>311.07703373461538</v>
      </c>
      <c r="S125" s="578" t="str">
        <f>IFERROR(_xlfn.XLOOKUP(F125,[6]Sum!$G:$G,[6]Sum!$AM:$AM),"")</f>
        <v/>
      </c>
      <c r="T125" s="576">
        <v>949</v>
      </c>
      <c r="U125" s="576">
        <f t="shared" si="22"/>
        <v>34164</v>
      </c>
      <c r="V125" s="580">
        <v>0</v>
      </c>
      <c r="W125" s="576">
        <f t="shared" si="23"/>
        <v>0</v>
      </c>
      <c r="X125" s="576">
        <f t="shared" si="24"/>
        <v>34164</v>
      </c>
      <c r="Y125" s="581">
        <f t="shared" si="25"/>
        <v>-5.0050050050050032E-2</v>
      </c>
      <c r="Z125" s="577">
        <f t="shared" si="31"/>
        <v>0.13718705059931194</v>
      </c>
      <c r="AA125" s="577"/>
      <c r="AB125" s="582"/>
      <c r="AC125" s="576">
        <v>899</v>
      </c>
      <c r="AD125" s="576">
        <f t="shared" si="26"/>
        <v>32364</v>
      </c>
      <c r="AE125" s="581">
        <f>AD125/AD127</f>
        <v>0.77167381974248928</v>
      </c>
      <c r="AF125" s="580">
        <v>0</v>
      </c>
      <c r="AG125" s="576">
        <f t="shared" si="27"/>
        <v>0</v>
      </c>
      <c r="AH125" s="709">
        <f t="shared" si="28"/>
        <v>32364</v>
      </c>
      <c r="AI125" s="709">
        <f t="shared" si="29"/>
        <v>-1800</v>
      </c>
      <c r="AJ125" s="577">
        <f t="shared" si="30"/>
        <v>-5.2687038988408853E-2</v>
      </c>
      <c r="AK125" s="582">
        <f t="shared" si="32"/>
        <v>0.11084353110510752</v>
      </c>
      <c r="AL125" s="582"/>
      <c r="AM125" s="580"/>
      <c r="AN125" s="576" t="e">
        <f>T125-#REF!</f>
        <v>#REF!</v>
      </c>
      <c r="AO125" s="580"/>
      <c r="AQ125" s="436" t="str">
        <v>IXY18A.KU1</v>
      </c>
    </row>
    <row r="126" spans="2:43" s="436" customFormat="1" ht="14" hidden="1">
      <c r="B126" s="800">
        <v>2605</v>
      </c>
      <c r="C126" s="1392" t="s">
        <v>23</v>
      </c>
      <c r="D126" s="1392"/>
      <c r="E126" s="1392"/>
      <c r="F126" s="1392" t="s">
        <v>327</v>
      </c>
      <c r="G126" s="566" t="s">
        <v>523</v>
      </c>
      <c r="H126" s="566"/>
      <c r="I126" s="566"/>
      <c r="J126" s="566">
        <v>5</v>
      </c>
      <c r="K126" s="566" t="s">
        <v>286</v>
      </c>
      <c r="L126" s="566">
        <v>12</v>
      </c>
      <c r="M126" s="576">
        <v>599</v>
      </c>
      <c r="N126" s="576">
        <f t="shared" si="33"/>
        <v>35940</v>
      </c>
      <c r="O126" s="566">
        <v>12</v>
      </c>
      <c r="P126" s="577">
        <f>IFERROR(_xlfn.XLOOKUP(F126,'[4]By Model'!$A:$A,'[4]By Model'!$K:$K),"")</f>
        <v>0.16221207562433695</v>
      </c>
      <c r="Q126" s="578" t="str">
        <f>IFERROR(_xlfn.XLOOKUP(F126,'[5]By Model'!$A:$A,'[5]By Model'!$B:$B),"")</f>
        <v/>
      </c>
      <c r="R126" s="579">
        <f>IFERROR(_xlfn.XLOOKUP(F126,'[4]By Model'!$A:$A,'[4]By Model'!$I:$I),"")</f>
        <v>311.07703373461538</v>
      </c>
      <c r="S126" s="578" t="str">
        <f>IFERROR(_xlfn.XLOOKUP(F126,[6]Sum!$G:$G,[6]Sum!$AM:$AM),"")</f>
        <v/>
      </c>
      <c r="T126" s="576">
        <v>599</v>
      </c>
      <c r="U126" s="576">
        <f t="shared" si="22"/>
        <v>35940</v>
      </c>
      <c r="V126" s="580">
        <v>12</v>
      </c>
      <c r="W126" s="576">
        <f t="shared" si="23"/>
        <v>3594</v>
      </c>
      <c r="X126" s="576">
        <f t="shared" si="24"/>
        <v>32346</v>
      </c>
      <c r="Y126" s="581">
        <f t="shared" si="25"/>
        <v>-9.9999999999999978E-2</v>
      </c>
      <c r="Z126" s="577">
        <f t="shared" si="31"/>
        <v>0.11221207562433697</v>
      </c>
      <c r="AA126" s="577"/>
      <c r="AB126" s="582"/>
      <c r="AC126" s="576">
        <v>599</v>
      </c>
      <c r="AD126" s="576">
        <f t="shared" si="26"/>
        <v>35940</v>
      </c>
      <c r="AE126" s="711"/>
      <c r="AF126" s="583">
        <v>6</v>
      </c>
      <c r="AG126" s="576">
        <f t="shared" si="27"/>
        <v>1797</v>
      </c>
      <c r="AH126" s="709">
        <f t="shared" si="28"/>
        <v>34143</v>
      </c>
      <c r="AI126" s="709">
        <f t="shared" si="29"/>
        <v>1797</v>
      </c>
      <c r="AJ126" s="577">
        <f t="shared" si="30"/>
        <v>5.5555555555555552E-2</v>
      </c>
      <c r="AK126" s="582">
        <f t="shared" si="32"/>
        <v>0.13998985340211473</v>
      </c>
      <c r="AL126" s="582"/>
      <c r="AM126" s="580"/>
      <c r="AN126" s="576" t="e">
        <f>T126-#REF!</f>
        <v>#REF!</v>
      </c>
      <c r="AO126" s="580"/>
      <c r="AQ126" s="436" t="str">
        <v>IXY24A.KU1</v>
      </c>
    </row>
    <row r="127" spans="2:43" s="436" customFormat="1" ht="14" hidden="1">
      <c r="B127" s="801">
        <v>2605</v>
      </c>
      <c r="C127" s="1393" t="s">
        <v>23</v>
      </c>
      <c r="D127" s="1393"/>
      <c r="E127" s="1393"/>
      <c r="F127" s="1393" t="s">
        <v>327</v>
      </c>
      <c r="G127" s="566" t="s">
        <v>523</v>
      </c>
      <c r="H127" s="566"/>
      <c r="I127" s="566"/>
      <c r="J127" s="566">
        <v>5</v>
      </c>
      <c r="K127" s="566" t="s">
        <v>286</v>
      </c>
      <c r="L127" s="566">
        <v>6</v>
      </c>
      <c r="M127" s="576">
        <v>699</v>
      </c>
      <c r="N127" s="576">
        <f t="shared" si="33"/>
        <v>41940</v>
      </c>
      <c r="O127" s="566">
        <v>6</v>
      </c>
      <c r="P127" s="577">
        <f>IFERROR(_xlfn.XLOOKUP(F127,'[4]By Model'!$A:$A,'[4]By Model'!$K:$K),"")</f>
        <v>0.16221207562433695</v>
      </c>
      <c r="Q127" s="578" t="str">
        <f>IFERROR(_xlfn.XLOOKUP(F127,'[5]By Model'!$A:$A,'[5]By Model'!$B:$B),"")</f>
        <v/>
      </c>
      <c r="R127" s="579">
        <f>IFERROR(_xlfn.XLOOKUP(F127,'[4]By Model'!$A:$A,'[4]By Model'!$I:$I),"")</f>
        <v>311.07703373461538</v>
      </c>
      <c r="S127" s="578" t="str">
        <f>IFERROR(_xlfn.XLOOKUP(F127,[6]Sum!$G:$G,[6]Sum!$AM:$AM),"")</f>
        <v/>
      </c>
      <c r="T127" s="576">
        <v>699</v>
      </c>
      <c r="U127" s="576">
        <f t="shared" si="22"/>
        <v>41940</v>
      </c>
      <c r="V127" s="580">
        <v>12</v>
      </c>
      <c r="W127" s="576">
        <f t="shared" si="23"/>
        <v>4194</v>
      </c>
      <c r="X127" s="576">
        <f t="shared" si="24"/>
        <v>37746</v>
      </c>
      <c r="Y127" s="581">
        <f t="shared" si="25"/>
        <v>-9.9999999999999978E-2</v>
      </c>
      <c r="Z127" s="577">
        <f t="shared" si="31"/>
        <v>0.11221207562433697</v>
      </c>
      <c r="AA127" s="577"/>
      <c r="AB127" s="582"/>
      <c r="AC127" s="576">
        <v>699</v>
      </c>
      <c r="AD127" s="576">
        <f t="shared" si="26"/>
        <v>41940</v>
      </c>
      <c r="AE127" s="711"/>
      <c r="AF127" s="583">
        <v>6</v>
      </c>
      <c r="AG127" s="576">
        <f t="shared" si="27"/>
        <v>2097</v>
      </c>
      <c r="AH127" s="709">
        <f t="shared" si="28"/>
        <v>39843</v>
      </c>
      <c r="AI127" s="709">
        <f t="shared" si="29"/>
        <v>2097</v>
      </c>
      <c r="AJ127" s="577">
        <f t="shared" si="30"/>
        <v>5.5555555555555552E-2</v>
      </c>
      <c r="AK127" s="582">
        <f t="shared" si="32"/>
        <v>0.13998985340211473</v>
      </c>
      <c r="AL127" s="582"/>
      <c r="AM127" s="580"/>
      <c r="AN127" s="576" t="e">
        <f>T127-#REF!</f>
        <v>#REF!</v>
      </c>
      <c r="AO127" s="580"/>
    </row>
    <row r="128" spans="2:43" s="436" customFormat="1" ht="14" hidden="1">
      <c r="B128" s="799">
        <v>2605</v>
      </c>
      <c r="C128" s="1391" t="s">
        <v>23</v>
      </c>
      <c r="D128" s="1391"/>
      <c r="E128" s="1391"/>
      <c r="F128" s="1391" t="s">
        <v>330</v>
      </c>
      <c r="G128" s="566" t="s">
        <v>524</v>
      </c>
      <c r="H128" s="566"/>
      <c r="I128" s="566"/>
      <c r="J128" s="566">
        <v>3</v>
      </c>
      <c r="K128" s="566" t="s">
        <v>286</v>
      </c>
      <c r="L128" s="566">
        <v>12</v>
      </c>
      <c r="M128" s="576">
        <v>899</v>
      </c>
      <c r="N128" s="576">
        <f t="shared" si="33"/>
        <v>32364</v>
      </c>
      <c r="O128" s="566">
        <v>12</v>
      </c>
      <c r="P128" s="577">
        <f>IFERROR(_xlfn.XLOOKUP(F128,'[4]By Model'!$A:$A,'[4]By Model'!$K:$K),"")</f>
        <v>0.23306876222765877</v>
      </c>
      <c r="Q128" s="578" t="str">
        <f>IFERROR(_xlfn.XLOOKUP(F128,'[5]By Model'!$A:$A,'[5]By Model'!$B:$B),"")</f>
        <v/>
      </c>
      <c r="R128" s="579">
        <f>IFERROR(_xlfn.XLOOKUP(F128,'[4]By Model'!$A:$A,'[4]By Model'!$I:$I),"")</f>
        <v>371.66408850616432</v>
      </c>
      <c r="S128" s="578" t="str">
        <f>IFERROR(_xlfn.XLOOKUP(F128,[6]Sum!$G:$G,[6]Sum!$AM:$AM),"")</f>
        <v/>
      </c>
      <c r="T128" s="576">
        <v>849</v>
      </c>
      <c r="U128" s="576">
        <f t="shared" si="22"/>
        <v>30564</v>
      </c>
      <c r="V128" s="580">
        <v>0</v>
      </c>
      <c r="W128" s="576">
        <f t="shared" si="23"/>
        <v>0</v>
      </c>
      <c r="X128" s="576">
        <f t="shared" si="24"/>
        <v>30564</v>
      </c>
      <c r="Y128" s="581">
        <f t="shared" si="25"/>
        <v>-5.5617352614015569E-2</v>
      </c>
      <c r="Z128" s="577">
        <f t="shared" si="31"/>
        <v>0.20526008592065098</v>
      </c>
      <c r="AA128" s="577"/>
      <c r="AB128" s="582"/>
      <c r="AC128" s="576">
        <v>799</v>
      </c>
      <c r="AD128" s="576">
        <f t="shared" si="26"/>
        <v>28764</v>
      </c>
      <c r="AE128" s="581">
        <f>AD128/AD130</f>
        <v>0.68583690987124468</v>
      </c>
      <c r="AF128" s="580">
        <v>0</v>
      </c>
      <c r="AG128" s="576">
        <f t="shared" si="27"/>
        <v>0</v>
      </c>
      <c r="AH128" s="709">
        <f t="shared" si="28"/>
        <v>28764</v>
      </c>
      <c r="AI128" s="709">
        <f t="shared" si="29"/>
        <v>-1800</v>
      </c>
      <c r="AJ128" s="577">
        <f t="shared" si="30"/>
        <v>-5.8892815076560662E-2</v>
      </c>
      <c r="AK128" s="582">
        <f t="shared" si="32"/>
        <v>0.17581367838237066</v>
      </c>
      <c r="AL128" s="582"/>
      <c r="AM128" s="580"/>
      <c r="AN128" s="576"/>
      <c r="AO128" s="580"/>
    </row>
    <row r="129" spans="2:41" s="436" customFormat="1" ht="14" hidden="1">
      <c r="B129" s="800">
        <v>2605</v>
      </c>
      <c r="C129" s="1392" t="s">
        <v>23</v>
      </c>
      <c r="D129" s="1392"/>
      <c r="E129" s="1392"/>
      <c r="F129" s="1392" t="s">
        <v>330</v>
      </c>
      <c r="G129" s="566" t="s">
        <v>524</v>
      </c>
      <c r="H129" s="566"/>
      <c r="I129" s="566"/>
      <c r="J129" s="566">
        <v>3</v>
      </c>
      <c r="K129" s="566" t="s">
        <v>286</v>
      </c>
      <c r="L129" s="566">
        <v>6</v>
      </c>
      <c r="M129" s="576">
        <v>1049</v>
      </c>
      <c r="N129" s="576">
        <f t="shared" si="33"/>
        <v>37764</v>
      </c>
      <c r="O129" s="566">
        <v>6</v>
      </c>
      <c r="P129" s="577">
        <f>IFERROR(_xlfn.XLOOKUP(F129,'[4]By Model'!$A:$A,'[4]By Model'!$K:$K),"")</f>
        <v>0.23306876222765877</v>
      </c>
      <c r="Q129" s="578" t="str">
        <f>IFERROR(_xlfn.XLOOKUP(F129,'[5]By Model'!$A:$A,'[5]By Model'!$B:$B),"")</f>
        <v/>
      </c>
      <c r="R129" s="579">
        <f>IFERROR(_xlfn.XLOOKUP(F129,'[4]By Model'!$A:$A,'[4]By Model'!$I:$I),"")</f>
        <v>371.66408850616432</v>
      </c>
      <c r="S129" s="578" t="str">
        <f>IFERROR(_xlfn.XLOOKUP(F129,[6]Sum!$G:$G,[6]Sum!$AM:$AM),"")</f>
        <v/>
      </c>
      <c r="T129" s="576">
        <v>999</v>
      </c>
      <c r="U129" s="576">
        <f t="shared" si="22"/>
        <v>35964</v>
      </c>
      <c r="V129" s="580">
        <v>0</v>
      </c>
      <c r="W129" s="576">
        <f t="shared" si="23"/>
        <v>0</v>
      </c>
      <c r="X129" s="576">
        <f t="shared" si="24"/>
        <v>35964</v>
      </c>
      <c r="Y129" s="581">
        <f t="shared" si="25"/>
        <v>-4.7664442326024736E-2</v>
      </c>
      <c r="Z129" s="577">
        <f t="shared" si="31"/>
        <v>0.2092365410646464</v>
      </c>
      <c r="AA129" s="577"/>
      <c r="AB129" s="582"/>
      <c r="AC129" s="576">
        <v>849</v>
      </c>
      <c r="AD129" s="576">
        <f t="shared" si="26"/>
        <v>30564</v>
      </c>
      <c r="AE129" s="581">
        <f>AD129/AD131</f>
        <v>0.63754693366708381</v>
      </c>
      <c r="AF129" s="580">
        <v>0</v>
      </c>
      <c r="AG129" s="576">
        <f t="shared" si="27"/>
        <v>0</v>
      </c>
      <c r="AH129" s="709">
        <f t="shared" si="28"/>
        <v>30564</v>
      </c>
      <c r="AI129" s="709">
        <f t="shared" si="29"/>
        <v>-5400</v>
      </c>
      <c r="AJ129" s="577">
        <f t="shared" si="30"/>
        <v>-0.15015015015015015</v>
      </c>
      <c r="AK129" s="582">
        <f t="shared" si="32"/>
        <v>0.13416146598957132</v>
      </c>
      <c r="AL129" s="582"/>
      <c r="AM129" s="580"/>
      <c r="AN129" s="576"/>
      <c r="AO129" s="580"/>
    </row>
    <row r="130" spans="2:41" s="436" customFormat="1" ht="14" hidden="1">
      <c r="B130" s="800">
        <v>2605</v>
      </c>
      <c r="C130" s="1392" t="s">
        <v>23</v>
      </c>
      <c r="D130" s="1392"/>
      <c r="E130" s="1392"/>
      <c r="F130" s="1392" t="s">
        <v>330</v>
      </c>
      <c r="G130" s="566" t="s">
        <v>524</v>
      </c>
      <c r="H130" s="566"/>
      <c r="I130" s="566"/>
      <c r="J130" s="566">
        <v>5</v>
      </c>
      <c r="K130" s="566" t="s">
        <v>286</v>
      </c>
      <c r="L130" s="566">
        <v>12</v>
      </c>
      <c r="M130" s="576">
        <v>699</v>
      </c>
      <c r="N130" s="576">
        <f t="shared" si="33"/>
        <v>41940</v>
      </c>
      <c r="O130" s="566">
        <v>12</v>
      </c>
      <c r="P130" s="577">
        <f>IFERROR(_xlfn.XLOOKUP(F130,'[4]By Model'!$A:$A,'[4]By Model'!$K:$K),"")</f>
        <v>0.23306876222765877</v>
      </c>
      <c r="Q130" s="578" t="str">
        <f>IFERROR(_xlfn.XLOOKUP(F130,'[5]By Model'!$A:$A,'[5]By Model'!$B:$B),"")</f>
        <v/>
      </c>
      <c r="R130" s="579">
        <f>IFERROR(_xlfn.XLOOKUP(F130,'[4]By Model'!$A:$A,'[4]By Model'!$I:$I),"")</f>
        <v>371.66408850616432</v>
      </c>
      <c r="S130" s="578" t="str">
        <f>IFERROR(_xlfn.XLOOKUP(F130,[6]Sum!$G:$G,[6]Sum!$AM:$AM),"")</f>
        <v/>
      </c>
      <c r="T130" s="576">
        <v>699</v>
      </c>
      <c r="U130" s="576">
        <f t="shared" si="22"/>
        <v>41940</v>
      </c>
      <c r="V130" s="580">
        <v>12</v>
      </c>
      <c r="W130" s="576">
        <f t="shared" si="23"/>
        <v>4194</v>
      </c>
      <c r="X130" s="576">
        <f t="shared" si="24"/>
        <v>37746</v>
      </c>
      <c r="Y130" s="581">
        <f t="shared" si="25"/>
        <v>-9.9999999999999978E-2</v>
      </c>
      <c r="Z130" s="577">
        <f t="shared" si="31"/>
        <v>0.18306876222765878</v>
      </c>
      <c r="AA130" s="577"/>
      <c r="AB130" s="582"/>
      <c r="AC130" s="576">
        <v>699</v>
      </c>
      <c r="AD130" s="576">
        <f t="shared" si="26"/>
        <v>41940</v>
      </c>
      <c r="AE130" s="711"/>
      <c r="AF130" s="583">
        <v>6</v>
      </c>
      <c r="AG130" s="576">
        <f t="shared" si="27"/>
        <v>2097</v>
      </c>
      <c r="AH130" s="709">
        <f t="shared" si="28"/>
        <v>39843</v>
      </c>
      <c r="AI130" s="709">
        <f t="shared" si="29"/>
        <v>2097</v>
      </c>
      <c r="AJ130" s="577">
        <f t="shared" si="30"/>
        <v>5.5555555555555552E-2</v>
      </c>
      <c r="AK130" s="582">
        <f t="shared" si="32"/>
        <v>0.21084654000543657</v>
      </c>
      <c r="AL130" s="582"/>
      <c r="AM130" s="580"/>
      <c r="AN130" s="576"/>
      <c r="AO130" s="580"/>
    </row>
    <row r="131" spans="2:41" s="436" customFormat="1" ht="14" hidden="1">
      <c r="B131" s="801">
        <v>2605</v>
      </c>
      <c r="C131" s="1393" t="s">
        <v>23</v>
      </c>
      <c r="D131" s="1393"/>
      <c r="E131" s="1393"/>
      <c r="F131" s="1393" t="s">
        <v>330</v>
      </c>
      <c r="G131" s="566" t="s">
        <v>524</v>
      </c>
      <c r="H131" s="566"/>
      <c r="I131" s="566"/>
      <c r="J131" s="566">
        <v>5</v>
      </c>
      <c r="K131" s="566" t="s">
        <v>286</v>
      </c>
      <c r="L131" s="566">
        <v>6</v>
      </c>
      <c r="M131" s="576">
        <v>799</v>
      </c>
      <c r="N131" s="576">
        <f t="shared" si="33"/>
        <v>47940</v>
      </c>
      <c r="O131" s="566">
        <v>6</v>
      </c>
      <c r="P131" s="577">
        <f>IFERROR(_xlfn.XLOOKUP(F131,'[4]By Model'!$A:$A,'[4]By Model'!$K:$K),"")</f>
        <v>0.23306876222765877</v>
      </c>
      <c r="Q131" s="578" t="str">
        <f>IFERROR(_xlfn.XLOOKUP(F131,'[5]By Model'!$A:$A,'[5]By Model'!$B:$B),"")</f>
        <v/>
      </c>
      <c r="R131" s="579">
        <f>IFERROR(_xlfn.XLOOKUP(F131,'[4]By Model'!$A:$A,'[4]By Model'!$I:$I),"")</f>
        <v>371.66408850616432</v>
      </c>
      <c r="S131" s="578" t="str">
        <f>IFERROR(_xlfn.XLOOKUP(F131,[6]Sum!$G:$G,[6]Sum!$AM:$AM),"")</f>
        <v/>
      </c>
      <c r="T131" s="576">
        <v>799</v>
      </c>
      <c r="U131" s="576">
        <f t="shared" ref="U131:U194" si="35">T131*LEFT(J131,1)*12</f>
        <v>47940</v>
      </c>
      <c r="V131" s="580">
        <v>12</v>
      </c>
      <c r="W131" s="576">
        <f t="shared" ref="W131:W194" si="36">V131*T131*0.5</f>
        <v>4794</v>
      </c>
      <c r="X131" s="576">
        <f t="shared" ref="X131:X194" si="37">U131-W131</f>
        <v>43146</v>
      </c>
      <c r="Y131" s="581">
        <f t="shared" ref="Y131:Y194" si="38">X131/N131-1</f>
        <v>-9.9999999999999978E-2</v>
      </c>
      <c r="Z131" s="577">
        <f t="shared" si="31"/>
        <v>0.18306876222765878</v>
      </c>
      <c r="AA131" s="577"/>
      <c r="AB131" s="582"/>
      <c r="AC131" s="576">
        <v>799</v>
      </c>
      <c r="AD131" s="576">
        <f t="shared" ref="AD131:AD194" si="39">AC131*LEFT(J131,1)*12</f>
        <v>47940</v>
      </c>
      <c r="AE131" s="711"/>
      <c r="AF131" s="583">
        <v>6</v>
      </c>
      <c r="AG131" s="576">
        <f t="shared" ref="AG131:AG194" si="40">AF131*AC131*0.5</f>
        <v>2397</v>
      </c>
      <c r="AH131" s="709">
        <f t="shared" ref="AH131:AH194" si="41">AD131-AG131</f>
        <v>45543</v>
      </c>
      <c r="AI131" s="709">
        <f t="shared" ref="AI131:AI194" si="42">AH131-X131</f>
        <v>2397</v>
      </c>
      <c r="AJ131" s="577">
        <f t="shared" ref="AJ131:AJ194" si="43">AI131/X131</f>
        <v>5.5555555555555552E-2</v>
      </c>
      <c r="AK131" s="582">
        <f t="shared" si="32"/>
        <v>0.21084654000543657</v>
      </c>
      <c r="AL131" s="582"/>
      <c r="AM131" s="580"/>
      <c r="AN131" s="576"/>
      <c r="AO131" s="580"/>
    </row>
    <row r="132" spans="2:41" s="436" customFormat="1" ht="14" hidden="1">
      <c r="B132" s="799">
        <v>2605</v>
      </c>
      <c r="C132" s="1391" t="s">
        <v>23</v>
      </c>
      <c r="D132" s="1391"/>
      <c r="E132" s="1391"/>
      <c r="F132" s="1391" t="s">
        <v>331</v>
      </c>
      <c r="G132" s="566" t="s">
        <v>525</v>
      </c>
      <c r="H132" s="566"/>
      <c r="I132" s="566"/>
      <c r="J132" s="566">
        <v>3</v>
      </c>
      <c r="K132" s="566" t="s">
        <v>286</v>
      </c>
      <c r="L132" s="566">
        <v>12</v>
      </c>
      <c r="M132" s="576">
        <v>1199</v>
      </c>
      <c r="N132" s="576">
        <f t="shared" si="33"/>
        <v>43164</v>
      </c>
      <c r="O132" s="566">
        <v>12</v>
      </c>
      <c r="P132" s="577">
        <f>IFERROR(_xlfn.XLOOKUP(F132,'[4]By Model'!$A:$A,'[4]By Model'!$K:$K),"")</f>
        <v>0.2915992598262393</v>
      </c>
      <c r="Q132" s="578" t="str">
        <f>IFERROR(_xlfn.XLOOKUP(F132,'[5]By Model'!$A:$A,'[5]By Model'!$B:$B),"")</f>
        <v/>
      </c>
      <c r="R132" s="579">
        <f>IFERROR(_xlfn.XLOOKUP(F132,'[4]By Model'!$A:$A,'[4]By Model'!$I:$I),"")</f>
        <v>494.74528488018865</v>
      </c>
      <c r="S132" s="578" t="str">
        <f>IFERROR(_xlfn.XLOOKUP(F132,[6]Sum!$G:$G,[6]Sum!$AM:$AM),"")</f>
        <v/>
      </c>
      <c r="T132" s="576">
        <v>1149</v>
      </c>
      <c r="U132" s="576">
        <f t="shared" si="35"/>
        <v>41364</v>
      </c>
      <c r="V132" s="580">
        <v>0</v>
      </c>
      <c r="W132" s="576">
        <f t="shared" si="36"/>
        <v>0</v>
      </c>
      <c r="X132" s="576">
        <f t="shared" si="37"/>
        <v>41364</v>
      </c>
      <c r="Y132" s="581">
        <f t="shared" si="38"/>
        <v>-4.1701417848206801E-2</v>
      </c>
      <c r="Z132" s="577">
        <f t="shared" ref="Z132:Z195" si="44">IFERROR(P132+Y132*0.5,"")</f>
        <v>0.2707485509021359</v>
      </c>
      <c r="AA132" s="577"/>
      <c r="AB132" s="582"/>
      <c r="AC132" s="576">
        <v>949</v>
      </c>
      <c r="AD132" s="576">
        <f t="shared" si="39"/>
        <v>34164</v>
      </c>
      <c r="AE132" s="581">
        <f>AD132/AD134</f>
        <v>0.63337041156840934</v>
      </c>
      <c r="AF132" s="580">
        <v>0</v>
      </c>
      <c r="AG132" s="576">
        <f t="shared" si="40"/>
        <v>0</v>
      </c>
      <c r="AH132" s="709">
        <f t="shared" si="41"/>
        <v>34164</v>
      </c>
      <c r="AI132" s="709">
        <f t="shared" si="42"/>
        <v>-7200</v>
      </c>
      <c r="AJ132" s="577">
        <f t="shared" si="43"/>
        <v>-0.17406440382941687</v>
      </c>
      <c r="AK132" s="582">
        <f t="shared" ref="AK132:AK195" si="45">IFERROR(Z132+AJ132*0.5,"")</f>
        <v>0.18371634898742745</v>
      </c>
      <c r="AL132" s="582"/>
      <c r="AM132" s="580"/>
      <c r="AN132" s="576"/>
      <c r="AO132" s="580"/>
    </row>
    <row r="133" spans="2:41" s="436" customFormat="1" ht="14" hidden="1">
      <c r="B133" s="800">
        <v>2605</v>
      </c>
      <c r="C133" s="1392" t="s">
        <v>23</v>
      </c>
      <c r="D133" s="1392"/>
      <c r="E133" s="1392"/>
      <c r="F133" s="1392" t="s">
        <v>331</v>
      </c>
      <c r="G133" s="566" t="s">
        <v>525</v>
      </c>
      <c r="H133" s="566"/>
      <c r="I133" s="566"/>
      <c r="J133" s="566">
        <v>3</v>
      </c>
      <c r="K133" s="566" t="s">
        <v>286</v>
      </c>
      <c r="L133" s="566">
        <v>6</v>
      </c>
      <c r="M133" s="576">
        <v>1349</v>
      </c>
      <c r="N133" s="576">
        <f t="shared" si="33"/>
        <v>48564</v>
      </c>
      <c r="O133" s="566">
        <v>6</v>
      </c>
      <c r="P133" s="577">
        <f>IFERROR(_xlfn.XLOOKUP(F133,'[4]By Model'!$A:$A,'[4]By Model'!$K:$K),"")</f>
        <v>0.2915992598262393</v>
      </c>
      <c r="Q133" s="578" t="str">
        <f>IFERROR(_xlfn.XLOOKUP(F133,'[5]By Model'!$A:$A,'[5]By Model'!$B:$B),"")</f>
        <v/>
      </c>
      <c r="R133" s="579">
        <f>IFERROR(_xlfn.XLOOKUP(F133,'[4]By Model'!$A:$A,'[4]By Model'!$I:$I),"")</f>
        <v>494.74528488018865</v>
      </c>
      <c r="S133" s="578" t="str">
        <f>IFERROR(_xlfn.XLOOKUP(F133,[6]Sum!$G:$G,[6]Sum!$AM:$AM),"")</f>
        <v/>
      </c>
      <c r="T133" s="576">
        <v>1299</v>
      </c>
      <c r="U133" s="576">
        <f t="shared" si="35"/>
        <v>46764</v>
      </c>
      <c r="V133" s="580">
        <v>0</v>
      </c>
      <c r="W133" s="576">
        <f t="shared" si="36"/>
        <v>0</v>
      </c>
      <c r="X133" s="576">
        <f t="shared" si="37"/>
        <v>46764</v>
      </c>
      <c r="Y133" s="581">
        <f t="shared" si="38"/>
        <v>-3.7064492216456579E-2</v>
      </c>
      <c r="Z133" s="577">
        <f t="shared" si="44"/>
        <v>0.27306701371801101</v>
      </c>
      <c r="AA133" s="577"/>
      <c r="AB133" s="582"/>
      <c r="AC133" s="576">
        <v>1099</v>
      </c>
      <c r="AD133" s="576">
        <f t="shared" si="39"/>
        <v>39564</v>
      </c>
      <c r="AE133" s="581">
        <f>AD133/AD135</f>
        <v>0.66006006006006002</v>
      </c>
      <c r="AF133" s="580">
        <v>0</v>
      </c>
      <c r="AG133" s="576">
        <f t="shared" si="40"/>
        <v>0</v>
      </c>
      <c r="AH133" s="709">
        <f t="shared" si="41"/>
        <v>39564</v>
      </c>
      <c r="AI133" s="709">
        <f t="shared" si="42"/>
        <v>-7200</v>
      </c>
      <c r="AJ133" s="577">
        <f t="shared" si="43"/>
        <v>-0.15396458814472672</v>
      </c>
      <c r="AK133" s="582">
        <f t="shared" si="45"/>
        <v>0.19608471964564766</v>
      </c>
      <c r="AL133" s="582"/>
      <c r="AM133" s="580"/>
      <c r="AN133" s="576"/>
      <c r="AO133" s="580"/>
    </row>
    <row r="134" spans="2:41" s="436" customFormat="1" ht="14" hidden="1">
      <c r="B134" s="800">
        <v>2605</v>
      </c>
      <c r="C134" s="1392" t="s">
        <v>23</v>
      </c>
      <c r="D134" s="1392"/>
      <c r="E134" s="1392"/>
      <c r="F134" s="1392" t="s">
        <v>331</v>
      </c>
      <c r="G134" s="566" t="s">
        <v>525</v>
      </c>
      <c r="H134" s="566"/>
      <c r="I134" s="566"/>
      <c r="J134" s="566">
        <v>5</v>
      </c>
      <c r="K134" s="566" t="s">
        <v>286</v>
      </c>
      <c r="L134" s="566">
        <v>12</v>
      </c>
      <c r="M134" s="576">
        <v>899</v>
      </c>
      <c r="N134" s="576">
        <f t="shared" ref="N134:N197" si="46">M134*LEFT(J134,1)*12</f>
        <v>53940</v>
      </c>
      <c r="O134" s="566">
        <v>12</v>
      </c>
      <c r="P134" s="577">
        <f>IFERROR(_xlfn.XLOOKUP(F134,'[4]By Model'!$A:$A,'[4]By Model'!$K:$K),"")</f>
        <v>0.2915992598262393</v>
      </c>
      <c r="Q134" s="578" t="str">
        <f>IFERROR(_xlfn.XLOOKUP(F134,'[5]By Model'!$A:$A,'[5]By Model'!$B:$B),"")</f>
        <v/>
      </c>
      <c r="R134" s="579">
        <f>IFERROR(_xlfn.XLOOKUP(F134,'[4]By Model'!$A:$A,'[4]By Model'!$I:$I),"")</f>
        <v>494.74528488018865</v>
      </c>
      <c r="S134" s="578" t="str">
        <f>IFERROR(_xlfn.XLOOKUP(F134,[6]Sum!$G:$G,[6]Sum!$AM:$AM),"")</f>
        <v/>
      </c>
      <c r="T134" s="576">
        <v>899</v>
      </c>
      <c r="U134" s="576">
        <f t="shared" si="35"/>
        <v>53940</v>
      </c>
      <c r="V134" s="580">
        <v>12</v>
      </c>
      <c r="W134" s="576">
        <f t="shared" si="36"/>
        <v>5394</v>
      </c>
      <c r="X134" s="576">
        <f t="shared" si="37"/>
        <v>48546</v>
      </c>
      <c r="Y134" s="581">
        <f t="shared" si="38"/>
        <v>-9.9999999999999978E-2</v>
      </c>
      <c r="Z134" s="577">
        <f t="shared" si="44"/>
        <v>0.24159925982623931</v>
      </c>
      <c r="AA134" s="577"/>
      <c r="AB134" s="582"/>
      <c r="AC134" s="576">
        <v>899</v>
      </c>
      <c r="AD134" s="576">
        <f t="shared" si="39"/>
        <v>53940</v>
      </c>
      <c r="AE134" s="711"/>
      <c r="AF134" s="583">
        <v>6</v>
      </c>
      <c r="AG134" s="576">
        <f t="shared" si="40"/>
        <v>2697</v>
      </c>
      <c r="AH134" s="709">
        <f t="shared" si="41"/>
        <v>51243</v>
      </c>
      <c r="AI134" s="709">
        <f t="shared" si="42"/>
        <v>2697</v>
      </c>
      <c r="AJ134" s="577">
        <f t="shared" si="43"/>
        <v>5.5555555555555552E-2</v>
      </c>
      <c r="AK134" s="582">
        <f t="shared" si="45"/>
        <v>0.2693770376040171</v>
      </c>
      <c r="AL134" s="582"/>
      <c r="AM134" s="580"/>
      <c r="AN134" s="576"/>
      <c r="AO134" s="580"/>
    </row>
    <row r="135" spans="2:41" s="436" customFormat="1" ht="14" hidden="1">
      <c r="B135" s="801">
        <v>2605</v>
      </c>
      <c r="C135" s="1393" t="s">
        <v>23</v>
      </c>
      <c r="D135" s="1393"/>
      <c r="E135" s="1393"/>
      <c r="F135" s="1393" t="s">
        <v>331</v>
      </c>
      <c r="G135" s="566" t="s">
        <v>525</v>
      </c>
      <c r="H135" s="566"/>
      <c r="I135" s="566"/>
      <c r="J135" s="566">
        <v>5</v>
      </c>
      <c r="K135" s="566" t="s">
        <v>286</v>
      </c>
      <c r="L135" s="566">
        <v>6</v>
      </c>
      <c r="M135" s="576">
        <v>999</v>
      </c>
      <c r="N135" s="576">
        <f t="shared" si="46"/>
        <v>59940</v>
      </c>
      <c r="O135" s="566">
        <v>6</v>
      </c>
      <c r="P135" s="577">
        <f>IFERROR(_xlfn.XLOOKUP(F135,'[4]By Model'!$A:$A,'[4]By Model'!$K:$K),"")</f>
        <v>0.2915992598262393</v>
      </c>
      <c r="Q135" s="578" t="str">
        <f>IFERROR(_xlfn.XLOOKUP(F135,'[5]By Model'!$A:$A,'[5]By Model'!$B:$B),"")</f>
        <v/>
      </c>
      <c r="R135" s="579">
        <f>IFERROR(_xlfn.XLOOKUP(F135,'[4]By Model'!$A:$A,'[4]By Model'!$I:$I),"")</f>
        <v>494.74528488018865</v>
      </c>
      <c r="S135" s="578" t="str">
        <f>IFERROR(_xlfn.XLOOKUP(F135,[6]Sum!$G:$G,[6]Sum!$AM:$AM),"")</f>
        <v/>
      </c>
      <c r="T135" s="576">
        <v>999</v>
      </c>
      <c r="U135" s="576">
        <f t="shared" si="35"/>
        <v>59940</v>
      </c>
      <c r="V135" s="580">
        <v>12</v>
      </c>
      <c r="W135" s="576">
        <f t="shared" si="36"/>
        <v>5994</v>
      </c>
      <c r="X135" s="576">
        <f t="shared" si="37"/>
        <v>53946</v>
      </c>
      <c r="Y135" s="581">
        <f t="shared" si="38"/>
        <v>-9.9999999999999978E-2</v>
      </c>
      <c r="Z135" s="577">
        <f t="shared" si="44"/>
        <v>0.24159925982623931</v>
      </c>
      <c r="AA135" s="577"/>
      <c r="AB135" s="582"/>
      <c r="AC135" s="576">
        <v>999</v>
      </c>
      <c r="AD135" s="576">
        <f t="shared" si="39"/>
        <v>59940</v>
      </c>
      <c r="AE135" s="711"/>
      <c r="AF135" s="583">
        <v>6</v>
      </c>
      <c r="AG135" s="576">
        <f t="shared" si="40"/>
        <v>2997</v>
      </c>
      <c r="AH135" s="709">
        <f t="shared" si="41"/>
        <v>56943</v>
      </c>
      <c r="AI135" s="709">
        <f t="shared" si="42"/>
        <v>2997</v>
      </c>
      <c r="AJ135" s="577">
        <f t="shared" si="43"/>
        <v>5.5555555555555552E-2</v>
      </c>
      <c r="AK135" s="582">
        <f t="shared" si="45"/>
        <v>0.2693770376040171</v>
      </c>
      <c r="AL135" s="582"/>
      <c r="AM135" s="580"/>
      <c r="AN135" s="576"/>
      <c r="AO135" s="580"/>
    </row>
    <row r="136" spans="2:41" s="436" customFormat="1" ht="14" hidden="1">
      <c r="B136" s="799">
        <v>2605</v>
      </c>
      <c r="C136" s="1391" t="s">
        <v>23</v>
      </c>
      <c r="D136" s="1391"/>
      <c r="E136" s="1391"/>
      <c r="F136" s="1391" t="s">
        <v>332</v>
      </c>
      <c r="G136" s="566" t="s">
        <v>526</v>
      </c>
      <c r="H136" s="566"/>
      <c r="I136" s="566"/>
      <c r="J136" s="566">
        <v>3</v>
      </c>
      <c r="K136" s="566" t="s">
        <v>286</v>
      </c>
      <c r="L136" s="566">
        <v>12</v>
      </c>
      <c r="M136" s="576">
        <v>1549</v>
      </c>
      <c r="N136" s="576">
        <f t="shared" si="46"/>
        <v>55764</v>
      </c>
      <c r="O136" s="566">
        <v>12</v>
      </c>
      <c r="P136" s="577">
        <f>IFERROR(_xlfn.XLOOKUP(F136,'[4]By Model'!$A:$A,'[4]By Model'!$K:$K),"")</f>
        <v>0.30469350436070008</v>
      </c>
      <c r="Q136" s="578" t="str">
        <f>IFERROR(_xlfn.XLOOKUP(F136,'[5]By Model'!$A:$A,'[5]By Model'!$B:$B),"")</f>
        <v/>
      </c>
      <c r="R136" s="579">
        <f>IFERROR(_xlfn.XLOOKUP(F136,'[4]By Model'!$A:$A,'[4]By Model'!$I:$I),"")</f>
        <v>607.34898832678573</v>
      </c>
      <c r="S136" s="578" t="str">
        <f>IFERROR(_xlfn.XLOOKUP(F136,[6]Sum!$G:$G,[6]Sum!$AM:$AM),"")</f>
        <v/>
      </c>
      <c r="T136" s="576">
        <v>1499</v>
      </c>
      <c r="U136" s="576">
        <f t="shared" si="35"/>
        <v>53964</v>
      </c>
      <c r="V136" s="580">
        <v>0</v>
      </c>
      <c r="W136" s="576">
        <f t="shared" si="36"/>
        <v>0</v>
      </c>
      <c r="X136" s="576">
        <f t="shared" si="37"/>
        <v>53964</v>
      </c>
      <c r="Y136" s="581">
        <f t="shared" si="38"/>
        <v>-3.2278889606197514E-2</v>
      </c>
      <c r="Z136" s="577">
        <f t="shared" si="44"/>
        <v>0.28855405955760133</v>
      </c>
      <c r="AA136" s="577"/>
      <c r="AB136" s="582"/>
      <c r="AC136" s="576">
        <v>1199</v>
      </c>
      <c r="AD136" s="576">
        <f t="shared" si="39"/>
        <v>43164</v>
      </c>
      <c r="AE136" s="581">
        <f>AD136/AD138</f>
        <v>0.6545950864422202</v>
      </c>
      <c r="AF136" s="580">
        <v>0</v>
      </c>
      <c r="AG136" s="576">
        <f t="shared" si="40"/>
        <v>0</v>
      </c>
      <c r="AH136" s="709">
        <f t="shared" si="41"/>
        <v>43164</v>
      </c>
      <c r="AI136" s="709">
        <f t="shared" si="42"/>
        <v>-10800</v>
      </c>
      <c r="AJ136" s="577">
        <f t="shared" si="43"/>
        <v>-0.20013342228152101</v>
      </c>
      <c r="AK136" s="582">
        <f t="shared" si="45"/>
        <v>0.18848734841684084</v>
      </c>
      <c r="AL136" s="582"/>
      <c r="AM136" s="580"/>
      <c r="AN136" s="576"/>
      <c r="AO136" s="580"/>
    </row>
    <row r="137" spans="2:41" s="436" customFormat="1" ht="14" hidden="1">
      <c r="B137" s="800">
        <v>2605</v>
      </c>
      <c r="C137" s="1392" t="s">
        <v>23</v>
      </c>
      <c r="D137" s="1392"/>
      <c r="E137" s="1392"/>
      <c r="F137" s="1392" t="s">
        <v>332</v>
      </c>
      <c r="G137" s="566" t="s">
        <v>526</v>
      </c>
      <c r="H137" s="566"/>
      <c r="I137" s="566"/>
      <c r="J137" s="566">
        <v>3</v>
      </c>
      <c r="K137" s="566" t="s">
        <v>286</v>
      </c>
      <c r="L137" s="566">
        <v>6</v>
      </c>
      <c r="M137" s="576">
        <v>1749</v>
      </c>
      <c r="N137" s="576">
        <f t="shared" si="46"/>
        <v>62964</v>
      </c>
      <c r="O137" s="566">
        <v>6</v>
      </c>
      <c r="P137" s="577">
        <f>IFERROR(_xlfn.XLOOKUP(F137,'[4]By Model'!$A:$A,'[4]By Model'!$K:$K),"")</f>
        <v>0.30469350436070008</v>
      </c>
      <c r="Q137" s="578" t="str">
        <f>IFERROR(_xlfn.XLOOKUP(F137,'[5]By Model'!$A:$A,'[5]By Model'!$B:$B),"")</f>
        <v/>
      </c>
      <c r="R137" s="579">
        <f>IFERROR(_xlfn.XLOOKUP(F137,'[4]By Model'!$A:$A,'[4]By Model'!$I:$I),"")</f>
        <v>607.34898832678573</v>
      </c>
      <c r="S137" s="578" t="str">
        <f>IFERROR(_xlfn.XLOOKUP(F137,[6]Sum!$G:$G,[6]Sum!$AM:$AM),"")</f>
        <v/>
      </c>
      <c r="T137" s="576">
        <v>1649</v>
      </c>
      <c r="U137" s="576">
        <f t="shared" si="35"/>
        <v>59364</v>
      </c>
      <c r="V137" s="580">
        <v>0</v>
      </c>
      <c r="W137" s="576">
        <f t="shared" si="36"/>
        <v>0</v>
      </c>
      <c r="X137" s="576">
        <f t="shared" si="37"/>
        <v>59364</v>
      </c>
      <c r="Y137" s="581">
        <f t="shared" si="38"/>
        <v>-5.7175528873642079E-2</v>
      </c>
      <c r="Z137" s="577">
        <f t="shared" si="44"/>
        <v>0.27610573992387905</v>
      </c>
      <c r="AA137" s="577"/>
      <c r="AB137" s="582"/>
      <c r="AC137" s="576">
        <v>1349</v>
      </c>
      <c r="AD137" s="576">
        <f t="shared" si="39"/>
        <v>48564</v>
      </c>
      <c r="AE137" s="581">
        <f>AD137/AD139</f>
        <v>0.67506255212677235</v>
      </c>
      <c r="AF137" s="580">
        <v>0</v>
      </c>
      <c r="AG137" s="576">
        <f t="shared" si="40"/>
        <v>0</v>
      </c>
      <c r="AH137" s="709">
        <f t="shared" si="41"/>
        <v>48564</v>
      </c>
      <c r="AI137" s="709">
        <f t="shared" si="42"/>
        <v>-10800</v>
      </c>
      <c r="AJ137" s="577">
        <f t="shared" si="43"/>
        <v>-0.18192844147968465</v>
      </c>
      <c r="AK137" s="582">
        <f t="shared" si="45"/>
        <v>0.18514151918403671</v>
      </c>
      <c r="AL137" s="582"/>
      <c r="AM137" s="580"/>
      <c r="AN137" s="576"/>
      <c r="AO137" s="580"/>
    </row>
    <row r="138" spans="2:41" s="436" customFormat="1" ht="14" hidden="1">
      <c r="B138" s="800">
        <v>2605</v>
      </c>
      <c r="C138" s="1392" t="s">
        <v>23</v>
      </c>
      <c r="D138" s="1392"/>
      <c r="E138" s="1392"/>
      <c r="F138" s="1392" t="s">
        <v>332</v>
      </c>
      <c r="G138" s="566" t="s">
        <v>526</v>
      </c>
      <c r="H138" s="566"/>
      <c r="I138" s="566"/>
      <c r="J138" s="566">
        <v>5</v>
      </c>
      <c r="K138" s="566" t="s">
        <v>286</v>
      </c>
      <c r="L138" s="566">
        <v>12</v>
      </c>
      <c r="M138" s="576">
        <v>1099</v>
      </c>
      <c r="N138" s="576">
        <f t="shared" si="46"/>
        <v>65940</v>
      </c>
      <c r="O138" s="566">
        <v>12</v>
      </c>
      <c r="P138" s="577">
        <f>IFERROR(_xlfn.XLOOKUP(F138,'[4]By Model'!$A:$A,'[4]By Model'!$K:$K),"")</f>
        <v>0.30469350436070008</v>
      </c>
      <c r="Q138" s="578" t="str">
        <f>IFERROR(_xlfn.XLOOKUP(F138,'[5]By Model'!$A:$A,'[5]By Model'!$B:$B),"")</f>
        <v/>
      </c>
      <c r="R138" s="579">
        <f>IFERROR(_xlfn.XLOOKUP(F138,'[4]By Model'!$A:$A,'[4]By Model'!$I:$I),"")</f>
        <v>607.34898832678573</v>
      </c>
      <c r="S138" s="578" t="str">
        <f>IFERROR(_xlfn.XLOOKUP(F138,[6]Sum!$G:$G,[6]Sum!$AM:$AM),"")</f>
        <v/>
      </c>
      <c r="T138" s="576">
        <v>1099</v>
      </c>
      <c r="U138" s="576">
        <f t="shared" si="35"/>
        <v>65940</v>
      </c>
      <c r="V138" s="580">
        <v>12</v>
      </c>
      <c r="W138" s="576">
        <f t="shared" si="36"/>
        <v>6594</v>
      </c>
      <c r="X138" s="576">
        <f t="shared" si="37"/>
        <v>59346</v>
      </c>
      <c r="Y138" s="581">
        <f t="shared" si="38"/>
        <v>-9.9999999999999978E-2</v>
      </c>
      <c r="Z138" s="577">
        <f t="shared" si="44"/>
        <v>0.2546935043607001</v>
      </c>
      <c r="AA138" s="577"/>
      <c r="AB138" s="582"/>
      <c r="AC138" s="576">
        <v>1099</v>
      </c>
      <c r="AD138" s="576">
        <f t="shared" si="39"/>
        <v>65940</v>
      </c>
      <c r="AE138" s="711"/>
      <c r="AF138" s="583">
        <v>6</v>
      </c>
      <c r="AG138" s="576">
        <f t="shared" si="40"/>
        <v>3297</v>
      </c>
      <c r="AH138" s="709">
        <f t="shared" si="41"/>
        <v>62643</v>
      </c>
      <c r="AI138" s="709">
        <f t="shared" si="42"/>
        <v>3297</v>
      </c>
      <c r="AJ138" s="577">
        <f t="shared" si="43"/>
        <v>5.5555555555555552E-2</v>
      </c>
      <c r="AK138" s="582">
        <f t="shared" si="45"/>
        <v>0.28247128213847789</v>
      </c>
      <c r="AL138" s="582"/>
      <c r="AM138" s="580"/>
      <c r="AN138" s="576"/>
      <c r="AO138" s="580"/>
    </row>
    <row r="139" spans="2:41" s="436" customFormat="1" ht="14" hidden="1">
      <c r="B139" s="801">
        <v>2605</v>
      </c>
      <c r="C139" s="1393" t="s">
        <v>23</v>
      </c>
      <c r="D139" s="1393"/>
      <c r="E139" s="1393"/>
      <c r="F139" s="1393" t="s">
        <v>332</v>
      </c>
      <c r="G139" s="566" t="s">
        <v>526</v>
      </c>
      <c r="H139" s="566"/>
      <c r="I139" s="566"/>
      <c r="J139" s="566">
        <v>5</v>
      </c>
      <c r="K139" s="566" t="s">
        <v>286</v>
      </c>
      <c r="L139" s="566">
        <v>6</v>
      </c>
      <c r="M139" s="576">
        <v>1199</v>
      </c>
      <c r="N139" s="576">
        <f t="shared" si="46"/>
        <v>71940</v>
      </c>
      <c r="O139" s="566">
        <v>6</v>
      </c>
      <c r="P139" s="577">
        <f>IFERROR(_xlfn.XLOOKUP(F139,'[4]By Model'!$A:$A,'[4]By Model'!$K:$K),"")</f>
        <v>0.30469350436070008</v>
      </c>
      <c r="Q139" s="578" t="str">
        <f>IFERROR(_xlfn.XLOOKUP(F139,'[5]By Model'!$A:$A,'[5]By Model'!$B:$B),"")</f>
        <v/>
      </c>
      <c r="R139" s="579">
        <f>IFERROR(_xlfn.XLOOKUP(F139,'[4]By Model'!$A:$A,'[4]By Model'!$I:$I),"")</f>
        <v>607.34898832678573</v>
      </c>
      <c r="S139" s="578" t="str">
        <f>IFERROR(_xlfn.XLOOKUP(F139,[6]Sum!$G:$G,[6]Sum!$AM:$AM),"")</f>
        <v/>
      </c>
      <c r="T139" s="576">
        <v>1199</v>
      </c>
      <c r="U139" s="576">
        <f t="shared" si="35"/>
        <v>71940</v>
      </c>
      <c r="V139" s="580">
        <v>12</v>
      </c>
      <c r="W139" s="576">
        <f t="shared" si="36"/>
        <v>7194</v>
      </c>
      <c r="X139" s="576">
        <f t="shared" si="37"/>
        <v>64746</v>
      </c>
      <c r="Y139" s="581">
        <f t="shared" si="38"/>
        <v>-9.9999999999999978E-2</v>
      </c>
      <c r="Z139" s="577">
        <f t="shared" si="44"/>
        <v>0.2546935043607001</v>
      </c>
      <c r="AA139" s="577"/>
      <c r="AB139" s="582"/>
      <c r="AC139" s="576">
        <v>1199</v>
      </c>
      <c r="AD139" s="576">
        <f t="shared" si="39"/>
        <v>71940</v>
      </c>
      <c r="AE139" s="711"/>
      <c r="AF139" s="583">
        <v>6</v>
      </c>
      <c r="AG139" s="576">
        <f t="shared" si="40"/>
        <v>3597</v>
      </c>
      <c r="AH139" s="709">
        <f t="shared" si="41"/>
        <v>68343</v>
      </c>
      <c r="AI139" s="709">
        <f t="shared" si="42"/>
        <v>3597</v>
      </c>
      <c r="AJ139" s="577">
        <f t="shared" si="43"/>
        <v>5.5555555555555552E-2</v>
      </c>
      <c r="AK139" s="582">
        <f t="shared" si="45"/>
        <v>0.28247128213847789</v>
      </c>
      <c r="AL139" s="582"/>
      <c r="AM139" s="580"/>
      <c r="AN139" s="576"/>
      <c r="AO139" s="580"/>
    </row>
    <row r="140" spans="2:41" s="436" customFormat="1" ht="14" hidden="1">
      <c r="B140" s="799">
        <v>2605</v>
      </c>
      <c r="C140" s="1391" t="s">
        <v>23</v>
      </c>
      <c r="D140" s="1391"/>
      <c r="E140" s="1391"/>
      <c r="F140" s="1391" t="s">
        <v>333</v>
      </c>
      <c r="G140" s="566" t="s">
        <v>527</v>
      </c>
      <c r="H140" s="566"/>
      <c r="I140" s="566" t="s">
        <v>305</v>
      </c>
      <c r="J140" s="566">
        <v>3</v>
      </c>
      <c r="K140" s="566" t="s">
        <v>286</v>
      </c>
      <c r="L140" s="566">
        <v>12</v>
      </c>
      <c r="M140" s="576">
        <v>799</v>
      </c>
      <c r="N140" s="576">
        <f t="shared" si="46"/>
        <v>28764</v>
      </c>
      <c r="O140" s="566">
        <v>12</v>
      </c>
      <c r="P140" s="577">
        <f>IFERROR(_xlfn.XLOOKUP(F140,'[4]By Model'!$A:$A,'[4]By Model'!$K:$K),"")</f>
        <v>0.17701557926736303</v>
      </c>
      <c r="Q140" s="578" t="str">
        <f>IFERROR(_xlfn.XLOOKUP(F140,'[5]By Model'!$A:$A,'[5]By Model'!$B:$B),"")</f>
        <v/>
      </c>
      <c r="R140" s="579">
        <f>IFERROR(_xlfn.XLOOKUP(F140,'[4]By Model'!$A:$A,'[4]By Model'!$I:$I),"")</f>
        <v>299.78073132727275</v>
      </c>
      <c r="S140" s="578" t="str">
        <f>IFERROR(_xlfn.XLOOKUP(F140,[6]Sum!$G:$G,[6]Sum!$AM:$AM),"")</f>
        <v/>
      </c>
      <c r="T140" s="576">
        <v>799</v>
      </c>
      <c r="U140" s="576">
        <f t="shared" si="35"/>
        <v>28764</v>
      </c>
      <c r="V140" s="580">
        <v>0</v>
      </c>
      <c r="W140" s="576">
        <f t="shared" si="36"/>
        <v>0</v>
      </c>
      <c r="X140" s="576">
        <f t="shared" si="37"/>
        <v>28764</v>
      </c>
      <c r="Y140" s="581">
        <f t="shared" si="38"/>
        <v>0</v>
      </c>
      <c r="Z140" s="577">
        <f t="shared" si="44"/>
        <v>0.17701557926736303</v>
      </c>
      <c r="AA140" s="577">
        <v>0.15</v>
      </c>
      <c r="AB140" s="582"/>
      <c r="AC140" s="576">
        <v>699</v>
      </c>
      <c r="AD140" s="576">
        <f t="shared" si="39"/>
        <v>25164</v>
      </c>
      <c r="AE140" s="581">
        <f>AD140/AD142</f>
        <v>1.0511278195488722</v>
      </c>
      <c r="AF140" s="580">
        <v>0</v>
      </c>
      <c r="AG140" s="576">
        <f t="shared" si="40"/>
        <v>0</v>
      </c>
      <c r="AH140" s="709">
        <f t="shared" si="41"/>
        <v>25164</v>
      </c>
      <c r="AI140" s="709">
        <f t="shared" si="42"/>
        <v>-3600</v>
      </c>
      <c r="AJ140" s="577">
        <f t="shared" si="43"/>
        <v>-0.12515644555694619</v>
      </c>
      <c r="AK140" s="582">
        <f t="shared" si="45"/>
        <v>0.11443735648888993</v>
      </c>
      <c r="AL140" s="582"/>
      <c r="AM140" s="580"/>
      <c r="AN140" s="576"/>
      <c r="AO140" s="580"/>
    </row>
    <row r="141" spans="2:41" s="436" customFormat="1" ht="14" hidden="1">
      <c r="B141" s="800">
        <v>2605</v>
      </c>
      <c r="C141" s="1392" t="s">
        <v>23</v>
      </c>
      <c r="D141" s="1392"/>
      <c r="E141" s="1392"/>
      <c r="F141" s="1392" t="s">
        <v>333</v>
      </c>
      <c r="G141" s="566" t="s">
        <v>527</v>
      </c>
      <c r="H141" s="566"/>
      <c r="I141" s="566" t="s">
        <v>305</v>
      </c>
      <c r="J141" s="566">
        <v>3</v>
      </c>
      <c r="K141" s="566" t="s">
        <v>286</v>
      </c>
      <c r="L141" s="566">
        <v>6</v>
      </c>
      <c r="M141" s="576">
        <v>899</v>
      </c>
      <c r="N141" s="576">
        <f t="shared" si="46"/>
        <v>32364</v>
      </c>
      <c r="O141" s="566">
        <v>6</v>
      </c>
      <c r="P141" s="577">
        <f>IFERROR(_xlfn.XLOOKUP(F141,'[4]By Model'!$A:$A,'[4]By Model'!$K:$K),"")</f>
        <v>0.17701557926736303</v>
      </c>
      <c r="Q141" s="578" t="str">
        <f>IFERROR(_xlfn.XLOOKUP(F141,'[5]By Model'!$A:$A,'[5]By Model'!$B:$B),"")</f>
        <v/>
      </c>
      <c r="R141" s="579">
        <f>IFERROR(_xlfn.XLOOKUP(F141,'[4]By Model'!$A:$A,'[4]By Model'!$I:$I),"")</f>
        <v>299.78073132727275</v>
      </c>
      <c r="S141" s="578" t="str">
        <f>IFERROR(_xlfn.XLOOKUP(F141,[6]Sum!$G:$G,[6]Sum!$AM:$AM),"")</f>
        <v/>
      </c>
      <c r="T141" s="576">
        <v>899</v>
      </c>
      <c r="U141" s="576">
        <f t="shared" si="35"/>
        <v>32364</v>
      </c>
      <c r="V141" s="580">
        <v>0</v>
      </c>
      <c r="W141" s="576">
        <f t="shared" si="36"/>
        <v>0</v>
      </c>
      <c r="X141" s="576">
        <f t="shared" si="37"/>
        <v>32364</v>
      </c>
      <c r="Y141" s="581">
        <f t="shared" si="38"/>
        <v>0</v>
      </c>
      <c r="Z141" s="577">
        <f t="shared" si="44"/>
        <v>0.17701557926736303</v>
      </c>
      <c r="AA141" s="577">
        <v>0.15</v>
      </c>
      <c r="AB141" s="582"/>
      <c r="AC141" s="576">
        <v>749</v>
      </c>
      <c r="AD141" s="576">
        <f t="shared" si="39"/>
        <v>26964</v>
      </c>
      <c r="AE141" s="581">
        <f>AD141/AD143</f>
        <v>0.90060120240480956</v>
      </c>
      <c r="AF141" s="580">
        <v>0</v>
      </c>
      <c r="AG141" s="576">
        <f t="shared" si="40"/>
        <v>0</v>
      </c>
      <c r="AH141" s="709">
        <f t="shared" si="41"/>
        <v>26964</v>
      </c>
      <c r="AI141" s="709">
        <f t="shared" si="42"/>
        <v>-5400</v>
      </c>
      <c r="AJ141" s="577">
        <f t="shared" si="43"/>
        <v>-0.16685205784204671</v>
      </c>
      <c r="AK141" s="582">
        <f t="shared" si="45"/>
        <v>9.3589550346339673E-2</v>
      </c>
      <c r="AL141" s="582"/>
      <c r="AM141" s="580"/>
      <c r="AN141" s="576"/>
      <c r="AO141" s="580"/>
    </row>
    <row r="142" spans="2:41" s="436" customFormat="1" ht="14" hidden="1">
      <c r="B142" s="800">
        <v>2605</v>
      </c>
      <c r="C142" s="1392" t="s">
        <v>23</v>
      </c>
      <c r="D142" s="1392"/>
      <c r="E142" s="1392"/>
      <c r="F142" s="1392" t="s">
        <v>333</v>
      </c>
      <c r="G142" s="566" t="s">
        <v>527</v>
      </c>
      <c r="H142" s="566"/>
      <c r="I142" s="566" t="s">
        <v>305</v>
      </c>
      <c r="J142" s="566">
        <v>5</v>
      </c>
      <c r="K142" s="566" t="s">
        <v>286</v>
      </c>
      <c r="L142" s="566">
        <v>12</v>
      </c>
      <c r="M142" s="576">
        <v>399</v>
      </c>
      <c r="N142" s="576">
        <f t="shared" si="46"/>
        <v>23940</v>
      </c>
      <c r="O142" s="566">
        <v>12</v>
      </c>
      <c r="P142" s="577">
        <f>IFERROR(_xlfn.XLOOKUP(F142,'[4]By Model'!$A:$A,'[4]By Model'!$K:$K),"")</f>
        <v>0.17701557926736303</v>
      </c>
      <c r="Q142" s="578" t="str">
        <f>IFERROR(_xlfn.XLOOKUP(F142,'[5]By Model'!$A:$A,'[5]By Model'!$B:$B),"")</f>
        <v/>
      </c>
      <c r="R142" s="579">
        <f>IFERROR(_xlfn.XLOOKUP(F142,'[4]By Model'!$A:$A,'[4]By Model'!$I:$I),"")</f>
        <v>299.78073132727275</v>
      </c>
      <c r="S142" s="578" t="str">
        <f>IFERROR(_xlfn.XLOOKUP(F142,[6]Sum!$G:$G,[6]Sum!$AM:$AM),"")</f>
        <v/>
      </c>
      <c r="T142" s="576">
        <v>399</v>
      </c>
      <c r="U142" s="576">
        <f t="shared" si="35"/>
        <v>23940</v>
      </c>
      <c r="V142" s="580">
        <v>0</v>
      </c>
      <c r="W142" s="576">
        <f t="shared" si="36"/>
        <v>0</v>
      </c>
      <c r="X142" s="576">
        <f t="shared" si="37"/>
        <v>23940</v>
      </c>
      <c r="Y142" s="581">
        <f t="shared" si="38"/>
        <v>0</v>
      </c>
      <c r="Z142" s="577">
        <f t="shared" si="44"/>
        <v>0.17701557926736303</v>
      </c>
      <c r="AA142" s="577">
        <v>0.15</v>
      </c>
      <c r="AB142" s="582"/>
      <c r="AC142" s="576">
        <v>399</v>
      </c>
      <c r="AD142" s="576">
        <f t="shared" si="39"/>
        <v>23940</v>
      </c>
      <c r="AE142" s="711"/>
      <c r="AF142" s="583">
        <v>0</v>
      </c>
      <c r="AG142" s="576">
        <f t="shared" si="40"/>
        <v>0</v>
      </c>
      <c r="AH142" s="709">
        <f t="shared" si="41"/>
        <v>23940</v>
      </c>
      <c r="AI142" s="709">
        <f t="shared" si="42"/>
        <v>0</v>
      </c>
      <c r="AJ142" s="577">
        <f t="shared" si="43"/>
        <v>0</v>
      </c>
      <c r="AK142" s="582">
        <f t="shared" si="45"/>
        <v>0.17701557926736303</v>
      </c>
      <c r="AL142" s="582"/>
      <c r="AM142" s="580"/>
      <c r="AN142" s="576"/>
      <c r="AO142" s="580"/>
    </row>
    <row r="143" spans="2:41" s="436" customFormat="1" ht="14" hidden="1">
      <c r="B143" s="801">
        <v>2605</v>
      </c>
      <c r="C143" s="1393" t="s">
        <v>23</v>
      </c>
      <c r="D143" s="1393"/>
      <c r="E143" s="1393"/>
      <c r="F143" s="1393" t="s">
        <v>333</v>
      </c>
      <c r="G143" s="566" t="s">
        <v>527</v>
      </c>
      <c r="H143" s="566"/>
      <c r="I143" s="566" t="s">
        <v>305</v>
      </c>
      <c r="J143" s="566">
        <v>5</v>
      </c>
      <c r="K143" s="566" t="s">
        <v>286</v>
      </c>
      <c r="L143" s="566">
        <v>6</v>
      </c>
      <c r="M143" s="576">
        <v>499</v>
      </c>
      <c r="N143" s="576">
        <f t="shared" si="46"/>
        <v>29940</v>
      </c>
      <c r="O143" s="566">
        <v>6</v>
      </c>
      <c r="P143" s="577">
        <f>IFERROR(_xlfn.XLOOKUP(F143,'[4]By Model'!$A:$A,'[4]By Model'!$K:$K),"")</f>
        <v>0.17701557926736303</v>
      </c>
      <c r="Q143" s="578" t="str">
        <f>IFERROR(_xlfn.XLOOKUP(F143,'[5]By Model'!$A:$A,'[5]By Model'!$B:$B),"")</f>
        <v/>
      </c>
      <c r="R143" s="579">
        <f>IFERROR(_xlfn.XLOOKUP(F143,'[4]By Model'!$A:$A,'[4]By Model'!$I:$I),"")</f>
        <v>299.78073132727275</v>
      </c>
      <c r="S143" s="578" t="str">
        <f>IFERROR(_xlfn.XLOOKUP(F143,[6]Sum!$G:$G,[6]Sum!$AM:$AM),"")</f>
        <v/>
      </c>
      <c r="T143" s="576">
        <v>499</v>
      </c>
      <c r="U143" s="576">
        <f t="shared" si="35"/>
        <v>29940</v>
      </c>
      <c r="V143" s="580">
        <v>0</v>
      </c>
      <c r="W143" s="576">
        <f t="shared" si="36"/>
        <v>0</v>
      </c>
      <c r="X143" s="576">
        <f t="shared" si="37"/>
        <v>29940</v>
      </c>
      <c r="Y143" s="581">
        <f t="shared" si="38"/>
        <v>0</v>
      </c>
      <c r="Z143" s="577">
        <f t="shared" si="44"/>
        <v>0.17701557926736303</v>
      </c>
      <c r="AA143" s="577">
        <v>0.15</v>
      </c>
      <c r="AB143" s="582"/>
      <c r="AC143" s="576">
        <v>499</v>
      </c>
      <c r="AD143" s="576">
        <f t="shared" si="39"/>
        <v>29940</v>
      </c>
      <c r="AE143" s="711"/>
      <c r="AF143" s="583">
        <v>0</v>
      </c>
      <c r="AG143" s="576">
        <f t="shared" si="40"/>
        <v>0</v>
      </c>
      <c r="AH143" s="709">
        <f t="shared" si="41"/>
        <v>29940</v>
      </c>
      <c r="AI143" s="709">
        <f t="shared" si="42"/>
        <v>0</v>
      </c>
      <c r="AJ143" s="577">
        <f t="shared" si="43"/>
        <v>0</v>
      </c>
      <c r="AK143" s="582">
        <f t="shared" si="45"/>
        <v>0.17701557926736303</v>
      </c>
      <c r="AL143" s="582"/>
      <c r="AM143" s="580"/>
      <c r="AN143" s="576"/>
      <c r="AO143" s="580"/>
    </row>
    <row r="144" spans="2:41" s="436" customFormat="1" ht="14" hidden="1">
      <c r="B144" s="799">
        <v>2605</v>
      </c>
      <c r="C144" s="1391" t="s">
        <v>23</v>
      </c>
      <c r="D144" s="1391"/>
      <c r="E144" s="1391"/>
      <c r="F144" s="1391" t="s">
        <v>334</v>
      </c>
      <c r="G144" s="566" t="s">
        <v>528</v>
      </c>
      <c r="H144" s="566"/>
      <c r="I144" s="566" t="s">
        <v>305</v>
      </c>
      <c r="J144" s="566">
        <v>3</v>
      </c>
      <c r="K144" s="566" t="s">
        <v>286</v>
      </c>
      <c r="L144" s="566">
        <v>12</v>
      </c>
      <c r="M144" s="576">
        <v>749</v>
      </c>
      <c r="N144" s="576">
        <f t="shared" si="46"/>
        <v>26964</v>
      </c>
      <c r="O144" s="566">
        <v>12</v>
      </c>
      <c r="P144" s="577">
        <f>IFERROR(_xlfn.XLOOKUP(F144,'[4]By Model'!$A:$A,'[4]By Model'!$K:$K),"")</f>
        <v>0.22480633325395438</v>
      </c>
      <c r="Q144" s="578" t="str">
        <f>IFERROR(_xlfn.XLOOKUP(F144,'[5]By Model'!$A:$A,'[5]By Model'!$B:$B),"")</f>
        <v/>
      </c>
      <c r="R144" s="579">
        <f>IFERROR(_xlfn.XLOOKUP(F144,'[4]By Model'!$A:$A,'[4]By Model'!$I:$I),"")</f>
        <v>337.49180680161288</v>
      </c>
      <c r="S144" s="578" t="str">
        <f>IFERROR(_xlfn.XLOOKUP(F144,[6]Sum!$G:$G,[6]Sum!$AM:$AM),"")</f>
        <v/>
      </c>
      <c r="T144" s="576">
        <v>699</v>
      </c>
      <c r="U144" s="576">
        <f t="shared" si="35"/>
        <v>25164</v>
      </c>
      <c r="V144" s="580">
        <v>0</v>
      </c>
      <c r="W144" s="576">
        <f t="shared" si="36"/>
        <v>0</v>
      </c>
      <c r="X144" s="576">
        <f t="shared" si="37"/>
        <v>25164</v>
      </c>
      <c r="Y144" s="581">
        <f t="shared" si="38"/>
        <v>-6.675567423230977E-2</v>
      </c>
      <c r="Z144" s="577">
        <f t="shared" si="44"/>
        <v>0.1914284961377995</v>
      </c>
      <c r="AA144" s="577">
        <v>0.15</v>
      </c>
      <c r="AB144" s="582"/>
      <c r="AC144" s="576">
        <v>749</v>
      </c>
      <c r="AD144" s="576">
        <f t="shared" si="39"/>
        <v>26964</v>
      </c>
      <c r="AE144" s="581">
        <f>AD144/AD146</f>
        <v>1.000890868596882</v>
      </c>
      <c r="AF144" s="580">
        <v>0</v>
      </c>
      <c r="AG144" s="576">
        <f t="shared" si="40"/>
        <v>0</v>
      </c>
      <c r="AH144" s="709">
        <f t="shared" si="41"/>
        <v>26964</v>
      </c>
      <c r="AI144" s="709">
        <f t="shared" si="42"/>
        <v>1800</v>
      </c>
      <c r="AJ144" s="577">
        <f t="shared" si="43"/>
        <v>7.1530758226037203E-2</v>
      </c>
      <c r="AK144" s="582">
        <f t="shared" si="45"/>
        <v>0.22719387525081811</v>
      </c>
      <c r="AL144" s="582"/>
      <c r="AM144" s="580"/>
      <c r="AN144" s="576"/>
      <c r="AO144" s="580"/>
    </row>
    <row r="145" spans="2:41" s="436" customFormat="1" ht="14" hidden="1">
      <c r="B145" s="800">
        <v>2605</v>
      </c>
      <c r="C145" s="1392" t="s">
        <v>23</v>
      </c>
      <c r="D145" s="1392"/>
      <c r="E145" s="1392"/>
      <c r="F145" s="1392" t="s">
        <v>334</v>
      </c>
      <c r="G145" s="566" t="s">
        <v>528</v>
      </c>
      <c r="H145" s="566"/>
      <c r="I145" s="566" t="s">
        <v>305</v>
      </c>
      <c r="J145" s="566">
        <v>3</v>
      </c>
      <c r="K145" s="566" t="s">
        <v>286</v>
      </c>
      <c r="L145" s="566">
        <v>6</v>
      </c>
      <c r="M145" s="576">
        <v>899</v>
      </c>
      <c r="N145" s="576">
        <f t="shared" si="46"/>
        <v>32364</v>
      </c>
      <c r="O145" s="566">
        <v>6</v>
      </c>
      <c r="P145" s="577">
        <f>IFERROR(_xlfn.XLOOKUP(F145,'[4]By Model'!$A:$A,'[4]By Model'!$K:$K),"")</f>
        <v>0.22480633325395438</v>
      </c>
      <c r="Q145" s="578" t="str">
        <f>IFERROR(_xlfn.XLOOKUP(F145,'[5]By Model'!$A:$A,'[5]By Model'!$B:$B),"")</f>
        <v/>
      </c>
      <c r="R145" s="579">
        <f>IFERROR(_xlfn.XLOOKUP(F145,'[4]By Model'!$A:$A,'[4]By Model'!$I:$I),"")</f>
        <v>337.49180680161288</v>
      </c>
      <c r="S145" s="578" t="str">
        <f>IFERROR(_xlfn.XLOOKUP(F145,[6]Sum!$G:$G,[6]Sum!$AM:$AM),"")</f>
        <v/>
      </c>
      <c r="T145" s="576">
        <v>849</v>
      </c>
      <c r="U145" s="576">
        <f t="shared" si="35"/>
        <v>30564</v>
      </c>
      <c r="V145" s="580">
        <v>0</v>
      </c>
      <c r="W145" s="576">
        <f t="shared" si="36"/>
        <v>0</v>
      </c>
      <c r="X145" s="576">
        <f t="shared" si="37"/>
        <v>30564</v>
      </c>
      <c r="Y145" s="581">
        <f t="shared" si="38"/>
        <v>-5.5617352614015569E-2</v>
      </c>
      <c r="Z145" s="577">
        <f t="shared" si="44"/>
        <v>0.1969976569469466</v>
      </c>
      <c r="AA145" s="577">
        <v>0.15</v>
      </c>
      <c r="AB145" s="582"/>
      <c r="AC145" s="576">
        <v>849</v>
      </c>
      <c r="AD145" s="576">
        <f t="shared" si="39"/>
        <v>30564</v>
      </c>
      <c r="AE145" s="581">
        <f>AD145/AD147</f>
        <v>0.9278688524590164</v>
      </c>
      <c r="AF145" s="580">
        <v>0</v>
      </c>
      <c r="AG145" s="576">
        <f t="shared" si="40"/>
        <v>0</v>
      </c>
      <c r="AH145" s="709">
        <f t="shared" si="41"/>
        <v>30564</v>
      </c>
      <c r="AI145" s="709">
        <f t="shared" si="42"/>
        <v>0</v>
      </c>
      <c r="AJ145" s="577">
        <f t="shared" si="43"/>
        <v>0</v>
      </c>
      <c r="AK145" s="582">
        <f t="shared" si="45"/>
        <v>0.1969976569469466</v>
      </c>
      <c r="AL145" s="582"/>
      <c r="AM145" s="580"/>
      <c r="AN145" s="576"/>
      <c r="AO145" s="580"/>
    </row>
    <row r="146" spans="2:41" s="436" customFormat="1" ht="14" hidden="1">
      <c r="B146" s="800">
        <v>2605</v>
      </c>
      <c r="C146" s="1392" t="s">
        <v>23</v>
      </c>
      <c r="D146" s="1392"/>
      <c r="E146" s="1392"/>
      <c r="F146" s="1392" t="s">
        <v>334</v>
      </c>
      <c r="G146" s="566" t="s">
        <v>528</v>
      </c>
      <c r="H146" s="566"/>
      <c r="I146" s="566" t="s">
        <v>305</v>
      </c>
      <c r="J146" s="566">
        <v>5</v>
      </c>
      <c r="K146" s="566" t="s">
        <v>286</v>
      </c>
      <c r="L146" s="566">
        <v>12</v>
      </c>
      <c r="M146" s="576">
        <v>449</v>
      </c>
      <c r="N146" s="576">
        <f t="shared" si="46"/>
        <v>26940</v>
      </c>
      <c r="O146" s="566">
        <v>12</v>
      </c>
      <c r="P146" s="577">
        <f>IFERROR(_xlfn.XLOOKUP(F146,'[4]By Model'!$A:$A,'[4]By Model'!$K:$K),"")</f>
        <v>0.22480633325395438</v>
      </c>
      <c r="Q146" s="578" t="str">
        <f>IFERROR(_xlfn.XLOOKUP(F146,'[5]By Model'!$A:$A,'[5]By Model'!$B:$B),"")</f>
        <v/>
      </c>
      <c r="R146" s="579">
        <f>IFERROR(_xlfn.XLOOKUP(F146,'[4]By Model'!$A:$A,'[4]By Model'!$I:$I),"")</f>
        <v>337.49180680161288</v>
      </c>
      <c r="S146" s="578" t="str">
        <f>IFERROR(_xlfn.XLOOKUP(F146,[6]Sum!$G:$G,[6]Sum!$AM:$AM),"")</f>
        <v/>
      </c>
      <c r="T146" s="576">
        <v>449</v>
      </c>
      <c r="U146" s="576">
        <f t="shared" si="35"/>
        <v>26940</v>
      </c>
      <c r="V146" s="580">
        <v>0</v>
      </c>
      <c r="W146" s="576">
        <f t="shared" si="36"/>
        <v>0</v>
      </c>
      <c r="X146" s="576">
        <f t="shared" si="37"/>
        <v>26940</v>
      </c>
      <c r="Y146" s="581">
        <f t="shared" si="38"/>
        <v>0</v>
      </c>
      <c r="Z146" s="577">
        <f t="shared" si="44"/>
        <v>0.22480633325395438</v>
      </c>
      <c r="AA146" s="577">
        <v>0.15</v>
      </c>
      <c r="AB146" s="582"/>
      <c r="AC146" s="576">
        <v>449</v>
      </c>
      <c r="AD146" s="576">
        <f t="shared" si="39"/>
        <v>26940</v>
      </c>
      <c r="AE146" s="711"/>
      <c r="AF146" s="583">
        <v>0</v>
      </c>
      <c r="AG146" s="576">
        <f t="shared" si="40"/>
        <v>0</v>
      </c>
      <c r="AH146" s="709">
        <f t="shared" si="41"/>
        <v>26940</v>
      </c>
      <c r="AI146" s="709">
        <f t="shared" si="42"/>
        <v>0</v>
      </c>
      <c r="AJ146" s="577">
        <f t="shared" si="43"/>
        <v>0</v>
      </c>
      <c r="AK146" s="582">
        <f t="shared" si="45"/>
        <v>0.22480633325395438</v>
      </c>
      <c r="AL146" s="582"/>
      <c r="AM146" s="580"/>
      <c r="AN146" s="576"/>
      <c r="AO146" s="580"/>
    </row>
    <row r="147" spans="2:41" s="436" customFormat="1" ht="14" hidden="1">
      <c r="B147" s="801">
        <v>2605</v>
      </c>
      <c r="C147" s="1393" t="s">
        <v>23</v>
      </c>
      <c r="D147" s="1393"/>
      <c r="E147" s="1393"/>
      <c r="F147" s="1393" t="s">
        <v>334</v>
      </c>
      <c r="G147" s="566" t="s">
        <v>528</v>
      </c>
      <c r="H147" s="566"/>
      <c r="I147" s="566" t="s">
        <v>305</v>
      </c>
      <c r="J147" s="566">
        <v>5</v>
      </c>
      <c r="K147" s="566" t="s">
        <v>286</v>
      </c>
      <c r="L147" s="566">
        <v>6</v>
      </c>
      <c r="M147" s="576">
        <v>549</v>
      </c>
      <c r="N147" s="576">
        <f t="shared" si="46"/>
        <v>32940</v>
      </c>
      <c r="O147" s="566">
        <v>6</v>
      </c>
      <c r="P147" s="577">
        <f>IFERROR(_xlfn.XLOOKUP(F147,'[4]By Model'!$A:$A,'[4]By Model'!$K:$K),"")</f>
        <v>0.22480633325395438</v>
      </c>
      <c r="Q147" s="578" t="str">
        <f>IFERROR(_xlfn.XLOOKUP(F147,'[5]By Model'!$A:$A,'[5]By Model'!$B:$B),"")</f>
        <v/>
      </c>
      <c r="R147" s="579">
        <f>IFERROR(_xlfn.XLOOKUP(F147,'[4]By Model'!$A:$A,'[4]By Model'!$I:$I),"")</f>
        <v>337.49180680161288</v>
      </c>
      <c r="S147" s="578" t="str">
        <f>IFERROR(_xlfn.XLOOKUP(F147,[6]Sum!$G:$G,[6]Sum!$AM:$AM),"")</f>
        <v/>
      </c>
      <c r="T147" s="576">
        <v>549</v>
      </c>
      <c r="U147" s="576">
        <f t="shared" si="35"/>
        <v>32940</v>
      </c>
      <c r="V147" s="580">
        <v>0</v>
      </c>
      <c r="W147" s="576">
        <f t="shared" si="36"/>
        <v>0</v>
      </c>
      <c r="X147" s="576">
        <f t="shared" si="37"/>
        <v>32940</v>
      </c>
      <c r="Y147" s="581">
        <f t="shared" si="38"/>
        <v>0</v>
      </c>
      <c r="Z147" s="577">
        <f t="shared" si="44"/>
        <v>0.22480633325395438</v>
      </c>
      <c r="AA147" s="577">
        <v>0.15</v>
      </c>
      <c r="AB147" s="582"/>
      <c r="AC147" s="576">
        <v>549</v>
      </c>
      <c r="AD147" s="576">
        <f t="shared" si="39"/>
        <v>32940</v>
      </c>
      <c r="AE147" s="711"/>
      <c r="AF147" s="583">
        <v>0</v>
      </c>
      <c r="AG147" s="576">
        <f t="shared" si="40"/>
        <v>0</v>
      </c>
      <c r="AH147" s="709">
        <f t="shared" si="41"/>
        <v>32940</v>
      </c>
      <c r="AI147" s="709">
        <f t="shared" si="42"/>
        <v>0</v>
      </c>
      <c r="AJ147" s="577">
        <f t="shared" si="43"/>
        <v>0</v>
      </c>
      <c r="AK147" s="582">
        <f t="shared" si="45"/>
        <v>0.22480633325395438</v>
      </c>
      <c r="AL147" s="582"/>
      <c r="AM147" s="580"/>
      <c r="AN147" s="576"/>
      <c r="AO147" s="580"/>
    </row>
    <row r="148" spans="2:41" s="436" customFormat="1" ht="14" hidden="1">
      <c r="B148" s="799">
        <v>2605</v>
      </c>
      <c r="C148" s="1391" t="s">
        <v>23</v>
      </c>
      <c r="D148" s="1391"/>
      <c r="E148" s="1391"/>
      <c r="F148" s="1391" t="s">
        <v>335</v>
      </c>
      <c r="G148" s="566" t="s">
        <v>529</v>
      </c>
      <c r="H148" s="566"/>
      <c r="I148" s="566" t="s">
        <v>305</v>
      </c>
      <c r="J148" s="566">
        <v>3</v>
      </c>
      <c r="K148" s="566" t="s">
        <v>286</v>
      </c>
      <c r="L148" s="566">
        <v>12</v>
      </c>
      <c r="M148" s="576">
        <v>899</v>
      </c>
      <c r="N148" s="576">
        <f t="shared" si="46"/>
        <v>32364</v>
      </c>
      <c r="O148" s="566">
        <v>12</v>
      </c>
      <c r="P148" s="577">
        <f>IFERROR(_xlfn.XLOOKUP(F148,'[4]By Model'!$A:$A,'[4]By Model'!$K:$K),"")</f>
        <v>0.22771712236849104</v>
      </c>
      <c r="Q148" s="578" t="str">
        <f>IFERROR(_xlfn.XLOOKUP(F148,'[5]By Model'!$A:$A,'[5]By Model'!$B:$B),"")</f>
        <v/>
      </c>
      <c r="R148" s="579">
        <f>IFERROR(_xlfn.XLOOKUP(F148,'[4]By Model'!$A:$A,'[4]By Model'!$I:$I),"")</f>
        <v>423.1786108763888</v>
      </c>
      <c r="S148" s="578" t="str">
        <f>IFERROR(_xlfn.XLOOKUP(F148,[6]Sum!$G:$G,[6]Sum!$AM:$AM),"")</f>
        <v/>
      </c>
      <c r="T148" s="576">
        <v>899</v>
      </c>
      <c r="U148" s="576">
        <f t="shared" si="35"/>
        <v>32364</v>
      </c>
      <c r="V148" s="580">
        <v>0</v>
      </c>
      <c r="W148" s="576">
        <f t="shared" si="36"/>
        <v>0</v>
      </c>
      <c r="X148" s="576">
        <f t="shared" si="37"/>
        <v>32364</v>
      </c>
      <c r="Y148" s="581">
        <f t="shared" si="38"/>
        <v>0</v>
      </c>
      <c r="Z148" s="577">
        <f t="shared" si="44"/>
        <v>0.22771712236849104</v>
      </c>
      <c r="AA148" s="577">
        <v>0.15</v>
      </c>
      <c r="AB148" s="582"/>
      <c r="AC148" s="576">
        <v>849</v>
      </c>
      <c r="AD148" s="576">
        <f t="shared" si="39"/>
        <v>30564</v>
      </c>
      <c r="AE148" s="581">
        <f>AD148/AD150</f>
        <v>0.78489984591679507</v>
      </c>
      <c r="AF148" s="580">
        <v>0</v>
      </c>
      <c r="AG148" s="576">
        <f t="shared" si="40"/>
        <v>0</v>
      </c>
      <c r="AH148" s="709">
        <f t="shared" si="41"/>
        <v>30564</v>
      </c>
      <c r="AI148" s="709">
        <f t="shared" si="42"/>
        <v>-1800</v>
      </c>
      <c r="AJ148" s="577">
        <f t="shared" si="43"/>
        <v>-5.5617352614015569E-2</v>
      </c>
      <c r="AK148" s="582">
        <f t="shared" si="45"/>
        <v>0.19990844606148325</v>
      </c>
      <c r="AL148" s="582"/>
      <c r="AM148" s="580"/>
      <c r="AN148" s="576"/>
      <c r="AO148" s="580"/>
    </row>
    <row r="149" spans="2:41" s="436" customFormat="1" ht="14" hidden="1">
      <c r="B149" s="800">
        <v>2605</v>
      </c>
      <c r="C149" s="1392" t="s">
        <v>23</v>
      </c>
      <c r="D149" s="1392"/>
      <c r="E149" s="1392"/>
      <c r="F149" s="1392" t="s">
        <v>335</v>
      </c>
      <c r="G149" s="566" t="s">
        <v>529</v>
      </c>
      <c r="H149" s="566"/>
      <c r="I149" s="566" t="s">
        <v>305</v>
      </c>
      <c r="J149" s="566">
        <v>3</v>
      </c>
      <c r="K149" s="566" t="s">
        <v>286</v>
      </c>
      <c r="L149" s="566">
        <v>6</v>
      </c>
      <c r="M149" s="576">
        <v>1049</v>
      </c>
      <c r="N149" s="576">
        <f t="shared" si="46"/>
        <v>37764</v>
      </c>
      <c r="O149" s="566">
        <v>6</v>
      </c>
      <c r="P149" s="577">
        <f>IFERROR(_xlfn.XLOOKUP(F149,'[4]By Model'!$A:$A,'[4]By Model'!$K:$K),"")</f>
        <v>0.22771712236849104</v>
      </c>
      <c r="Q149" s="578" t="str">
        <f>IFERROR(_xlfn.XLOOKUP(F149,'[5]By Model'!$A:$A,'[5]By Model'!$B:$B),"")</f>
        <v/>
      </c>
      <c r="R149" s="579">
        <f>IFERROR(_xlfn.XLOOKUP(F149,'[4]By Model'!$A:$A,'[4]By Model'!$I:$I),"")</f>
        <v>423.1786108763888</v>
      </c>
      <c r="S149" s="578" t="str">
        <f>IFERROR(_xlfn.XLOOKUP(F149,[6]Sum!$G:$G,[6]Sum!$AM:$AM),"")</f>
        <v/>
      </c>
      <c r="T149" s="576">
        <v>999</v>
      </c>
      <c r="U149" s="576">
        <f t="shared" si="35"/>
        <v>35964</v>
      </c>
      <c r="V149" s="580">
        <v>0</v>
      </c>
      <c r="W149" s="576">
        <f t="shared" si="36"/>
        <v>0</v>
      </c>
      <c r="X149" s="576">
        <f t="shared" si="37"/>
        <v>35964</v>
      </c>
      <c r="Y149" s="581">
        <f t="shared" si="38"/>
        <v>-4.7664442326024736E-2</v>
      </c>
      <c r="Z149" s="577">
        <f t="shared" si="44"/>
        <v>0.20388490120547867</v>
      </c>
      <c r="AA149" s="577">
        <v>0.15</v>
      </c>
      <c r="AB149" s="582"/>
      <c r="AC149" s="576">
        <v>949</v>
      </c>
      <c r="AD149" s="576">
        <f t="shared" si="39"/>
        <v>34164</v>
      </c>
      <c r="AE149" s="581">
        <f>AD149/AD151</f>
        <v>0.7602136181575434</v>
      </c>
      <c r="AF149" s="580">
        <v>0</v>
      </c>
      <c r="AG149" s="576">
        <f t="shared" si="40"/>
        <v>0</v>
      </c>
      <c r="AH149" s="709">
        <f t="shared" si="41"/>
        <v>34164</v>
      </c>
      <c r="AI149" s="709">
        <f t="shared" si="42"/>
        <v>-1800</v>
      </c>
      <c r="AJ149" s="577">
        <f t="shared" si="43"/>
        <v>-5.0050050050050053E-2</v>
      </c>
      <c r="AK149" s="582">
        <f t="shared" si="45"/>
        <v>0.17885987618045365</v>
      </c>
      <c r="AL149" s="582"/>
      <c r="AM149" s="580"/>
      <c r="AN149" s="576"/>
      <c r="AO149" s="580"/>
    </row>
    <row r="150" spans="2:41" s="436" customFormat="1" ht="14" hidden="1">
      <c r="B150" s="800">
        <v>2605</v>
      </c>
      <c r="C150" s="1392" t="s">
        <v>23</v>
      </c>
      <c r="D150" s="1392"/>
      <c r="E150" s="1392"/>
      <c r="F150" s="1392" t="s">
        <v>335</v>
      </c>
      <c r="G150" s="566" t="s">
        <v>529</v>
      </c>
      <c r="H150" s="566"/>
      <c r="I150" s="566" t="s">
        <v>305</v>
      </c>
      <c r="J150" s="566">
        <v>5</v>
      </c>
      <c r="K150" s="566" t="s">
        <v>286</v>
      </c>
      <c r="L150" s="566">
        <v>12</v>
      </c>
      <c r="M150" s="576">
        <v>649</v>
      </c>
      <c r="N150" s="576">
        <f t="shared" si="46"/>
        <v>38940</v>
      </c>
      <c r="O150" s="566">
        <v>12</v>
      </c>
      <c r="P150" s="577">
        <f>IFERROR(_xlfn.XLOOKUP(F150,'[4]By Model'!$A:$A,'[4]By Model'!$K:$K),"")</f>
        <v>0.22771712236849104</v>
      </c>
      <c r="Q150" s="578" t="str">
        <f>IFERROR(_xlfn.XLOOKUP(F150,'[5]By Model'!$A:$A,'[5]By Model'!$B:$B),"")</f>
        <v/>
      </c>
      <c r="R150" s="579">
        <f>IFERROR(_xlfn.XLOOKUP(F150,'[4]By Model'!$A:$A,'[4]By Model'!$I:$I),"")</f>
        <v>423.1786108763888</v>
      </c>
      <c r="S150" s="578" t="str">
        <f>IFERROR(_xlfn.XLOOKUP(F150,[6]Sum!$G:$G,[6]Sum!$AM:$AM),"")</f>
        <v/>
      </c>
      <c r="T150" s="576">
        <v>649</v>
      </c>
      <c r="U150" s="576">
        <f t="shared" si="35"/>
        <v>38940</v>
      </c>
      <c r="V150" s="580">
        <v>0</v>
      </c>
      <c r="W150" s="576">
        <f t="shared" si="36"/>
        <v>0</v>
      </c>
      <c r="X150" s="576">
        <f t="shared" si="37"/>
        <v>38940</v>
      </c>
      <c r="Y150" s="581">
        <f t="shared" si="38"/>
        <v>0</v>
      </c>
      <c r="Z150" s="577">
        <f t="shared" si="44"/>
        <v>0.22771712236849104</v>
      </c>
      <c r="AA150" s="577">
        <v>0.15</v>
      </c>
      <c r="AB150" s="582"/>
      <c r="AC150" s="576">
        <v>649</v>
      </c>
      <c r="AD150" s="576">
        <f t="shared" si="39"/>
        <v>38940</v>
      </c>
      <c r="AE150" s="711"/>
      <c r="AF150" s="583">
        <v>0</v>
      </c>
      <c r="AG150" s="576">
        <f t="shared" si="40"/>
        <v>0</v>
      </c>
      <c r="AH150" s="709">
        <f t="shared" si="41"/>
        <v>38940</v>
      </c>
      <c r="AI150" s="709">
        <f t="shared" si="42"/>
        <v>0</v>
      </c>
      <c r="AJ150" s="577">
        <f t="shared" si="43"/>
        <v>0</v>
      </c>
      <c r="AK150" s="582">
        <f t="shared" si="45"/>
        <v>0.22771712236849104</v>
      </c>
      <c r="AL150" s="582"/>
      <c r="AM150" s="580"/>
      <c r="AN150" s="576"/>
      <c r="AO150" s="580"/>
    </row>
    <row r="151" spans="2:41" s="436" customFormat="1" ht="14" hidden="1">
      <c r="B151" s="801">
        <v>2605</v>
      </c>
      <c r="C151" s="1393" t="s">
        <v>23</v>
      </c>
      <c r="D151" s="1393"/>
      <c r="E151" s="1393"/>
      <c r="F151" s="1393" t="s">
        <v>335</v>
      </c>
      <c r="G151" s="566" t="s">
        <v>529</v>
      </c>
      <c r="H151" s="566"/>
      <c r="I151" s="566" t="s">
        <v>305</v>
      </c>
      <c r="J151" s="566">
        <v>5</v>
      </c>
      <c r="K151" s="566" t="s">
        <v>286</v>
      </c>
      <c r="L151" s="566">
        <v>6</v>
      </c>
      <c r="M151" s="576">
        <v>749</v>
      </c>
      <c r="N151" s="576">
        <f t="shared" si="46"/>
        <v>44940</v>
      </c>
      <c r="O151" s="566">
        <v>6</v>
      </c>
      <c r="P151" s="577">
        <f>IFERROR(_xlfn.XLOOKUP(F151,'[4]By Model'!$A:$A,'[4]By Model'!$K:$K),"")</f>
        <v>0.22771712236849104</v>
      </c>
      <c r="Q151" s="578" t="str">
        <f>IFERROR(_xlfn.XLOOKUP(F151,'[5]By Model'!$A:$A,'[5]By Model'!$B:$B),"")</f>
        <v/>
      </c>
      <c r="R151" s="579">
        <f>IFERROR(_xlfn.XLOOKUP(F151,'[4]By Model'!$A:$A,'[4]By Model'!$I:$I),"")</f>
        <v>423.1786108763888</v>
      </c>
      <c r="S151" s="578" t="str">
        <f>IFERROR(_xlfn.XLOOKUP(F151,[6]Sum!$G:$G,[6]Sum!$AM:$AM),"")</f>
        <v/>
      </c>
      <c r="T151" s="576">
        <v>749</v>
      </c>
      <c r="U151" s="576">
        <f t="shared" si="35"/>
        <v>44940</v>
      </c>
      <c r="V151" s="580">
        <v>0</v>
      </c>
      <c r="W151" s="576">
        <f t="shared" si="36"/>
        <v>0</v>
      </c>
      <c r="X151" s="576">
        <f t="shared" si="37"/>
        <v>44940</v>
      </c>
      <c r="Y151" s="581">
        <f t="shared" si="38"/>
        <v>0</v>
      </c>
      <c r="Z151" s="577">
        <f t="shared" si="44"/>
        <v>0.22771712236849104</v>
      </c>
      <c r="AA151" s="577">
        <v>0.15</v>
      </c>
      <c r="AB151" s="582"/>
      <c r="AC151" s="576">
        <v>749</v>
      </c>
      <c r="AD151" s="576">
        <f t="shared" si="39"/>
        <v>44940</v>
      </c>
      <c r="AE151" s="711"/>
      <c r="AF151" s="583">
        <v>0</v>
      </c>
      <c r="AG151" s="576">
        <f t="shared" si="40"/>
        <v>0</v>
      </c>
      <c r="AH151" s="709">
        <f t="shared" si="41"/>
        <v>44940</v>
      </c>
      <c r="AI151" s="709">
        <f t="shared" si="42"/>
        <v>0</v>
      </c>
      <c r="AJ151" s="577">
        <f t="shared" si="43"/>
        <v>0</v>
      </c>
      <c r="AK151" s="582">
        <f t="shared" si="45"/>
        <v>0.22771712236849104</v>
      </c>
      <c r="AL151" s="582"/>
      <c r="AM151" s="580"/>
      <c r="AN151" s="576"/>
      <c r="AO151" s="580"/>
    </row>
    <row r="152" spans="2:41" s="436" customFormat="1" ht="14" hidden="1">
      <c r="B152" s="799">
        <v>2605</v>
      </c>
      <c r="C152" s="1391" t="s">
        <v>23</v>
      </c>
      <c r="D152" s="1391"/>
      <c r="E152" s="1391"/>
      <c r="F152" s="1391" t="s">
        <v>336</v>
      </c>
      <c r="G152" s="566" t="s">
        <v>530</v>
      </c>
      <c r="H152" s="566"/>
      <c r="I152" s="566" t="s">
        <v>305</v>
      </c>
      <c r="J152" s="566">
        <v>3</v>
      </c>
      <c r="K152" s="566" t="s">
        <v>286</v>
      </c>
      <c r="L152" s="566">
        <v>12</v>
      </c>
      <c r="M152" s="576">
        <v>1249</v>
      </c>
      <c r="N152" s="576">
        <f t="shared" si="46"/>
        <v>44964</v>
      </c>
      <c r="O152" s="566">
        <v>12</v>
      </c>
      <c r="P152" s="577">
        <f>IFERROR(_xlfn.XLOOKUP(F152,'[4]By Model'!$A:$A,'[4]By Model'!$K:$K),"")</f>
        <v>0.28138756945605153</v>
      </c>
      <c r="Q152" s="578" t="str">
        <f>IFERROR(_xlfn.XLOOKUP(F152,'[5]By Model'!$A:$A,'[5]By Model'!$B:$B),"")</f>
        <v/>
      </c>
      <c r="R152" s="579">
        <f>IFERROR(_xlfn.XLOOKUP(F152,'[4]By Model'!$A:$A,'[4]By Model'!$I:$I),"")</f>
        <v>557.37200462272733</v>
      </c>
      <c r="S152" s="578" t="str">
        <f>IFERROR(_xlfn.XLOOKUP(F152,[6]Sum!$G:$G,[6]Sum!$AM:$AM),"")</f>
        <v/>
      </c>
      <c r="T152" s="576">
        <v>1199</v>
      </c>
      <c r="U152" s="576">
        <f t="shared" si="35"/>
        <v>43164</v>
      </c>
      <c r="V152" s="580">
        <v>0</v>
      </c>
      <c r="W152" s="576">
        <f t="shared" si="36"/>
        <v>0</v>
      </c>
      <c r="X152" s="576">
        <f t="shared" si="37"/>
        <v>43164</v>
      </c>
      <c r="Y152" s="581">
        <f t="shared" si="38"/>
        <v>-4.0032025620496348E-2</v>
      </c>
      <c r="Z152" s="577">
        <f t="shared" si="44"/>
        <v>0.26137155664580336</v>
      </c>
      <c r="AA152" s="577">
        <v>0.15</v>
      </c>
      <c r="AB152" s="582"/>
      <c r="AC152" s="576">
        <v>1149</v>
      </c>
      <c r="AD152" s="576">
        <f t="shared" si="39"/>
        <v>41364</v>
      </c>
      <c r="AE152" s="581">
        <f>AD152/AD154</f>
        <v>0.86282853566958695</v>
      </c>
      <c r="AF152" s="580">
        <v>0</v>
      </c>
      <c r="AG152" s="576">
        <f t="shared" si="40"/>
        <v>0</v>
      </c>
      <c r="AH152" s="709">
        <f t="shared" si="41"/>
        <v>41364</v>
      </c>
      <c r="AI152" s="709">
        <f t="shared" si="42"/>
        <v>-1800</v>
      </c>
      <c r="AJ152" s="577">
        <f t="shared" si="43"/>
        <v>-4.1701417848206836E-2</v>
      </c>
      <c r="AK152" s="582">
        <f t="shared" si="45"/>
        <v>0.24052084772169993</v>
      </c>
      <c r="AL152" s="582"/>
      <c r="AM152" s="580"/>
      <c r="AN152" s="576"/>
      <c r="AO152" s="580"/>
    </row>
    <row r="153" spans="2:41" s="436" customFormat="1" ht="14" hidden="1">
      <c r="B153" s="800">
        <v>2605</v>
      </c>
      <c r="C153" s="1392" t="s">
        <v>23</v>
      </c>
      <c r="D153" s="1392"/>
      <c r="E153" s="1392"/>
      <c r="F153" s="1392" t="s">
        <v>336</v>
      </c>
      <c r="G153" s="566" t="s">
        <v>530</v>
      </c>
      <c r="H153" s="566"/>
      <c r="I153" s="566" t="s">
        <v>305</v>
      </c>
      <c r="J153" s="566">
        <v>3</v>
      </c>
      <c r="K153" s="566" t="s">
        <v>286</v>
      </c>
      <c r="L153" s="566">
        <v>6</v>
      </c>
      <c r="M153" s="576">
        <v>1399</v>
      </c>
      <c r="N153" s="576">
        <f t="shared" si="46"/>
        <v>50364</v>
      </c>
      <c r="O153" s="566">
        <v>6</v>
      </c>
      <c r="P153" s="577">
        <f>IFERROR(_xlfn.XLOOKUP(F153,'[4]By Model'!$A:$A,'[4]By Model'!$K:$K),"")</f>
        <v>0.28138756945605153</v>
      </c>
      <c r="Q153" s="578" t="str">
        <f>IFERROR(_xlfn.XLOOKUP(F153,'[5]By Model'!$A:$A,'[5]By Model'!$B:$B),"")</f>
        <v/>
      </c>
      <c r="R153" s="579">
        <f>IFERROR(_xlfn.XLOOKUP(F153,'[4]By Model'!$A:$A,'[4]By Model'!$I:$I),"")</f>
        <v>557.37200462272733</v>
      </c>
      <c r="S153" s="578" t="str">
        <f>IFERROR(_xlfn.XLOOKUP(F153,[6]Sum!$G:$G,[6]Sum!$AM:$AM),"")</f>
        <v/>
      </c>
      <c r="T153" s="576">
        <v>1349</v>
      </c>
      <c r="U153" s="576">
        <f t="shared" si="35"/>
        <v>48564</v>
      </c>
      <c r="V153" s="580">
        <v>0</v>
      </c>
      <c r="W153" s="576">
        <f t="shared" si="36"/>
        <v>0</v>
      </c>
      <c r="X153" s="576">
        <f t="shared" si="37"/>
        <v>48564</v>
      </c>
      <c r="Y153" s="581">
        <f t="shared" si="38"/>
        <v>-3.5739814152966454E-2</v>
      </c>
      <c r="Z153" s="577">
        <f t="shared" si="44"/>
        <v>0.26351766237956831</v>
      </c>
      <c r="AA153" s="577">
        <v>0.15</v>
      </c>
      <c r="AB153" s="582"/>
      <c r="AC153" s="576">
        <v>1349</v>
      </c>
      <c r="AD153" s="576">
        <f t="shared" si="39"/>
        <v>48564</v>
      </c>
      <c r="AE153" s="581">
        <f>AD153/AD155</f>
        <v>0.90033370411568414</v>
      </c>
      <c r="AF153" s="580">
        <v>0</v>
      </c>
      <c r="AG153" s="576">
        <f t="shared" si="40"/>
        <v>0</v>
      </c>
      <c r="AH153" s="709">
        <f t="shared" si="41"/>
        <v>48564</v>
      </c>
      <c r="AI153" s="709">
        <f t="shared" si="42"/>
        <v>0</v>
      </c>
      <c r="AJ153" s="577">
        <f t="shared" si="43"/>
        <v>0</v>
      </c>
      <c r="AK153" s="582">
        <f t="shared" si="45"/>
        <v>0.26351766237956831</v>
      </c>
      <c r="AL153" s="582"/>
      <c r="AM153" s="580"/>
      <c r="AN153" s="576"/>
      <c r="AO153" s="580"/>
    </row>
    <row r="154" spans="2:41" s="436" customFormat="1" ht="14" hidden="1">
      <c r="B154" s="800">
        <v>2605</v>
      </c>
      <c r="C154" s="1392" t="s">
        <v>23</v>
      </c>
      <c r="D154" s="1392"/>
      <c r="E154" s="1392"/>
      <c r="F154" s="1392" t="s">
        <v>336</v>
      </c>
      <c r="G154" s="566" t="s">
        <v>530</v>
      </c>
      <c r="H154" s="566"/>
      <c r="I154" s="566" t="s">
        <v>305</v>
      </c>
      <c r="J154" s="566">
        <v>5</v>
      </c>
      <c r="K154" s="566" t="s">
        <v>286</v>
      </c>
      <c r="L154" s="566">
        <v>12</v>
      </c>
      <c r="M154" s="576">
        <v>799</v>
      </c>
      <c r="N154" s="576">
        <f t="shared" si="46"/>
        <v>47940</v>
      </c>
      <c r="O154" s="566">
        <v>12</v>
      </c>
      <c r="P154" s="577">
        <f>IFERROR(_xlfn.XLOOKUP(F154,'[4]By Model'!$A:$A,'[4]By Model'!$K:$K),"")</f>
        <v>0.28138756945605153</v>
      </c>
      <c r="Q154" s="578" t="str">
        <f>IFERROR(_xlfn.XLOOKUP(F154,'[5]By Model'!$A:$A,'[5]By Model'!$B:$B),"")</f>
        <v/>
      </c>
      <c r="R154" s="579">
        <f>IFERROR(_xlfn.XLOOKUP(F154,'[4]By Model'!$A:$A,'[4]By Model'!$I:$I),"")</f>
        <v>557.37200462272733</v>
      </c>
      <c r="S154" s="578" t="str">
        <f>IFERROR(_xlfn.XLOOKUP(F154,[6]Sum!$G:$G,[6]Sum!$AM:$AM),"")</f>
        <v/>
      </c>
      <c r="T154" s="576">
        <v>799</v>
      </c>
      <c r="U154" s="576">
        <f t="shared" si="35"/>
        <v>47940</v>
      </c>
      <c r="V154" s="580">
        <v>0</v>
      </c>
      <c r="W154" s="576">
        <f t="shared" si="36"/>
        <v>0</v>
      </c>
      <c r="X154" s="576">
        <f t="shared" si="37"/>
        <v>47940</v>
      </c>
      <c r="Y154" s="581">
        <f t="shared" si="38"/>
        <v>0</v>
      </c>
      <c r="Z154" s="577">
        <f t="shared" si="44"/>
        <v>0.28138756945605153</v>
      </c>
      <c r="AA154" s="577">
        <v>0.15</v>
      </c>
      <c r="AB154" s="582"/>
      <c r="AC154" s="576">
        <v>799</v>
      </c>
      <c r="AD154" s="576">
        <f t="shared" si="39"/>
        <v>47940</v>
      </c>
      <c r="AE154" s="711"/>
      <c r="AF154" s="583">
        <v>0</v>
      </c>
      <c r="AG154" s="576">
        <f t="shared" si="40"/>
        <v>0</v>
      </c>
      <c r="AH154" s="709">
        <f t="shared" si="41"/>
        <v>47940</v>
      </c>
      <c r="AI154" s="709">
        <f t="shared" si="42"/>
        <v>0</v>
      </c>
      <c r="AJ154" s="577">
        <f t="shared" si="43"/>
        <v>0</v>
      </c>
      <c r="AK154" s="582">
        <f t="shared" si="45"/>
        <v>0.28138756945605153</v>
      </c>
      <c r="AL154" s="582"/>
      <c r="AM154" s="580"/>
      <c r="AN154" s="576"/>
      <c r="AO154" s="580"/>
    </row>
    <row r="155" spans="2:41" s="436" customFormat="1" ht="14" hidden="1">
      <c r="B155" s="801">
        <v>2605</v>
      </c>
      <c r="C155" s="1393" t="s">
        <v>23</v>
      </c>
      <c r="D155" s="1393"/>
      <c r="E155" s="1393"/>
      <c r="F155" s="1393" t="s">
        <v>336</v>
      </c>
      <c r="G155" s="566" t="s">
        <v>530</v>
      </c>
      <c r="H155" s="566"/>
      <c r="I155" s="566" t="s">
        <v>305</v>
      </c>
      <c r="J155" s="566">
        <v>5</v>
      </c>
      <c r="K155" s="566" t="s">
        <v>286</v>
      </c>
      <c r="L155" s="566">
        <v>6</v>
      </c>
      <c r="M155" s="576">
        <v>899</v>
      </c>
      <c r="N155" s="576">
        <f t="shared" si="46"/>
        <v>53940</v>
      </c>
      <c r="O155" s="566">
        <v>6</v>
      </c>
      <c r="P155" s="577">
        <f>IFERROR(_xlfn.XLOOKUP(F155,'[4]By Model'!$A:$A,'[4]By Model'!$K:$K),"")</f>
        <v>0.28138756945605153</v>
      </c>
      <c r="Q155" s="578" t="str">
        <f>IFERROR(_xlfn.XLOOKUP(F155,'[5]By Model'!$A:$A,'[5]By Model'!$B:$B),"")</f>
        <v/>
      </c>
      <c r="R155" s="579">
        <f>IFERROR(_xlfn.XLOOKUP(F155,'[4]By Model'!$A:$A,'[4]By Model'!$I:$I),"")</f>
        <v>557.37200462272733</v>
      </c>
      <c r="S155" s="578" t="str">
        <f>IFERROR(_xlfn.XLOOKUP(F155,[6]Sum!$G:$G,[6]Sum!$AM:$AM),"")</f>
        <v/>
      </c>
      <c r="T155" s="576">
        <v>899</v>
      </c>
      <c r="U155" s="576">
        <f t="shared" si="35"/>
        <v>53940</v>
      </c>
      <c r="V155" s="580">
        <v>0</v>
      </c>
      <c r="W155" s="576">
        <f t="shared" si="36"/>
        <v>0</v>
      </c>
      <c r="X155" s="576">
        <f t="shared" si="37"/>
        <v>53940</v>
      </c>
      <c r="Y155" s="581">
        <f t="shared" si="38"/>
        <v>0</v>
      </c>
      <c r="Z155" s="577">
        <f t="shared" si="44"/>
        <v>0.28138756945605153</v>
      </c>
      <c r="AA155" s="577">
        <v>0.15</v>
      </c>
      <c r="AB155" s="582"/>
      <c r="AC155" s="576">
        <v>899</v>
      </c>
      <c r="AD155" s="576">
        <f t="shared" si="39"/>
        <v>53940</v>
      </c>
      <c r="AE155" s="711"/>
      <c r="AF155" s="583">
        <v>0</v>
      </c>
      <c r="AG155" s="576">
        <f t="shared" si="40"/>
        <v>0</v>
      </c>
      <c r="AH155" s="709">
        <f t="shared" si="41"/>
        <v>53940</v>
      </c>
      <c r="AI155" s="709">
        <f t="shared" si="42"/>
        <v>0</v>
      </c>
      <c r="AJ155" s="577">
        <f t="shared" si="43"/>
        <v>0</v>
      </c>
      <c r="AK155" s="582">
        <f t="shared" si="45"/>
        <v>0.28138756945605153</v>
      </c>
      <c r="AL155" s="582"/>
      <c r="AM155" s="580"/>
      <c r="AN155" s="576"/>
      <c r="AO155" s="580"/>
    </row>
    <row r="156" spans="2:41" s="436" customFormat="1" ht="14" hidden="1">
      <c r="B156" s="799">
        <v>2605</v>
      </c>
      <c r="C156" s="1391" t="s">
        <v>14</v>
      </c>
      <c r="D156" s="1391"/>
      <c r="E156" s="1391" t="s">
        <v>389</v>
      </c>
      <c r="F156" s="1391" t="s">
        <v>531</v>
      </c>
      <c r="G156" s="566" t="s">
        <v>390</v>
      </c>
      <c r="H156" s="566"/>
      <c r="I156" s="566" t="s">
        <v>389</v>
      </c>
      <c r="J156" s="566">
        <v>3</v>
      </c>
      <c r="K156" s="566" t="s">
        <v>286</v>
      </c>
      <c r="L156" s="566">
        <v>6</v>
      </c>
      <c r="M156" s="576">
        <v>2699</v>
      </c>
      <c r="N156" s="576">
        <f t="shared" si="46"/>
        <v>97164</v>
      </c>
      <c r="O156" s="566">
        <v>6</v>
      </c>
      <c r="P156" s="577" t="str">
        <f>IFERROR(_xlfn.XLOOKUP(G156,'[4]By Model'!$A:$A,'[4]By Model'!$K:$K),"")</f>
        <v/>
      </c>
      <c r="Q156" s="578" t="str">
        <f>IFERROR(_xlfn.XLOOKUP(F156,'[5]By Model'!$A:$A,'[5]By Model'!$B:$B),"")</f>
        <v/>
      </c>
      <c r="R156" s="579" t="str">
        <f>IFERROR(_xlfn.XLOOKUP(G156,'[4]By Model'!$A:$A,'[4]By Model'!$I:$I),"")</f>
        <v/>
      </c>
      <c r="S156" s="578" t="str">
        <f>IFERROR(_xlfn.XLOOKUP(F156,[6]Sum!$G:$G,[6]Sum!$AM:$AM),"")</f>
        <v/>
      </c>
      <c r="T156" s="576">
        <v>2699</v>
      </c>
      <c r="U156" s="576">
        <f t="shared" si="35"/>
        <v>97164</v>
      </c>
      <c r="V156" s="580">
        <v>0</v>
      </c>
      <c r="W156" s="576">
        <f t="shared" si="36"/>
        <v>0</v>
      </c>
      <c r="X156" s="576">
        <f t="shared" si="37"/>
        <v>97164</v>
      </c>
      <c r="Y156" s="581">
        <f t="shared" si="38"/>
        <v>0</v>
      </c>
      <c r="Z156" s="577" t="str">
        <f t="shared" si="44"/>
        <v/>
      </c>
      <c r="AA156" s="577">
        <v>0.08</v>
      </c>
      <c r="AB156" s="582" t="s">
        <v>389</v>
      </c>
      <c r="AC156" s="576">
        <v>1949</v>
      </c>
      <c r="AD156" s="576">
        <f t="shared" si="39"/>
        <v>70164</v>
      </c>
      <c r="AE156" s="711"/>
      <c r="AF156" s="580">
        <v>0</v>
      </c>
      <c r="AG156" s="576">
        <f t="shared" si="40"/>
        <v>0</v>
      </c>
      <c r="AH156" s="709">
        <f t="shared" si="41"/>
        <v>70164</v>
      </c>
      <c r="AI156" s="709">
        <f t="shared" si="42"/>
        <v>-27000</v>
      </c>
      <c r="AJ156" s="577">
        <f t="shared" si="43"/>
        <v>-0.27788069655427938</v>
      </c>
      <c r="AK156" s="582" t="str">
        <f t="shared" si="45"/>
        <v/>
      </c>
      <c r="AL156" s="582" t="s">
        <v>389</v>
      </c>
      <c r="AM156" s="580" t="s">
        <v>389</v>
      </c>
      <c r="AN156" s="576" t="s">
        <v>389</v>
      </c>
      <c r="AO156" s="580" t="s">
        <v>389</v>
      </c>
    </row>
    <row r="157" spans="2:41" s="436" customFormat="1" ht="14" hidden="1">
      <c r="B157" s="800">
        <v>2605</v>
      </c>
      <c r="C157" s="1392" t="s">
        <v>14</v>
      </c>
      <c r="D157" s="1392"/>
      <c r="E157" s="1392" t="s">
        <v>389</v>
      </c>
      <c r="F157" s="1392"/>
      <c r="G157" s="566" t="s">
        <v>390</v>
      </c>
      <c r="H157" s="566"/>
      <c r="I157" s="566" t="s">
        <v>389</v>
      </c>
      <c r="J157" s="566">
        <v>5</v>
      </c>
      <c r="K157" s="566" t="s">
        <v>286</v>
      </c>
      <c r="L157" s="566">
        <v>6</v>
      </c>
      <c r="M157" s="576">
        <v>1349</v>
      </c>
      <c r="N157" s="576">
        <f t="shared" si="46"/>
        <v>80940</v>
      </c>
      <c r="O157" s="566">
        <v>6</v>
      </c>
      <c r="P157" s="577" t="str">
        <f>IFERROR(_xlfn.XLOOKUP(G157,'[4]By Model'!$A:$A,'[4]By Model'!$K:$K),"")</f>
        <v/>
      </c>
      <c r="Q157" s="578" t="str">
        <f>IFERROR(_xlfn.XLOOKUP(F157,'[5]By Model'!$A:$A,'[5]By Model'!$B:$B),"")</f>
        <v/>
      </c>
      <c r="R157" s="579" t="str">
        <f>IFERROR(_xlfn.XLOOKUP(G157,'[4]By Model'!$A:$A,'[4]By Model'!$I:$I),"")</f>
        <v/>
      </c>
      <c r="S157" s="578" t="str">
        <f>IFERROR(_xlfn.XLOOKUP(F157,[6]Sum!$G:$G,[6]Sum!$AM:$AM),"")</f>
        <v/>
      </c>
      <c r="T157" s="576">
        <v>1349</v>
      </c>
      <c r="U157" s="576">
        <f t="shared" si="35"/>
        <v>80940</v>
      </c>
      <c r="V157" s="580">
        <v>3</v>
      </c>
      <c r="W157" s="576">
        <f t="shared" si="36"/>
        <v>2023.5</v>
      </c>
      <c r="X157" s="576">
        <f t="shared" si="37"/>
        <v>78916.5</v>
      </c>
      <c r="Y157" s="581">
        <f t="shared" si="38"/>
        <v>-2.5000000000000022E-2</v>
      </c>
      <c r="Z157" s="577" t="str">
        <f t="shared" si="44"/>
        <v/>
      </c>
      <c r="AA157" s="577">
        <v>0.08</v>
      </c>
      <c r="AB157" s="582" t="s">
        <v>389</v>
      </c>
      <c r="AC157" s="576">
        <v>1349</v>
      </c>
      <c r="AD157" s="576">
        <f t="shared" si="39"/>
        <v>80940</v>
      </c>
      <c r="AE157" s="711"/>
      <c r="AF157" s="580">
        <v>0</v>
      </c>
      <c r="AG157" s="576">
        <f t="shared" si="40"/>
        <v>0</v>
      </c>
      <c r="AH157" s="709">
        <f t="shared" si="41"/>
        <v>80940</v>
      </c>
      <c r="AI157" s="709">
        <f t="shared" si="42"/>
        <v>2023.5</v>
      </c>
      <c r="AJ157" s="577">
        <f t="shared" si="43"/>
        <v>2.564102564102564E-2</v>
      </c>
      <c r="AK157" s="582" t="str">
        <f t="shared" si="45"/>
        <v/>
      </c>
      <c r="AL157" s="582" t="s">
        <v>389</v>
      </c>
      <c r="AM157" s="580" t="s">
        <v>389</v>
      </c>
      <c r="AN157" s="576" t="s">
        <v>389</v>
      </c>
      <c r="AO157" s="580" t="s">
        <v>389</v>
      </c>
    </row>
    <row r="158" spans="2:41" s="436" customFormat="1" ht="14" hidden="1">
      <c r="B158" s="801">
        <v>2605</v>
      </c>
      <c r="C158" s="1393" t="s">
        <v>14</v>
      </c>
      <c r="D158" s="1393"/>
      <c r="E158" s="1393" t="s">
        <v>389</v>
      </c>
      <c r="F158" s="1393"/>
      <c r="G158" s="566" t="s">
        <v>390</v>
      </c>
      <c r="H158" s="566"/>
      <c r="I158" s="566" t="s">
        <v>389</v>
      </c>
      <c r="J158" s="566">
        <v>6</v>
      </c>
      <c r="K158" s="566" t="s">
        <v>286</v>
      </c>
      <c r="L158" s="566">
        <v>6</v>
      </c>
      <c r="M158" s="576">
        <v>1149</v>
      </c>
      <c r="N158" s="576">
        <f t="shared" si="46"/>
        <v>82728</v>
      </c>
      <c r="O158" s="566">
        <v>6</v>
      </c>
      <c r="P158" s="577" t="str">
        <f>IFERROR(_xlfn.XLOOKUP(G158,'[4]By Model'!$A:$A,'[4]By Model'!$K:$K),"")</f>
        <v/>
      </c>
      <c r="Q158" s="578" t="str">
        <f>IFERROR(_xlfn.XLOOKUP(F158,'[5]By Model'!$A:$A,'[5]By Model'!$B:$B),"")</f>
        <v/>
      </c>
      <c r="R158" s="579" t="str">
        <f>IFERROR(_xlfn.XLOOKUP(G158,'[4]By Model'!$A:$A,'[4]By Model'!$I:$I),"")</f>
        <v/>
      </c>
      <c r="S158" s="578" t="str">
        <f>IFERROR(_xlfn.XLOOKUP(F158,[6]Sum!$G:$G,[6]Sum!$AM:$AM),"")</f>
        <v/>
      </c>
      <c r="T158" s="576">
        <v>1149</v>
      </c>
      <c r="U158" s="576">
        <f t="shared" si="35"/>
        <v>82728</v>
      </c>
      <c r="V158" s="580">
        <v>3</v>
      </c>
      <c r="W158" s="576">
        <f t="shared" si="36"/>
        <v>1723.5</v>
      </c>
      <c r="X158" s="576">
        <f t="shared" si="37"/>
        <v>81004.5</v>
      </c>
      <c r="Y158" s="581">
        <f t="shared" si="38"/>
        <v>-2.083333333333337E-2</v>
      </c>
      <c r="Z158" s="577" t="str">
        <f t="shared" si="44"/>
        <v/>
      </c>
      <c r="AA158" s="577">
        <v>0.09</v>
      </c>
      <c r="AB158" s="582" t="s">
        <v>389</v>
      </c>
      <c r="AC158" s="576">
        <v>1149</v>
      </c>
      <c r="AD158" s="576">
        <f t="shared" si="39"/>
        <v>82728</v>
      </c>
      <c r="AE158" s="576"/>
      <c r="AF158" s="580">
        <v>0</v>
      </c>
      <c r="AG158" s="576">
        <f t="shared" si="40"/>
        <v>0</v>
      </c>
      <c r="AH158" s="709">
        <f t="shared" si="41"/>
        <v>82728</v>
      </c>
      <c r="AI158" s="709">
        <f t="shared" si="42"/>
        <v>1723.5</v>
      </c>
      <c r="AJ158" s="577">
        <f t="shared" si="43"/>
        <v>2.1276595744680851E-2</v>
      </c>
      <c r="AK158" s="582" t="str">
        <f t="shared" si="45"/>
        <v/>
      </c>
      <c r="AL158" s="582" t="s">
        <v>389</v>
      </c>
      <c r="AM158" s="580" t="s">
        <v>389</v>
      </c>
      <c r="AN158" s="576" t="s">
        <v>389</v>
      </c>
      <c r="AO158" s="580" t="s">
        <v>389</v>
      </c>
    </row>
    <row r="159" spans="2:41" s="436" customFormat="1" ht="14" hidden="1">
      <c r="B159" s="799">
        <v>2605</v>
      </c>
      <c r="C159" s="1391" t="s">
        <v>14</v>
      </c>
      <c r="D159" s="1391"/>
      <c r="E159" s="1391"/>
      <c r="F159" s="1391" t="s">
        <v>379</v>
      </c>
      <c r="G159" s="566" t="s">
        <v>206</v>
      </c>
      <c r="H159" s="566" t="s">
        <v>207</v>
      </c>
      <c r="I159" s="566"/>
      <c r="J159" s="566">
        <v>3</v>
      </c>
      <c r="K159" s="566" t="s">
        <v>286</v>
      </c>
      <c r="L159" s="566">
        <v>6</v>
      </c>
      <c r="M159" s="576">
        <v>2949</v>
      </c>
      <c r="N159" s="576">
        <f t="shared" si="46"/>
        <v>106164</v>
      </c>
      <c r="O159" s="566">
        <v>6</v>
      </c>
      <c r="P159" s="577">
        <f>IFERROR(_xlfn.XLOOKUP(G159,'[4]By Model'!$A:$A,'[4]By Model'!$K:$K),"")</f>
        <v>-0.10503637345358283</v>
      </c>
      <c r="Q159" s="578" t="str">
        <f>IFERROR(_xlfn.XLOOKUP(F159,'[5]By Model'!$A:$A,'[5]By Model'!$B:$B),"")</f>
        <v/>
      </c>
      <c r="R159" s="579">
        <f>IFERROR(_xlfn.XLOOKUP(G159,'[4]By Model'!$A:$A,'[4]By Model'!$I:$I),"")</f>
        <v>1389.5516083857144</v>
      </c>
      <c r="S159" s="578" t="str">
        <f>IFERROR(_xlfn.XLOOKUP(F159,[6]Sum!$G:$G,[6]Sum!$AM:$AM),"")</f>
        <v/>
      </c>
      <c r="T159" s="576">
        <v>2199</v>
      </c>
      <c r="U159" s="576">
        <f t="shared" si="35"/>
        <v>79164</v>
      </c>
      <c r="V159" s="580">
        <v>0</v>
      </c>
      <c r="W159" s="576">
        <f t="shared" si="36"/>
        <v>0</v>
      </c>
      <c r="X159" s="576">
        <f t="shared" si="37"/>
        <v>79164</v>
      </c>
      <c r="Y159" s="581">
        <f t="shared" si="38"/>
        <v>-0.25432349949135302</v>
      </c>
      <c r="Z159" s="577">
        <f t="shared" si="44"/>
        <v>-0.23219812319925934</v>
      </c>
      <c r="AA159" s="577"/>
      <c r="AB159" s="582"/>
      <c r="AC159" s="576">
        <v>2199</v>
      </c>
      <c r="AD159" s="576">
        <f t="shared" si="39"/>
        <v>79164</v>
      </c>
      <c r="AE159" s="581">
        <f>AD159/AD160</f>
        <v>0.97805782060785762</v>
      </c>
      <c r="AF159" s="580">
        <v>0</v>
      </c>
      <c r="AG159" s="576">
        <f t="shared" si="40"/>
        <v>0</v>
      </c>
      <c r="AH159" s="709">
        <f t="shared" si="41"/>
        <v>79164</v>
      </c>
      <c r="AI159" s="709">
        <f t="shared" si="42"/>
        <v>0</v>
      </c>
      <c r="AJ159" s="577">
        <f t="shared" si="43"/>
        <v>0</v>
      </c>
      <c r="AK159" s="582">
        <f t="shared" si="45"/>
        <v>-0.23219812319925934</v>
      </c>
      <c r="AL159" s="582"/>
      <c r="AM159" s="580"/>
      <c r="AN159" s="576"/>
      <c r="AO159" s="580"/>
    </row>
    <row r="160" spans="2:41" s="436" customFormat="1" ht="14" hidden="1">
      <c r="B160" s="800">
        <v>2605</v>
      </c>
      <c r="C160" s="1392" t="s">
        <v>14</v>
      </c>
      <c r="D160" s="1392"/>
      <c r="E160" s="1392"/>
      <c r="F160" s="1392" t="s">
        <v>379</v>
      </c>
      <c r="G160" s="566" t="s">
        <v>206</v>
      </c>
      <c r="H160" s="566" t="s">
        <v>207</v>
      </c>
      <c r="I160" s="566"/>
      <c r="J160" s="566">
        <v>5</v>
      </c>
      <c r="K160" s="566" t="s">
        <v>286</v>
      </c>
      <c r="L160" s="566">
        <v>6</v>
      </c>
      <c r="M160" s="576">
        <v>2949</v>
      </c>
      <c r="N160" s="576">
        <f t="shared" si="46"/>
        <v>176940</v>
      </c>
      <c r="O160" s="566">
        <v>6</v>
      </c>
      <c r="P160" s="577">
        <f>IFERROR(_xlfn.XLOOKUP(G160,'[4]By Model'!$A:$A,'[4]By Model'!$K:$K),"")</f>
        <v>-0.10503637345358283</v>
      </c>
      <c r="Q160" s="578" t="str">
        <f>IFERROR(_xlfn.XLOOKUP(F160,'[5]By Model'!$A:$A,'[5]By Model'!$B:$B),"")</f>
        <v/>
      </c>
      <c r="R160" s="579">
        <f>IFERROR(_xlfn.XLOOKUP(G160,'[4]By Model'!$A:$A,'[4]By Model'!$I:$I),"")</f>
        <v>1389.5516083857144</v>
      </c>
      <c r="S160" s="578" t="str">
        <f>IFERROR(_xlfn.XLOOKUP(F160,[6]Sum!$G:$G,[6]Sum!$AM:$AM),"")</f>
        <v/>
      </c>
      <c r="T160" s="576">
        <v>1349</v>
      </c>
      <c r="U160" s="576">
        <f t="shared" si="35"/>
        <v>80940</v>
      </c>
      <c r="V160" s="580">
        <v>3</v>
      </c>
      <c r="W160" s="576">
        <f t="shared" si="36"/>
        <v>2023.5</v>
      </c>
      <c r="X160" s="576">
        <f t="shared" si="37"/>
        <v>78916.5</v>
      </c>
      <c r="Y160" s="581">
        <f t="shared" si="38"/>
        <v>-0.55399287894201432</v>
      </c>
      <c r="Z160" s="577">
        <f t="shared" si="44"/>
        <v>-0.38203281292459002</v>
      </c>
      <c r="AA160" s="577"/>
      <c r="AB160" s="582"/>
      <c r="AC160" s="576">
        <v>1349</v>
      </c>
      <c r="AD160" s="576">
        <f t="shared" si="39"/>
        <v>80940</v>
      </c>
      <c r="AE160" s="711"/>
      <c r="AF160" s="583">
        <v>3</v>
      </c>
      <c r="AG160" s="576">
        <f t="shared" si="40"/>
        <v>2023.5</v>
      </c>
      <c r="AH160" s="709">
        <f t="shared" si="41"/>
        <v>78916.5</v>
      </c>
      <c r="AI160" s="709">
        <f t="shared" si="42"/>
        <v>0</v>
      </c>
      <c r="AJ160" s="577">
        <f t="shared" si="43"/>
        <v>0</v>
      </c>
      <c r="AK160" s="582">
        <f t="shared" si="45"/>
        <v>-0.38203281292459002</v>
      </c>
      <c r="AL160" s="582"/>
      <c r="AM160" s="580"/>
      <c r="AN160" s="576"/>
      <c r="AO160" s="580"/>
    </row>
    <row r="161" spans="2:41" s="436" customFormat="1" ht="14" hidden="1">
      <c r="B161" s="801">
        <v>2605</v>
      </c>
      <c r="C161" s="1393" t="s">
        <v>14</v>
      </c>
      <c r="D161" s="1393"/>
      <c r="E161" s="1393"/>
      <c r="F161" s="1393" t="s">
        <v>379</v>
      </c>
      <c r="G161" s="566" t="s">
        <v>206</v>
      </c>
      <c r="H161" s="566" t="s">
        <v>207</v>
      </c>
      <c r="I161" s="566"/>
      <c r="J161" s="566">
        <v>6</v>
      </c>
      <c r="K161" s="566" t="s">
        <v>286</v>
      </c>
      <c r="L161" s="566">
        <v>6</v>
      </c>
      <c r="M161" s="576">
        <v>2949</v>
      </c>
      <c r="N161" s="576">
        <f t="shared" si="46"/>
        <v>212328</v>
      </c>
      <c r="O161" s="566">
        <v>6</v>
      </c>
      <c r="P161" s="577">
        <f>IFERROR(_xlfn.XLOOKUP(G161,'[4]By Model'!$A:$A,'[4]By Model'!$K:$K),"")</f>
        <v>-0.10503637345358283</v>
      </c>
      <c r="Q161" s="578" t="str">
        <f>IFERROR(_xlfn.XLOOKUP(F161,'[5]By Model'!$A:$A,'[5]By Model'!$B:$B),"")</f>
        <v/>
      </c>
      <c r="R161" s="579">
        <f>IFERROR(_xlfn.XLOOKUP(G161,'[4]By Model'!$A:$A,'[4]By Model'!$I:$I),"")</f>
        <v>1389.5516083857144</v>
      </c>
      <c r="S161" s="578" t="str">
        <f>IFERROR(_xlfn.XLOOKUP(F161,[6]Sum!$G:$G,[6]Sum!$AM:$AM),"")</f>
        <v/>
      </c>
      <c r="T161" s="576">
        <v>1149</v>
      </c>
      <c r="U161" s="576">
        <f t="shared" si="35"/>
        <v>82728</v>
      </c>
      <c r="V161" s="580">
        <v>3</v>
      </c>
      <c r="W161" s="576">
        <f t="shared" si="36"/>
        <v>1723.5</v>
      </c>
      <c r="X161" s="576">
        <f t="shared" si="37"/>
        <v>81004.5</v>
      </c>
      <c r="Y161" s="581">
        <f t="shared" si="38"/>
        <v>-0.61849355713801291</v>
      </c>
      <c r="Z161" s="577">
        <f t="shared" si="44"/>
        <v>-0.41428315202258925</v>
      </c>
      <c r="AA161" s="577"/>
      <c r="AB161" s="582"/>
      <c r="AC161" s="576">
        <v>1149</v>
      </c>
      <c r="AD161" s="576">
        <f t="shared" si="39"/>
        <v>82728</v>
      </c>
      <c r="AE161" s="576"/>
      <c r="AF161" s="583">
        <v>3</v>
      </c>
      <c r="AG161" s="576">
        <f t="shared" si="40"/>
        <v>1723.5</v>
      </c>
      <c r="AH161" s="709">
        <f t="shared" si="41"/>
        <v>81004.5</v>
      </c>
      <c r="AI161" s="709">
        <f t="shared" si="42"/>
        <v>0</v>
      </c>
      <c r="AJ161" s="577">
        <f t="shared" si="43"/>
        <v>0</v>
      </c>
      <c r="AK161" s="582">
        <f t="shared" si="45"/>
        <v>-0.41428315202258925</v>
      </c>
      <c r="AL161" s="582"/>
      <c r="AM161" s="580"/>
      <c r="AN161" s="576"/>
      <c r="AO161" s="580"/>
    </row>
    <row r="162" spans="2:41" s="436" customFormat="1" ht="14" hidden="1">
      <c r="B162" s="799">
        <v>2605</v>
      </c>
      <c r="C162" s="1391" t="s">
        <v>14</v>
      </c>
      <c r="D162" s="1391"/>
      <c r="E162" s="1391"/>
      <c r="F162" s="1391" t="s">
        <v>380</v>
      </c>
      <c r="G162" s="566" t="s">
        <v>208</v>
      </c>
      <c r="H162" s="566" t="s">
        <v>207</v>
      </c>
      <c r="I162" s="566"/>
      <c r="J162" s="566">
        <v>3</v>
      </c>
      <c r="K162" s="566" t="s">
        <v>286</v>
      </c>
      <c r="L162" s="566">
        <v>6</v>
      </c>
      <c r="M162" s="576">
        <v>2449</v>
      </c>
      <c r="N162" s="576">
        <f t="shared" si="46"/>
        <v>88164</v>
      </c>
      <c r="O162" s="566">
        <v>6</v>
      </c>
      <c r="P162" s="577">
        <f>IFERROR(_xlfn.XLOOKUP(G162,'[4]By Model'!$A:$A,'[4]By Model'!$K:$K),"")</f>
        <v>-0.2752256114170582</v>
      </c>
      <c r="Q162" s="578" t="str">
        <f>IFERROR(_xlfn.XLOOKUP(F162,'[5]By Model'!$A:$A,'[5]By Model'!$B:$B),"")</f>
        <v/>
      </c>
      <c r="R162" s="579">
        <f>IFERROR(_xlfn.XLOOKUP(G162,'[4]By Model'!$A:$A,'[4]By Model'!$I:$I),"")</f>
        <v>957.8035558555556</v>
      </c>
      <c r="S162" s="578" t="str">
        <f>IFERROR(_xlfn.XLOOKUP(F162,[6]Sum!$G:$G,[6]Sum!$AM:$AM),"")</f>
        <v/>
      </c>
      <c r="T162" s="576">
        <v>1849</v>
      </c>
      <c r="U162" s="576">
        <f t="shared" si="35"/>
        <v>66564</v>
      </c>
      <c r="V162" s="580">
        <v>0</v>
      </c>
      <c r="W162" s="576">
        <f t="shared" si="36"/>
        <v>0</v>
      </c>
      <c r="X162" s="576">
        <f t="shared" si="37"/>
        <v>66564</v>
      </c>
      <c r="Y162" s="581">
        <f t="shared" si="38"/>
        <v>-0.2449979583503471</v>
      </c>
      <c r="Z162" s="577">
        <f t="shared" si="44"/>
        <v>-0.39772459059223175</v>
      </c>
      <c r="AA162" s="577"/>
      <c r="AB162" s="582"/>
      <c r="AC162" s="576">
        <v>1849</v>
      </c>
      <c r="AD162" s="576">
        <f t="shared" si="39"/>
        <v>66564</v>
      </c>
      <c r="AE162" s="581">
        <f>AD162/AD163</f>
        <v>0.96553524804177548</v>
      </c>
      <c r="AF162" s="580">
        <v>0</v>
      </c>
      <c r="AG162" s="576">
        <f t="shared" si="40"/>
        <v>0</v>
      </c>
      <c r="AH162" s="709">
        <f t="shared" si="41"/>
        <v>66564</v>
      </c>
      <c r="AI162" s="709">
        <f t="shared" si="42"/>
        <v>0</v>
      </c>
      <c r="AJ162" s="577">
        <f t="shared" si="43"/>
        <v>0</v>
      </c>
      <c r="AK162" s="582">
        <f t="shared" si="45"/>
        <v>-0.39772459059223175</v>
      </c>
      <c r="AL162" s="582"/>
      <c r="AM162" s="580"/>
      <c r="AN162" s="576"/>
      <c r="AO162" s="580"/>
    </row>
    <row r="163" spans="2:41" s="436" customFormat="1" ht="14" hidden="1">
      <c r="B163" s="800">
        <v>2605</v>
      </c>
      <c r="C163" s="1392" t="s">
        <v>14</v>
      </c>
      <c r="D163" s="1392"/>
      <c r="E163" s="1392"/>
      <c r="F163" s="1392" t="s">
        <v>380</v>
      </c>
      <c r="G163" s="566" t="s">
        <v>208</v>
      </c>
      <c r="H163" s="566" t="s">
        <v>207</v>
      </c>
      <c r="I163" s="566"/>
      <c r="J163" s="566">
        <v>5</v>
      </c>
      <c r="K163" s="566" t="s">
        <v>286</v>
      </c>
      <c r="L163" s="566">
        <v>6</v>
      </c>
      <c r="M163" s="576">
        <v>2449</v>
      </c>
      <c r="N163" s="576">
        <f t="shared" si="46"/>
        <v>146940</v>
      </c>
      <c r="O163" s="566">
        <v>6</v>
      </c>
      <c r="P163" s="577">
        <f>IFERROR(_xlfn.XLOOKUP(G163,'[4]By Model'!$A:$A,'[4]By Model'!$K:$K),"")</f>
        <v>-0.2752256114170582</v>
      </c>
      <c r="Q163" s="578" t="str">
        <f>IFERROR(_xlfn.XLOOKUP(F163,'[5]By Model'!$A:$A,'[5]By Model'!$B:$B),"")</f>
        <v/>
      </c>
      <c r="R163" s="579">
        <f>IFERROR(_xlfn.XLOOKUP(G163,'[4]By Model'!$A:$A,'[4]By Model'!$I:$I),"")</f>
        <v>957.8035558555556</v>
      </c>
      <c r="S163" s="578" t="str">
        <f>IFERROR(_xlfn.XLOOKUP(F163,[6]Sum!$G:$G,[6]Sum!$AM:$AM),"")</f>
        <v/>
      </c>
      <c r="T163" s="576">
        <v>1149</v>
      </c>
      <c r="U163" s="576">
        <f t="shared" si="35"/>
        <v>68940</v>
      </c>
      <c r="V163" s="580">
        <v>3</v>
      </c>
      <c r="W163" s="576">
        <f t="shared" si="36"/>
        <v>1723.5</v>
      </c>
      <c r="X163" s="576">
        <f t="shared" si="37"/>
        <v>67216.5</v>
      </c>
      <c r="Y163" s="581">
        <f t="shared" si="38"/>
        <v>-0.54255818701510816</v>
      </c>
      <c r="Z163" s="577">
        <f t="shared" si="44"/>
        <v>-0.54650470492461234</v>
      </c>
      <c r="AA163" s="577"/>
      <c r="AB163" s="582"/>
      <c r="AC163" s="576">
        <v>1149</v>
      </c>
      <c r="AD163" s="576">
        <f t="shared" si="39"/>
        <v>68940</v>
      </c>
      <c r="AE163" s="711"/>
      <c r="AF163" s="583">
        <v>3</v>
      </c>
      <c r="AG163" s="576">
        <f t="shared" si="40"/>
        <v>1723.5</v>
      </c>
      <c r="AH163" s="709">
        <f t="shared" si="41"/>
        <v>67216.5</v>
      </c>
      <c r="AI163" s="709">
        <f t="shared" si="42"/>
        <v>0</v>
      </c>
      <c r="AJ163" s="577">
        <f t="shared" si="43"/>
        <v>0</v>
      </c>
      <c r="AK163" s="582">
        <f t="shared" si="45"/>
        <v>-0.54650470492461234</v>
      </c>
      <c r="AL163" s="582"/>
      <c r="AM163" s="580"/>
      <c r="AN163" s="576"/>
      <c r="AO163" s="580"/>
    </row>
    <row r="164" spans="2:41" s="436" customFormat="1" ht="14" hidden="1">
      <c r="B164" s="801">
        <v>2605</v>
      </c>
      <c r="C164" s="1393" t="s">
        <v>14</v>
      </c>
      <c r="D164" s="1393"/>
      <c r="E164" s="1393"/>
      <c r="F164" s="1393" t="s">
        <v>380</v>
      </c>
      <c r="G164" s="566" t="s">
        <v>208</v>
      </c>
      <c r="H164" s="566" t="s">
        <v>207</v>
      </c>
      <c r="I164" s="566"/>
      <c r="J164" s="566">
        <v>6</v>
      </c>
      <c r="K164" s="566" t="s">
        <v>286</v>
      </c>
      <c r="L164" s="566">
        <v>6</v>
      </c>
      <c r="M164" s="576">
        <v>2449</v>
      </c>
      <c r="N164" s="576">
        <f t="shared" si="46"/>
        <v>176328</v>
      </c>
      <c r="O164" s="566">
        <v>6</v>
      </c>
      <c r="P164" s="577">
        <f>IFERROR(_xlfn.XLOOKUP(G164,'[4]By Model'!$A:$A,'[4]By Model'!$K:$K),"")</f>
        <v>-0.2752256114170582</v>
      </c>
      <c r="Q164" s="578" t="str">
        <f>IFERROR(_xlfn.XLOOKUP(F164,'[5]By Model'!$A:$A,'[5]By Model'!$B:$B),"")</f>
        <v/>
      </c>
      <c r="R164" s="579">
        <f>IFERROR(_xlfn.XLOOKUP(G164,'[4]By Model'!$A:$A,'[4]By Model'!$I:$I),"")</f>
        <v>957.8035558555556</v>
      </c>
      <c r="S164" s="578" t="str">
        <f>IFERROR(_xlfn.XLOOKUP(F164,[6]Sum!$G:$G,[6]Sum!$AM:$AM),"")</f>
        <v/>
      </c>
      <c r="T164" s="576">
        <v>949</v>
      </c>
      <c r="U164" s="576">
        <f t="shared" si="35"/>
        <v>68328</v>
      </c>
      <c r="V164" s="580">
        <v>3</v>
      </c>
      <c r="W164" s="576">
        <f t="shared" si="36"/>
        <v>1423.5</v>
      </c>
      <c r="X164" s="576">
        <f t="shared" si="37"/>
        <v>66904.5</v>
      </c>
      <c r="Y164" s="581">
        <f t="shared" si="38"/>
        <v>-0.62056791887845386</v>
      </c>
      <c r="Z164" s="577">
        <f t="shared" si="44"/>
        <v>-0.58550957085628519</v>
      </c>
      <c r="AA164" s="577"/>
      <c r="AB164" s="582"/>
      <c r="AC164" s="576">
        <v>949</v>
      </c>
      <c r="AD164" s="576">
        <f t="shared" si="39"/>
        <v>68328</v>
      </c>
      <c r="AE164" s="576"/>
      <c r="AF164" s="583">
        <v>3</v>
      </c>
      <c r="AG164" s="576">
        <f t="shared" si="40"/>
        <v>1423.5</v>
      </c>
      <c r="AH164" s="709">
        <f t="shared" si="41"/>
        <v>66904.5</v>
      </c>
      <c r="AI164" s="709">
        <f t="shared" si="42"/>
        <v>0</v>
      </c>
      <c r="AJ164" s="577">
        <f t="shared" si="43"/>
        <v>0</v>
      </c>
      <c r="AK164" s="582">
        <f t="shared" si="45"/>
        <v>-0.58550957085628519</v>
      </c>
      <c r="AL164" s="582"/>
      <c r="AM164" s="580"/>
      <c r="AN164" s="576"/>
      <c r="AO164" s="580"/>
    </row>
    <row r="165" spans="2:41" s="436" customFormat="1" ht="14" hidden="1">
      <c r="B165" s="799">
        <v>2605</v>
      </c>
      <c r="C165" s="1391" t="s">
        <v>14</v>
      </c>
      <c r="D165" s="1391"/>
      <c r="E165" s="1391"/>
      <c r="F165" s="1391" t="s">
        <v>196</v>
      </c>
      <c r="G165" s="566"/>
      <c r="H165" s="566"/>
      <c r="I165" s="566"/>
      <c r="J165" s="566">
        <v>3</v>
      </c>
      <c r="K165" s="566" t="s">
        <v>286</v>
      </c>
      <c r="L165" s="566">
        <v>24</v>
      </c>
      <c r="M165" s="576">
        <v>1899</v>
      </c>
      <c r="N165" s="576">
        <f t="shared" si="46"/>
        <v>68364</v>
      </c>
      <c r="O165" s="566">
        <v>24</v>
      </c>
      <c r="P165" s="577">
        <f>IFERROR(_xlfn.XLOOKUP(F165,'[4]By Model'!$A:$A,'[4]By Model'!$K:$K),"")</f>
        <v>4.6289109499786915E-2</v>
      </c>
      <c r="Q165" s="578">
        <f>IFERROR(_xlfn.XLOOKUP(F165,'[5]By Model'!$A:$A,'[5]By Model'!$B:$B),"")</f>
        <v>31</v>
      </c>
      <c r="R165" s="579">
        <f>IFERROR(_xlfn.XLOOKUP(F165,'[4]By Model'!$A:$A,'[4]By Model'!$I:$I),"")</f>
        <v>1640.1628253785714</v>
      </c>
      <c r="S165" s="578">
        <f>IFERROR(_xlfn.XLOOKUP(F165,[6]Sum!$G:$G,[6]Sum!$AM:$AM),"")</f>
        <v>14</v>
      </c>
      <c r="T165" s="576">
        <v>1849</v>
      </c>
      <c r="U165" s="576">
        <f t="shared" si="35"/>
        <v>66564</v>
      </c>
      <c r="V165" s="580">
        <v>0</v>
      </c>
      <c r="W165" s="576">
        <f t="shared" si="36"/>
        <v>0</v>
      </c>
      <c r="X165" s="576">
        <f t="shared" si="37"/>
        <v>66564</v>
      </c>
      <c r="Y165" s="581">
        <f t="shared" si="38"/>
        <v>-2.6329647182727789E-2</v>
      </c>
      <c r="Z165" s="577">
        <f t="shared" si="44"/>
        <v>3.3124285908423021E-2</v>
      </c>
      <c r="AA165" s="577">
        <v>0.17841391748149107</v>
      </c>
      <c r="AB165" s="582"/>
      <c r="AC165" s="576">
        <v>1849</v>
      </c>
      <c r="AD165" s="576">
        <f t="shared" si="39"/>
        <v>66564</v>
      </c>
      <c r="AE165" s="581">
        <f>AD165/AD166</f>
        <v>0.85404157043879902</v>
      </c>
      <c r="AF165" s="580">
        <v>0</v>
      </c>
      <c r="AG165" s="576">
        <f t="shared" si="40"/>
        <v>0</v>
      </c>
      <c r="AH165" s="709">
        <f t="shared" si="41"/>
        <v>66564</v>
      </c>
      <c r="AI165" s="709">
        <f t="shared" si="42"/>
        <v>0</v>
      </c>
      <c r="AJ165" s="577">
        <f t="shared" si="43"/>
        <v>0</v>
      </c>
      <c r="AK165" s="582">
        <f t="shared" si="45"/>
        <v>3.3124285908423021E-2</v>
      </c>
      <c r="AL165" s="582"/>
      <c r="AM165" s="580" t="e">
        <f>VLOOKUP(F165,[7]PRM!E:R,14,FALSE)</f>
        <v>#N/A</v>
      </c>
      <c r="AN165" s="576" t="e">
        <f>T165-#REF!</f>
        <v>#REF!</v>
      </c>
      <c r="AO165" s="580"/>
    </row>
    <row r="166" spans="2:41" s="436" customFormat="1" ht="14" hidden="1">
      <c r="B166" s="800">
        <v>2605</v>
      </c>
      <c r="C166" s="1392" t="s">
        <v>14</v>
      </c>
      <c r="D166" s="1392"/>
      <c r="E166" s="1392"/>
      <c r="F166" s="1392" t="s">
        <v>196</v>
      </c>
      <c r="G166" s="566"/>
      <c r="H166" s="566"/>
      <c r="I166" s="566"/>
      <c r="J166" s="566">
        <v>5</v>
      </c>
      <c r="K166" s="566" t="s">
        <v>286</v>
      </c>
      <c r="L166" s="566">
        <v>24</v>
      </c>
      <c r="M166" s="576">
        <v>1899</v>
      </c>
      <c r="N166" s="576">
        <f t="shared" si="46"/>
        <v>113940</v>
      </c>
      <c r="O166" s="566">
        <v>24</v>
      </c>
      <c r="P166" s="577">
        <f>IFERROR(_xlfn.XLOOKUP(F166,'[4]By Model'!$A:$A,'[4]By Model'!$K:$K),"")</f>
        <v>4.6289109499786915E-2</v>
      </c>
      <c r="Q166" s="578">
        <f>IFERROR(_xlfn.XLOOKUP(F166,'[5]By Model'!$A:$A,'[5]By Model'!$B:$B),"")</f>
        <v>31</v>
      </c>
      <c r="R166" s="579">
        <f>IFERROR(_xlfn.XLOOKUP(F166,'[4]By Model'!$A:$A,'[4]By Model'!$I:$I),"")</f>
        <v>1640.1628253785714</v>
      </c>
      <c r="S166" s="578">
        <f>IFERROR(_xlfn.XLOOKUP(F166,[6]Sum!$G:$G,[6]Sum!$AM:$AM),"")</f>
        <v>14</v>
      </c>
      <c r="T166" s="576">
        <v>1299</v>
      </c>
      <c r="U166" s="576">
        <f t="shared" si="35"/>
        <v>77940</v>
      </c>
      <c r="V166" s="580">
        <v>6</v>
      </c>
      <c r="W166" s="576">
        <f t="shared" si="36"/>
        <v>3897</v>
      </c>
      <c r="X166" s="576">
        <f t="shared" si="37"/>
        <v>74043</v>
      </c>
      <c r="Y166" s="581">
        <f t="shared" si="38"/>
        <v>-0.35015797788309633</v>
      </c>
      <c r="Z166" s="577">
        <f t="shared" si="44"/>
        <v>-0.12878987944176123</v>
      </c>
      <c r="AA166" s="577">
        <v>0.17841391748149107</v>
      </c>
      <c r="AB166" s="582"/>
      <c r="AC166" s="576">
        <v>1299</v>
      </c>
      <c r="AD166" s="576">
        <f t="shared" si="39"/>
        <v>77940</v>
      </c>
      <c r="AE166" s="711"/>
      <c r="AF166" s="583">
        <v>6</v>
      </c>
      <c r="AG166" s="576">
        <f t="shared" si="40"/>
        <v>3897</v>
      </c>
      <c r="AH166" s="709">
        <f t="shared" si="41"/>
        <v>74043</v>
      </c>
      <c r="AI166" s="709">
        <f t="shared" si="42"/>
        <v>0</v>
      </c>
      <c r="AJ166" s="577">
        <f t="shared" si="43"/>
        <v>0</v>
      </c>
      <c r="AK166" s="582">
        <f t="shared" si="45"/>
        <v>-0.12878987944176123</v>
      </c>
      <c r="AL166" s="582"/>
      <c r="AM166" s="580" t="e">
        <f>VLOOKUP(F166,[7]PRM!E:R,14,FALSE)</f>
        <v>#N/A</v>
      </c>
      <c r="AN166" s="576" t="e">
        <f>T166-#REF!</f>
        <v>#REF!</v>
      </c>
      <c r="AO166" s="580"/>
    </row>
    <row r="167" spans="2:41" s="436" customFormat="1" ht="14" hidden="1">
      <c r="B167" s="801">
        <v>2605</v>
      </c>
      <c r="C167" s="1393" t="s">
        <v>14</v>
      </c>
      <c r="D167" s="1393"/>
      <c r="E167" s="1393"/>
      <c r="F167" s="1393" t="s">
        <v>196</v>
      </c>
      <c r="G167" s="566"/>
      <c r="H167" s="566"/>
      <c r="I167" s="566"/>
      <c r="J167" s="566">
        <v>6</v>
      </c>
      <c r="K167" s="566" t="s">
        <v>286</v>
      </c>
      <c r="L167" s="566">
        <v>24</v>
      </c>
      <c r="M167" s="576">
        <v>1899</v>
      </c>
      <c r="N167" s="576">
        <f t="shared" si="46"/>
        <v>136728</v>
      </c>
      <c r="O167" s="566">
        <v>24</v>
      </c>
      <c r="P167" s="577">
        <f>IFERROR(_xlfn.XLOOKUP(F167,'[4]By Model'!$A:$A,'[4]By Model'!$K:$K),"")</f>
        <v>4.6289109499786915E-2</v>
      </c>
      <c r="Q167" s="578">
        <f>IFERROR(_xlfn.XLOOKUP(F167,'[5]By Model'!$A:$A,'[5]By Model'!$B:$B),"")</f>
        <v>31</v>
      </c>
      <c r="R167" s="579">
        <f>IFERROR(_xlfn.XLOOKUP(F167,'[4]By Model'!$A:$A,'[4]By Model'!$I:$I),"")</f>
        <v>1640.1628253785714</v>
      </c>
      <c r="S167" s="578">
        <f>IFERROR(_xlfn.XLOOKUP(F167,[6]Sum!$G:$G,[6]Sum!$AM:$AM),"")</f>
        <v>14</v>
      </c>
      <c r="T167" s="576">
        <v>1099</v>
      </c>
      <c r="U167" s="576">
        <f t="shared" si="35"/>
        <v>79128</v>
      </c>
      <c r="V167" s="580">
        <v>6</v>
      </c>
      <c r="W167" s="576">
        <f t="shared" si="36"/>
        <v>3297</v>
      </c>
      <c r="X167" s="576">
        <f t="shared" si="37"/>
        <v>75831</v>
      </c>
      <c r="Y167" s="581">
        <f t="shared" si="38"/>
        <v>-0.44538792346849221</v>
      </c>
      <c r="Z167" s="577">
        <f t="shared" si="44"/>
        <v>-0.17640485223445918</v>
      </c>
      <c r="AA167" s="577">
        <v>0.17926517407599776</v>
      </c>
      <c r="AB167" s="582"/>
      <c r="AC167" s="576">
        <v>1099</v>
      </c>
      <c r="AD167" s="576">
        <f t="shared" si="39"/>
        <v>79128</v>
      </c>
      <c r="AE167" s="576"/>
      <c r="AF167" s="583">
        <v>6</v>
      </c>
      <c r="AG167" s="576">
        <f t="shared" si="40"/>
        <v>3297</v>
      </c>
      <c r="AH167" s="709">
        <f t="shared" si="41"/>
        <v>75831</v>
      </c>
      <c r="AI167" s="709">
        <f t="shared" si="42"/>
        <v>0</v>
      </c>
      <c r="AJ167" s="577">
        <f t="shared" si="43"/>
        <v>0</v>
      </c>
      <c r="AK167" s="582">
        <f t="shared" si="45"/>
        <v>-0.17640485223445918</v>
      </c>
      <c r="AL167" s="582"/>
      <c r="AM167" s="580" t="e">
        <f>VLOOKUP(F167,[7]PRM!E:R,14,FALSE)</f>
        <v>#N/A</v>
      </c>
      <c r="AN167" s="576" t="e">
        <f>T167-#REF!</f>
        <v>#REF!</v>
      </c>
      <c r="AO167" s="580"/>
    </row>
    <row r="168" spans="2:41" s="436" customFormat="1" ht="14" hidden="1">
      <c r="B168" s="799">
        <v>2605</v>
      </c>
      <c r="C168" s="1391" t="s">
        <v>14</v>
      </c>
      <c r="D168" s="1391"/>
      <c r="E168" s="1391"/>
      <c r="F168" s="1391" t="s">
        <v>15</v>
      </c>
      <c r="G168" s="566"/>
      <c r="H168" s="566"/>
      <c r="I168" s="566"/>
      <c r="J168" s="566">
        <v>3</v>
      </c>
      <c r="K168" s="566" t="s">
        <v>286</v>
      </c>
      <c r="L168" s="566">
        <v>24</v>
      </c>
      <c r="M168" s="576">
        <v>2099</v>
      </c>
      <c r="N168" s="576">
        <f t="shared" si="46"/>
        <v>75564</v>
      </c>
      <c r="O168" s="566">
        <v>24</v>
      </c>
      <c r="P168" s="577">
        <f>IFERROR(_xlfn.XLOOKUP(F168,'[4]By Model'!$A:$A,'[4]By Model'!$K:$K),"")</f>
        <v>0.1126722090966407</v>
      </c>
      <c r="Q168" s="578">
        <f>IFERROR(_xlfn.XLOOKUP(F168,'[5]By Model'!$A:$A,'[5]By Model'!$B:$B),"")</f>
        <v>77</v>
      </c>
      <c r="R168" s="579">
        <f>IFERROR(_xlfn.XLOOKUP(F168,'[4]By Model'!$A:$A,'[4]By Model'!$I:$I),"")</f>
        <v>1645.0599543230771</v>
      </c>
      <c r="S168" s="578" t="str">
        <f>IFERROR(_xlfn.XLOOKUP(F168,[6]Sum!$G:$G,[6]Sum!$AM:$AM),"")</f>
        <v/>
      </c>
      <c r="T168" s="576">
        <v>1849</v>
      </c>
      <c r="U168" s="576">
        <f t="shared" si="35"/>
        <v>66564</v>
      </c>
      <c r="V168" s="580">
        <v>0</v>
      </c>
      <c r="W168" s="576">
        <f t="shared" si="36"/>
        <v>0</v>
      </c>
      <c r="X168" s="576">
        <f t="shared" si="37"/>
        <v>66564</v>
      </c>
      <c r="Y168" s="581">
        <f t="shared" si="38"/>
        <v>-0.11910433539780851</v>
      </c>
      <c r="Z168" s="577">
        <f t="shared" si="44"/>
        <v>5.3120041397736448E-2</v>
      </c>
      <c r="AA168" s="577">
        <v>0.2482413780912465</v>
      </c>
      <c r="AB168" s="582"/>
      <c r="AC168" s="576">
        <v>1849</v>
      </c>
      <c r="AD168" s="576">
        <f t="shared" si="39"/>
        <v>66564</v>
      </c>
      <c r="AE168" s="581">
        <f>AD168/AD169</f>
        <v>0.92527105921601338</v>
      </c>
      <c r="AF168" s="580">
        <v>0</v>
      </c>
      <c r="AG168" s="576">
        <f t="shared" si="40"/>
        <v>0</v>
      </c>
      <c r="AH168" s="709">
        <f t="shared" si="41"/>
        <v>66564</v>
      </c>
      <c r="AI168" s="709">
        <f t="shared" si="42"/>
        <v>0</v>
      </c>
      <c r="AJ168" s="577">
        <f t="shared" si="43"/>
        <v>0</v>
      </c>
      <c r="AK168" s="582">
        <f t="shared" si="45"/>
        <v>5.3120041397736448E-2</v>
      </c>
      <c r="AL168" s="582"/>
      <c r="AM168" s="580" t="e">
        <f>VLOOKUP(F168,[7]PRM!E:R,14,FALSE)</f>
        <v>#N/A</v>
      </c>
      <c r="AN168" s="576" t="e">
        <f>T168-#REF!</f>
        <v>#REF!</v>
      </c>
      <c r="AO168" s="580"/>
    </row>
    <row r="169" spans="2:41" s="436" customFormat="1" ht="14" hidden="1">
      <c r="B169" s="800">
        <v>2605</v>
      </c>
      <c r="C169" s="1392" t="s">
        <v>14</v>
      </c>
      <c r="D169" s="1392"/>
      <c r="E169" s="1392"/>
      <c r="F169" s="1392" t="s">
        <v>15</v>
      </c>
      <c r="G169" s="566"/>
      <c r="H169" s="566"/>
      <c r="I169" s="566"/>
      <c r="J169" s="566">
        <v>5</v>
      </c>
      <c r="K169" s="566" t="s">
        <v>286</v>
      </c>
      <c r="L169" s="566">
        <v>24</v>
      </c>
      <c r="M169" s="576">
        <v>2099</v>
      </c>
      <c r="N169" s="576">
        <f t="shared" si="46"/>
        <v>125940</v>
      </c>
      <c r="O169" s="566">
        <v>24</v>
      </c>
      <c r="P169" s="577">
        <f>IFERROR(_xlfn.XLOOKUP(F169,'[4]By Model'!$A:$A,'[4]By Model'!$K:$K),"")</f>
        <v>0.1126722090966407</v>
      </c>
      <c r="Q169" s="578">
        <f>IFERROR(_xlfn.XLOOKUP(F169,'[5]By Model'!$A:$A,'[5]By Model'!$B:$B),"")</f>
        <v>77</v>
      </c>
      <c r="R169" s="579">
        <f>IFERROR(_xlfn.XLOOKUP(F169,'[4]By Model'!$A:$A,'[4]By Model'!$I:$I),"")</f>
        <v>1645.0599543230771</v>
      </c>
      <c r="S169" s="578" t="str">
        <f>IFERROR(_xlfn.XLOOKUP(F169,[6]Sum!$G:$G,[6]Sum!$AM:$AM),"")</f>
        <v/>
      </c>
      <c r="T169" s="576">
        <v>1199</v>
      </c>
      <c r="U169" s="576">
        <f t="shared" si="35"/>
        <v>71940</v>
      </c>
      <c r="V169" s="580">
        <v>6</v>
      </c>
      <c r="W169" s="576">
        <f t="shared" si="36"/>
        <v>3597</v>
      </c>
      <c r="X169" s="576">
        <f t="shared" si="37"/>
        <v>68343</v>
      </c>
      <c r="Y169" s="581">
        <f t="shared" si="38"/>
        <v>-0.45733682706050505</v>
      </c>
      <c r="Z169" s="577">
        <f t="shared" si="44"/>
        <v>-0.11599620443361182</v>
      </c>
      <c r="AA169" s="577">
        <v>0.2482413780912465</v>
      </c>
      <c r="AB169" s="582"/>
      <c r="AC169" s="576">
        <v>1199</v>
      </c>
      <c r="AD169" s="576">
        <f t="shared" si="39"/>
        <v>71940</v>
      </c>
      <c r="AE169" s="711"/>
      <c r="AF169" s="583">
        <v>6</v>
      </c>
      <c r="AG169" s="576">
        <f t="shared" si="40"/>
        <v>3597</v>
      </c>
      <c r="AH169" s="709">
        <f t="shared" si="41"/>
        <v>68343</v>
      </c>
      <c r="AI169" s="709">
        <f t="shared" si="42"/>
        <v>0</v>
      </c>
      <c r="AJ169" s="577">
        <f t="shared" si="43"/>
        <v>0</v>
      </c>
      <c r="AK169" s="582">
        <f t="shared" si="45"/>
        <v>-0.11599620443361182</v>
      </c>
      <c r="AL169" s="582"/>
      <c r="AM169" s="580" t="e">
        <f>VLOOKUP(F169,[7]PRM!E:R,14,FALSE)</f>
        <v>#N/A</v>
      </c>
      <c r="AN169" s="576" t="e">
        <f>T169-#REF!</f>
        <v>#REF!</v>
      </c>
      <c r="AO169" s="580"/>
    </row>
    <row r="170" spans="2:41" s="436" customFormat="1" ht="14" hidden="1">
      <c r="B170" s="801">
        <v>2605</v>
      </c>
      <c r="C170" s="1393" t="s">
        <v>14</v>
      </c>
      <c r="D170" s="1393"/>
      <c r="E170" s="1393"/>
      <c r="F170" s="1393" t="s">
        <v>15</v>
      </c>
      <c r="G170" s="566"/>
      <c r="H170" s="566"/>
      <c r="I170" s="566"/>
      <c r="J170" s="566">
        <v>6</v>
      </c>
      <c r="K170" s="566" t="s">
        <v>286</v>
      </c>
      <c r="L170" s="566">
        <v>24</v>
      </c>
      <c r="M170" s="576">
        <v>2099</v>
      </c>
      <c r="N170" s="576">
        <f t="shared" si="46"/>
        <v>151128</v>
      </c>
      <c r="O170" s="566">
        <v>24</v>
      </c>
      <c r="P170" s="577">
        <f>IFERROR(_xlfn.XLOOKUP(F170,'[4]By Model'!$A:$A,'[4]By Model'!$K:$K),"")</f>
        <v>0.1126722090966407</v>
      </c>
      <c r="Q170" s="578">
        <f>IFERROR(_xlfn.XLOOKUP(F170,'[5]By Model'!$A:$A,'[5]By Model'!$B:$B),"")</f>
        <v>77</v>
      </c>
      <c r="R170" s="579">
        <f>IFERROR(_xlfn.XLOOKUP(F170,'[4]By Model'!$A:$A,'[4]By Model'!$I:$I),"")</f>
        <v>1645.0599543230771</v>
      </c>
      <c r="S170" s="578" t="str">
        <f>IFERROR(_xlfn.XLOOKUP(F170,[6]Sum!$G:$G,[6]Sum!$AM:$AM),"")</f>
        <v/>
      </c>
      <c r="T170" s="576">
        <v>999</v>
      </c>
      <c r="U170" s="576">
        <f t="shared" si="35"/>
        <v>71928</v>
      </c>
      <c r="V170" s="580">
        <v>6</v>
      </c>
      <c r="W170" s="576">
        <f t="shared" si="36"/>
        <v>2997</v>
      </c>
      <c r="X170" s="576">
        <f t="shared" si="37"/>
        <v>68931</v>
      </c>
      <c r="Y170" s="581">
        <f t="shared" si="38"/>
        <v>-0.54388994759409237</v>
      </c>
      <c r="Z170" s="577">
        <f t="shared" si="44"/>
        <v>-0.15927276470040547</v>
      </c>
      <c r="AA170" s="577">
        <v>0.25542740320660573</v>
      </c>
      <c r="AB170" s="582"/>
      <c r="AC170" s="576">
        <v>999</v>
      </c>
      <c r="AD170" s="576">
        <f t="shared" si="39"/>
        <v>71928</v>
      </c>
      <c r="AE170" s="576"/>
      <c r="AF170" s="583">
        <v>6</v>
      </c>
      <c r="AG170" s="576">
        <f t="shared" si="40"/>
        <v>2997</v>
      </c>
      <c r="AH170" s="709">
        <f t="shared" si="41"/>
        <v>68931</v>
      </c>
      <c r="AI170" s="709">
        <f t="shared" si="42"/>
        <v>0</v>
      </c>
      <c r="AJ170" s="577">
        <f t="shared" si="43"/>
        <v>0</v>
      </c>
      <c r="AK170" s="582">
        <f t="shared" si="45"/>
        <v>-0.15927276470040547</v>
      </c>
      <c r="AL170" s="582"/>
      <c r="AM170" s="580" t="e">
        <f>VLOOKUP(F170,[7]PRM!E:R,14,FALSE)</f>
        <v>#N/A</v>
      </c>
      <c r="AN170" s="576" t="e">
        <f>T170-#REF!</f>
        <v>#REF!</v>
      </c>
      <c r="AO170" s="580"/>
    </row>
    <row r="171" spans="2:41" s="436" customFormat="1" ht="14" hidden="1">
      <c r="B171" s="799">
        <v>2605</v>
      </c>
      <c r="C171" s="1391" t="s">
        <v>14</v>
      </c>
      <c r="D171" s="1391"/>
      <c r="E171" s="1391"/>
      <c r="F171" s="1391" t="s">
        <v>16</v>
      </c>
      <c r="G171" s="566"/>
      <c r="H171" s="566"/>
      <c r="I171" s="566"/>
      <c r="J171" s="566">
        <v>3</v>
      </c>
      <c r="K171" s="566" t="s">
        <v>286</v>
      </c>
      <c r="L171" s="566">
        <v>24</v>
      </c>
      <c r="M171" s="576">
        <v>1599</v>
      </c>
      <c r="N171" s="576">
        <f t="shared" si="46"/>
        <v>57564</v>
      </c>
      <c r="O171" s="566">
        <v>24</v>
      </c>
      <c r="P171" s="577">
        <f>IFERROR(_xlfn.XLOOKUP(F171,'[4]By Model'!$A:$A,'[4]By Model'!$K:$K),"")</f>
        <v>0.13617308852931667</v>
      </c>
      <c r="Q171" s="578">
        <f>IFERROR(_xlfn.XLOOKUP(F171,'[5]By Model'!$A:$A,'[5]By Model'!$B:$B),"")</f>
        <v>14</v>
      </c>
      <c r="R171" s="579">
        <f>IFERROR(_xlfn.XLOOKUP(F171,'[4]By Model'!$A:$A,'[4]By Model'!$I:$I),"")</f>
        <v>1431.6089317312501</v>
      </c>
      <c r="S171" s="578" t="str">
        <f>IFERROR(_xlfn.XLOOKUP(F171,[6]Sum!$G:$G,[6]Sum!$AM:$AM),"")</f>
        <v/>
      </c>
      <c r="T171" s="576">
        <v>1399</v>
      </c>
      <c r="U171" s="576">
        <f t="shared" si="35"/>
        <v>50364</v>
      </c>
      <c r="V171" s="580">
        <v>0</v>
      </c>
      <c r="W171" s="576">
        <f t="shared" si="36"/>
        <v>0</v>
      </c>
      <c r="X171" s="576">
        <f t="shared" si="37"/>
        <v>50364</v>
      </c>
      <c r="Y171" s="581">
        <f t="shared" si="38"/>
        <v>-0.12507817385866171</v>
      </c>
      <c r="Z171" s="577">
        <f t="shared" si="44"/>
        <v>7.3634001599985816E-2</v>
      </c>
      <c r="AA171" s="577">
        <v>0.18738600674304301</v>
      </c>
      <c r="AB171" s="582"/>
      <c r="AC171" s="576">
        <v>1399</v>
      </c>
      <c r="AD171" s="576">
        <f t="shared" si="39"/>
        <v>50364</v>
      </c>
      <c r="AE171" s="581">
        <f>AD171/AD172</f>
        <v>0.84024024024024024</v>
      </c>
      <c r="AF171" s="580">
        <v>0</v>
      </c>
      <c r="AG171" s="576">
        <f t="shared" si="40"/>
        <v>0</v>
      </c>
      <c r="AH171" s="709">
        <f t="shared" si="41"/>
        <v>50364</v>
      </c>
      <c r="AI171" s="709">
        <f t="shared" si="42"/>
        <v>0</v>
      </c>
      <c r="AJ171" s="577">
        <f t="shared" si="43"/>
        <v>0</v>
      </c>
      <c r="AK171" s="582">
        <f t="shared" si="45"/>
        <v>7.3634001599985816E-2</v>
      </c>
      <c r="AL171" s="582" t="s">
        <v>471</v>
      </c>
      <c r="AM171" s="580" t="e">
        <f>VLOOKUP(F171,[7]PRM!E:R,14,FALSE)</f>
        <v>#N/A</v>
      </c>
      <c r="AN171" s="576" t="e">
        <f>T171-#REF!</f>
        <v>#REF!</v>
      </c>
      <c r="AO171" s="580"/>
    </row>
    <row r="172" spans="2:41" s="436" customFormat="1" ht="14" hidden="1">
      <c r="B172" s="800">
        <v>2605</v>
      </c>
      <c r="C172" s="1392" t="s">
        <v>14</v>
      </c>
      <c r="D172" s="1392"/>
      <c r="E172" s="1392"/>
      <c r="F172" s="1392" t="s">
        <v>16</v>
      </c>
      <c r="G172" s="566"/>
      <c r="H172" s="566"/>
      <c r="I172" s="566"/>
      <c r="J172" s="566">
        <v>5</v>
      </c>
      <c r="K172" s="566" t="s">
        <v>286</v>
      </c>
      <c r="L172" s="566">
        <v>24</v>
      </c>
      <c r="M172" s="576">
        <v>1599</v>
      </c>
      <c r="N172" s="576">
        <f t="shared" si="46"/>
        <v>95940</v>
      </c>
      <c r="O172" s="566">
        <v>24</v>
      </c>
      <c r="P172" s="577">
        <f>IFERROR(_xlfn.XLOOKUP(F172,'[4]By Model'!$A:$A,'[4]By Model'!$K:$K),"")</f>
        <v>0.13617308852931667</v>
      </c>
      <c r="Q172" s="578">
        <f>IFERROR(_xlfn.XLOOKUP(F172,'[5]By Model'!$A:$A,'[5]By Model'!$B:$B),"")</f>
        <v>14</v>
      </c>
      <c r="R172" s="579">
        <f>IFERROR(_xlfn.XLOOKUP(F172,'[4]By Model'!$A:$A,'[4]By Model'!$I:$I),"")</f>
        <v>1431.6089317312501</v>
      </c>
      <c r="S172" s="578" t="str">
        <f>IFERROR(_xlfn.XLOOKUP(F172,[6]Sum!$G:$G,[6]Sum!$AM:$AM),"")</f>
        <v/>
      </c>
      <c r="T172" s="576">
        <v>999</v>
      </c>
      <c r="U172" s="576">
        <f t="shared" si="35"/>
        <v>59940</v>
      </c>
      <c r="V172" s="580">
        <v>6</v>
      </c>
      <c r="W172" s="576">
        <f t="shared" si="36"/>
        <v>2997</v>
      </c>
      <c r="X172" s="576">
        <f t="shared" si="37"/>
        <v>56943</v>
      </c>
      <c r="Y172" s="581">
        <f t="shared" si="38"/>
        <v>-0.40647279549718573</v>
      </c>
      <c r="Z172" s="577">
        <f t="shared" si="44"/>
        <v>-6.7063309219276196E-2</v>
      </c>
      <c r="AA172" s="577">
        <v>0.18738600674304301</v>
      </c>
      <c r="AB172" s="582"/>
      <c r="AC172" s="576">
        <v>999</v>
      </c>
      <c r="AD172" s="576">
        <f t="shared" si="39"/>
        <v>59940</v>
      </c>
      <c r="AE172" s="711"/>
      <c r="AF172" s="580">
        <v>3</v>
      </c>
      <c r="AG172" s="576">
        <f t="shared" si="40"/>
        <v>1498.5</v>
      </c>
      <c r="AH172" s="709">
        <f t="shared" si="41"/>
        <v>58441.5</v>
      </c>
      <c r="AI172" s="709">
        <f t="shared" si="42"/>
        <v>1498.5</v>
      </c>
      <c r="AJ172" s="577">
        <f t="shared" si="43"/>
        <v>2.6315789473684209E-2</v>
      </c>
      <c r="AK172" s="582">
        <f t="shared" si="45"/>
        <v>-5.3905414482434091E-2</v>
      </c>
      <c r="AL172" s="582" t="s">
        <v>471</v>
      </c>
      <c r="AM172" s="580" t="e">
        <f>VLOOKUP(F172,[7]PRM!E:R,14,FALSE)</f>
        <v>#N/A</v>
      </c>
      <c r="AN172" s="576" t="e">
        <f>T172-#REF!</f>
        <v>#REF!</v>
      </c>
      <c r="AO172" s="580"/>
    </row>
    <row r="173" spans="2:41" s="436" customFormat="1" ht="14" hidden="1">
      <c r="B173" s="801">
        <v>2605</v>
      </c>
      <c r="C173" s="1393" t="s">
        <v>14</v>
      </c>
      <c r="D173" s="1393"/>
      <c r="E173" s="1393"/>
      <c r="F173" s="1393" t="s">
        <v>16</v>
      </c>
      <c r="G173" s="566"/>
      <c r="H173" s="566"/>
      <c r="I173" s="566"/>
      <c r="J173" s="566">
        <v>6</v>
      </c>
      <c r="K173" s="566" t="s">
        <v>286</v>
      </c>
      <c r="L173" s="566">
        <v>24</v>
      </c>
      <c r="M173" s="576">
        <v>1599</v>
      </c>
      <c r="N173" s="576">
        <f t="shared" si="46"/>
        <v>115128</v>
      </c>
      <c r="O173" s="566">
        <v>24</v>
      </c>
      <c r="P173" s="577">
        <f>IFERROR(_xlfn.XLOOKUP(F173,'[4]By Model'!$A:$A,'[4]By Model'!$K:$K),"")</f>
        <v>0.13617308852931667</v>
      </c>
      <c r="Q173" s="578">
        <f>IFERROR(_xlfn.XLOOKUP(F173,'[5]By Model'!$A:$A,'[5]By Model'!$B:$B),"")</f>
        <v>14</v>
      </c>
      <c r="R173" s="579">
        <f>IFERROR(_xlfn.XLOOKUP(F173,'[4]By Model'!$A:$A,'[4]By Model'!$I:$I),"")</f>
        <v>1431.6089317312501</v>
      </c>
      <c r="S173" s="578" t="str">
        <f>IFERROR(_xlfn.XLOOKUP(F173,[6]Sum!$G:$G,[6]Sum!$AM:$AM),"")</f>
        <v/>
      </c>
      <c r="T173" s="576">
        <v>849</v>
      </c>
      <c r="U173" s="576">
        <f t="shared" si="35"/>
        <v>61128</v>
      </c>
      <c r="V173" s="580">
        <v>6</v>
      </c>
      <c r="W173" s="576">
        <f t="shared" si="36"/>
        <v>2547</v>
      </c>
      <c r="X173" s="576">
        <f t="shared" si="37"/>
        <v>58581</v>
      </c>
      <c r="Y173" s="581">
        <f t="shared" si="38"/>
        <v>-0.49116635397123198</v>
      </c>
      <c r="Z173" s="577">
        <f t="shared" si="44"/>
        <v>-0.10941008845629932</v>
      </c>
      <c r="AA173" s="577">
        <v>0.20178187910867823</v>
      </c>
      <c r="AB173" s="582"/>
      <c r="AC173" s="576">
        <v>849</v>
      </c>
      <c r="AD173" s="576">
        <f t="shared" si="39"/>
        <v>61128</v>
      </c>
      <c r="AE173" s="576"/>
      <c r="AF173" s="580">
        <v>3</v>
      </c>
      <c r="AG173" s="576">
        <f t="shared" si="40"/>
        <v>1273.5</v>
      </c>
      <c r="AH173" s="709">
        <f t="shared" si="41"/>
        <v>59854.5</v>
      </c>
      <c r="AI173" s="709">
        <f t="shared" si="42"/>
        <v>1273.5</v>
      </c>
      <c r="AJ173" s="577">
        <f t="shared" si="43"/>
        <v>2.1739130434782608E-2</v>
      </c>
      <c r="AK173" s="582">
        <f t="shared" si="45"/>
        <v>-9.8540523238908023E-2</v>
      </c>
      <c r="AL173" s="582" t="s">
        <v>471</v>
      </c>
      <c r="AM173" s="580" t="e">
        <f>VLOOKUP(F173,[7]PRM!E:R,14,FALSE)</f>
        <v>#N/A</v>
      </c>
      <c r="AN173" s="576" t="e">
        <f>T173-#REF!</f>
        <v>#REF!</v>
      </c>
      <c r="AO173" s="580"/>
    </row>
    <row r="174" spans="2:41" s="436" customFormat="1" ht="14" hidden="1">
      <c r="B174" s="799">
        <v>2605</v>
      </c>
      <c r="C174" s="1391" t="s">
        <v>14</v>
      </c>
      <c r="D174" s="1391"/>
      <c r="E174" s="1391"/>
      <c r="F174" s="1391" t="s">
        <v>378</v>
      </c>
      <c r="G174" s="566" t="s">
        <v>101</v>
      </c>
      <c r="H174" s="566"/>
      <c r="I174" s="566"/>
      <c r="J174" s="566">
        <v>3</v>
      </c>
      <c r="K174" s="566" t="s">
        <v>286</v>
      </c>
      <c r="L174" s="566">
        <v>24</v>
      </c>
      <c r="M174" s="576">
        <v>1699</v>
      </c>
      <c r="N174" s="576">
        <f t="shared" si="46"/>
        <v>61164</v>
      </c>
      <c r="O174" s="566">
        <v>24</v>
      </c>
      <c r="P174" s="577">
        <f>IFERROR(_xlfn.XLOOKUP(G174,'[4]By Model'!$A:$A,'[4]By Model'!$K:$K),"")</f>
        <v>-4.3082975474612401E-2</v>
      </c>
      <c r="Q174" s="578" t="str">
        <f>IFERROR(_xlfn.XLOOKUP(F174,'[5]By Model'!$A:$A,'[5]By Model'!$B:$B),"")</f>
        <v/>
      </c>
      <c r="R174" s="579">
        <f>IFERROR(_xlfn.XLOOKUP(G174,'[4]By Model'!$A:$A,'[4]By Model'!$I:$I),"")</f>
        <v>1142.2047531842104</v>
      </c>
      <c r="S174" s="578" t="str">
        <f>IFERROR(_xlfn.XLOOKUP(F174,[6]Sum!$G:$G,[6]Sum!$AM:$AM),"")</f>
        <v/>
      </c>
      <c r="T174" s="576">
        <v>1499</v>
      </c>
      <c r="U174" s="576">
        <f t="shared" si="35"/>
        <v>53964</v>
      </c>
      <c r="V174" s="580">
        <v>0</v>
      </c>
      <c r="W174" s="576">
        <f t="shared" si="36"/>
        <v>0</v>
      </c>
      <c r="X174" s="576">
        <f t="shared" si="37"/>
        <v>53964</v>
      </c>
      <c r="Y174" s="581">
        <f t="shared" si="38"/>
        <v>-0.11771630370806352</v>
      </c>
      <c r="Z174" s="577">
        <f t="shared" si="44"/>
        <v>-0.10194112732864416</v>
      </c>
      <c r="AA174" s="577">
        <v>0.18477592157503117</v>
      </c>
      <c r="AB174" s="582" t="s">
        <v>242</v>
      </c>
      <c r="AC174" s="576">
        <v>1499</v>
      </c>
      <c r="AD174" s="576">
        <f t="shared" si="39"/>
        <v>53964</v>
      </c>
      <c r="AE174" s="581">
        <f>AD174/AD175</f>
        <v>0.94773445732349837</v>
      </c>
      <c r="AF174" s="580">
        <v>0</v>
      </c>
      <c r="AG174" s="576">
        <f t="shared" si="40"/>
        <v>0</v>
      </c>
      <c r="AH174" s="709">
        <f t="shared" si="41"/>
        <v>53964</v>
      </c>
      <c r="AI174" s="709">
        <f t="shared" si="42"/>
        <v>0</v>
      </c>
      <c r="AJ174" s="577">
        <f t="shared" si="43"/>
        <v>0</v>
      </c>
      <c r="AK174" s="582">
        <f t="shared" si="45"/>
        <v>-0.10194112732864416</v>
      </c>
      <c r="AL174" s="582"/>
      <c r="AM174" s="580" t="e">
        <f>VLOOKUP(F174,[7]PRM!E:R,14,FALSE)</f>
        <v>#N/A</v>
      </c>
      <c r="AN174" s="576" t="e">
        <f>T174-#REF!</f>
        <v>#REF!</v>
      </c>
      <c r="AO174" s="580"/>
    </row>
    <row r="175" spans="2:41" s="436" customFormat="1" ht="14" hidden="1">
      <c r="B175" s="800">
        <v>2605</v>
      </c>
      <c r="C175" s="1392" t="s">
        <v>14</v>
      </c>
      <c r="D175" s="1392"/>
      <c r="E175" s="1392"/>
      <c r="F175" s="1392" t="s">
        <v>378</v>
      </c>
      <c r="G175" s="566" t="s">
        <v>101</v>
      </c>
      <c r="H175" s="566"/>
      <c r="I175" s="566"/>
      <c r="J175" s="566">
        <v>5</v>
      </c>
      <c r="K175" s="566" t="s">
        <v>286</v>
      </c>
      <c r="L175" s="566">
        <v>24</v>
      </c>
      <c r="M175" s="576">
        <v>1699</v>
      </c>
      <c r="N175" s="576">
        <f t="shared" si="46"/>
        <v>101940</v>
      </c>
      <c r="O175" s="566">
        <v>24</v>
      </c>
      <c r="P175" s="577">
        <f>IFERROR(_xlfn.XLOOKUP(G175,'[4]By Model'!$A:$A,'[4]By Model'!$K:$K),"")</f>
        <v>-4.3082975474612401E-2</v>
      </c>
      <c r="Q175" s="578" t="str">
        <f>IFERROR(_xlfn.XLOOKUP(F175,'[5]By Model'!$A:$A,'[5]By Model'!$B:$B),"")</f>
        <v/>
      </c>
      <c r="R175" s="579">
        <f>IFERROR(_xlfn.XLOOKUP(G175,'[4]By Model'!$A:$A,'[4]By Model'!$I:$I),"")</f>
        <v>1142.2047531842104</v>
      </c>
      <c r="S175" s="578" t="str">
        <f>IFERROR(_xlfn.XLOOKUP(F175,[6]Sum!$G:$G,[6]Sum!$AM:$AM),"")</f>
        <v/>
      </c>
      <c r="T175" s="576">
        <v>949</v>
      </c>
      <c r="U175" s="576">
        <f t="shared" si="35"/>
        <v>56940</v>
      </c>
      <c r="V175" s="580">
        <v>12</v>
      </c>
      <c r="W175" s="576">
        <f t="shared" si="36"/>
        <v>5694</v>
      </c>
      <c r="X175" s="576">
        <f t="shared" si="37"/>
        <v>51246</v>
      </c>
      <c r="Y175" s="581">
        <f t="shared" si="38"/>
        <v>-0.49729252501471455</v>
      </c>
      <c r="Z175" s="577">
        <f t="shared" si="44"/>
        <v>-0.2917292379819697</v>
      </c>
      <c r="AA175" s="577">
        <v>0.18477592157503117</v>
      </c>
      <c r="AB175" s="582" t="s">
        <v>242</v>
      </c>
      <c r="AC175" s="576">
        <v>949</v>
      </c>
      <c r="AD175" s="576">
        <f t="shared" si="39"/>
        <v>56940</v>
      </c>
      <c r="AE175" s="711"/>
      <c r="AF175" s="580">
        <v>6</v>
      </c>
      <c r="AG175" s="576">
        <f t="shared" si="40"/>
        <v>2847</v>
      </c>
      <c r="AH175" s="709">
        <f t="shared" si="41"/>
        <v>54093</v>
      </c>
      <c r="AI175" s="709">
        <f t="shared" si="42"/>
        <v>2847</v>
      </c>
      <c r="AJ175" s="577">
        <f t="shared" si="43"/>
        <v>5.5555555555555552E-2</v>
      </c>
      <c r="AK175" s="582">
        <f t="shared" si="45"/>
        <v>-0.26395146020419191</v>
      </c>
      <c r="AL175" s="582"/>
      <c r="AM175" s="580" t="e">
        <f>VLOOKUP(F175,[7]PRM!E:R,14,FALSE)</f>
        <v>#N/A</v>
      </c>
      <c r="AN175" s="576" t="e">
        <f>T175-#REF!</f>
        <v>#REF!</v>
      </c>
      <c r="AO175" s="580"/>
    </row>
    <row r="176" spans="2:41" s="436" customFormat="1" ht="14" hidden="1">
      <c r="B176" s="801">
        <v>2605</v>
      </c>
      <c r="C176" s="1393" t="s">
        <v>14</v>
      </c>
      <c r="D176" s="1393"/>
      <c r="E176" s="1393"/>
      <c r="F176" s="1393" t="s">
        <v>378</v>
      </c>
      <c r="G176" s="566" t="s">
        <v>101</v>
      </c>
      <c r="H176" s="566"/>
      <c r="I176" s="566"/>
      <c r="J176" s="566">
        <v>6</v>
      </c>
      <c r="K176" s="566" t="s">
        <v>286</v>
      </c>
      <c r="L176" s="566">
        <v>24</v>
      </c>
      <c r="M176" s="576">
        <v>1699</v>
      </c>
      <c r="N176" s="576">
        <f t="shared" si="46"/>
        <v>122328</v>
      </c>
      <c r="O176" s="566">
        <v>24</v>
      </c>
      <c r="P176" s="577">
        <f>IFERROR(_xlfn.XLOOKUP(G176,'[4]By Model'!$A:$A,'[4]By Model'!$K:$K),"")</f>
        <v>-4.3082975474612401E-2</v>
      </c>
      <c r="Q176" s="578" t="str">
        <f>IFERROR(_xlfn.XLOOKUP(F176,'[5]By Model'!$A:$A,'[5]By Model'!$B:$B),"")</f>
        <v/>
      </c>
      <c r="R176" s="579">
        <f>IFERROR(_xlfn.XLOOKUP(G176,'[4]By Model'!$A:$A,'[4]By Model'!$I:$I),"")</f>
        <v>1142.2047531842104</v>
      </c>
      <c r="S176" s="578" t="str">
        <f>IFERROR(_xlfn.XLOOKUP(F176,[6]Sum!$G:$G,[6]Sum!$AM:$AM),"")</f>
        <v/>
      </c>
      <c r="T176" s="576">
        <v>899</v>
      </c>
      <c r="U176" s="576">
        <f t="shared" si="35"/>
        <v>64728</v>
      </c>
      <c r="V176" s="580">
        <v>12</v>
      </c>
      <c r="W176" s="576">
        <f t="shared" si="36"/>
        <v>5394</v>
      </c>
      <c r="X176" s="576">
        <f t="shared" si="37"/>
        <v>59334</v>
      </c>
      <c r="Y176" s="581">
        <f t="shared" si="38"/>
        <v>-0.51495978026289979</v>
      </c>
      <c r="Z176" s="577">
        <f t="shared" si="44"/>
        <v>-0.30056286560606227</v>
      </c>
      <c r="AA176" s="577">
        <v>0.18477592157503117</v>
      </c>
      <c r="AB176" s="582" t="s">
        <v>242</v>
      </c>
      <c r="AC176" s="576">
        <v>899</v>
      </c>
      <c r="AD176" s="576">
        <f t="shared" si="39"/>
        <v>64728</v>
      </c>
      <c r="AE176" s="576"/>
      <c r="AF176" s="580">
        <v>6</v>
      </c>
      <c r="AG176" s="576">
        <f t="shared" si="40"/>
        <v>2697</v>
      </c>
      <c r="AH176" s="709">
        <f t="shared" si="41"/>
        <v>62031</v>
      </c>
      <c r="AI176" s="709">
        <f t="shared" si="42"/>
        <v>2697</v>
      </c>
      <c r="AJ176" s="577">
        <f t="shared" si="43"/>
        <v>4.5454545454545456E-2</v>
      </c>
      <c r="AK176" s="582">
        <f t="shared" si="45"/>
        <v>-0.27783559287878956</v>
      </c>
      <c r="AL176" s="582"/>
      <c r="AM176" s="580" t="e">
        <f>VLOOKUP(F176,[7]PRM!E:R,14,FALSE)</f>
        <v>#N/A</v>
      </c>
      <c r="AN176" s="576" t="e">
        <f>T176-#REF!</f>
        <v>#REF!</v>
      </c>
      <c r="AO176" s="580"/>
    </row>
    <row r="177" spans="2:41" s="436" customFormat="1" ht="14" hidden="1">
      <c r="B177" s="799">
        <v>2605</v>
      </c>
      <c r="C177" s="1391" t="s">
        <v>14</v>
      </c>
      <c r="D177" s="1391"/>
      <c r="E177" s="1391"/>
      <c r="F177" s="1391" t="s">
        <v>236</v>
      </c>
      <c r="G177" s="566"/>
      <c r="H177" s="566"/>
      <c r="I177" s="566"/>
      <c r="J177" s="566">
        <v>3</v>
      </c>
      <c r="K177" s="566" t="s">
        <v>286</v>
      </c>
      <c r="L177" s="566">
        <v>24</v>
      </c>
      <c r="M177" s="576">
        <v>1449</v>
      </c>
      <c r="N177" s="576">
        <f t="shared" si="46"/>
        <v>52164</v>
      </c>
      <c r="O177" s="566">
        <v>24</v>
      </c>
      <c r="P177" s="577">
        <f>IFERROR(_xlfn.XLOOKUP(F177,'[4]By Model'!$A:$A,'[4]By Model'!$K:$K),"")</f>
        <v>-1.589861011374611E-2</v>
      </c>
      <c r="Q177" s="578">
        <f>IFERROR(_xlfn.XLOOKUP(F177,'[5]By Model'!$A:$A,'[5]By Model'!$B:$B),"")</f>
        <v>2</v>
      </c>
      <c r="R177" s="579">
        <f>IFERROR(_xlfn.XLOOKUP(F177,'[4]By Model'!$A:$A,'[4]By Model'!$I:$I),"")</f>
        <v>959.14757648000011</v>
      </c>
      <c r="S177" s="578">
        <f>IFERROR(_xlfn.XLOOKUP(F177,[6]Sum!$G:$G,[6]Sum!$AM:$AM),"")</f>
        <v>79</v>
      </c>
      <c r="T177" s="576">
        <v>899</v>
      </c>
      <c r="U177" s="576">
        <f t="shared" si="35"/>
        <v>32364</v>
      </c>
      <c r="V177" s="580">
        <v>0</v>
      </c>
      <c r="W177" s="576">
        <f t="shared" si="36"/>
        <v>0</v>
      </c>
      <c r="X177" s="576">
        <f t="shared" si="37"/>
        <v>32364</v>
      </c>
      <c r="Y177" s="581">
        <f t="shared" si="38"/>
        <v>-0.37957211870255347</v>
      </c>
      <c r="Z177" s="577">
        <f t="shared" si="44"/>
        <v>-0.20568466946502284</v>
      </c>
      <c r="AA177" s="577"/>
      <c r="AB177" s="582"/>
      <c r="AC177" s="576">
        <v>899</v>
      </c>
      <c r="AD177" s="576">
        <f t="shared" si="39"/>
        <v>32364</v>
      </c>
      <c r="AE177" s="581">
        <f>AD177/AD178</f>
        <v>0.6353356890459364</v>
      </c>
      <c r="AF177" s="580">
        <v>0</v>
      </c>
      <c r="AG177" s="576">
        <f t="shared" si="40"/>
        <v>0</v>
      </c>
      <c r="AH177" s="709">
        <f t="shared" si="41"/>
        <v>32364</v>
      </c>
      <c r="AI177" s="709">
        <f t="shared" si="42"/>
        <v>0</v>
      </c>
      <c r="AJ177" s="577">
        <f t="shared" si="43"/>
        <v>0</v>
      </c>
      <c r="AK177" s="582">
        <f t="shared" si="45"/>
        <v>-0.20568466946502284</v>
      </c>
      <c r="AL177" s="582"/>
      <c r="AM177" s="580"/>
      <c r="AN177" s="576"/>
      <c r="AO177" s="580"/>
    </row>
    <row r="178" spans="2:41" s="436" customFormat="1" ht="14" hidden="1">
      <c r="B178" s="800">
        <v>2605</v>
      </c>
      <c r="C178" s="1392" t="s">
        <v>14</v>
      </c>
      <c r="D178" s="1392"/>
      <c r="E178" s="1392"/>
      <c r="F178" s="1392" t="s">
        <v>236</v>
      </c>
      <c r="G178" s="566"/>
      <c r="H178" s="566"/>
      <c r="I178" s="566"/>
      <c r="J178" s="566">
        <v>5</v>
      </c>
      <c r="K178" s="566" t="s">
        <v>286</v>
      </c>
      <c r="L178" s="566">
        <v>24</v>
      </c>
      <c r="M178" s="576">
        <v>1449</v>
      </c>
      <c r="N178" s="576">
        <f t="shared" si="46"/>
        <v>86940</v>
      </c>
      <c r="O178" s="566">
        <v>24</v>
      </c>
      <c r="P178" s="577">
        <f>IFERROR(_xlfn.XLOOKUP(F178,'[4]By Model'!$A:$A,'[4]By Model'!$K:$K),"")</f>
        <v>-1.589861011374611E-2</v>
      </c>
      <c r="Q178" s="578">
        <f>IFERROR(_xlfn.XLOOKUP(F178,'[5]By Model'!$A:$A,'[5]By Model'!$B:$B),"")</f>
        <v>2</v>
      </c>
      <c r="R178" s="579">
        <f>IFERROR(_xlfn.XLOOKUP(F178,'[4]By Model'!$A:$A,'[4]By Model'!$I:$I),"")</f>
        <v>959.14757648000011</v>
      </c>
      <c r="S178" s="578">
        <f>IFERROR(_xlfn.XLOOKUP(F178,[6]Sum!$G:$G,[6]Sum!$AM:$AM),"")</f>
        <v>79</v>
      </c>
      <c r="T178" s="576">
        <v>849</v>
      </c>
      <c r="U178" s="576">
        <f t="shared" si="35"/>
        <v>50940</v>
      </c>
      <c r="V178" s="580">
        <v>18</v>
      </c>
      <c r="W178" s="576">
        <f t="shared" si="36"/>
        <v>7641</v>
      </c>
      <c r="X178" s="576">
        <f t="shared" si="37"/>
        <v>43299</v>
      </c>
      <c r="Y178" s="581">
        <f t="shared" si="38"/>
        <v>-0.50196687370600412</v>
      </c>
      <c r="Z178" s="577">
        <f t="shared" si="44"/>
        <v>-0.26688204696674817</v>
      </c>
      <c r="AA178" s="577"/>
      <c r="AB178" s="582"/>
      <c r="AC178" s="576">
        <v>849</v>
      </c>
      <c r="AD178" s="576">
        <f t="shared" si="39"/>
        <v>50940</v>
      </c>
      <c r="AE178" s="711"/>
      <c r="AF178" s="580">
        <v>18</v>
      </c>
      <c r="AG178" s="576">
        <f t="shared" si="40"/>
        <v>7641</v>
      </c>
      <c r="AH178" s="709">
        <f t="shared" si="41"/>
        <v>43299</v>
      </c>
      <c r="AI178" s="709">
        <f t="shared" si="42"/>
        <v>0</v>
      </c>
      <c r="AJ178" s="577">
        <f t="shared" si="43"/>
        <v>0</v>
      </c>
      <c r="AK178" s="582">
        <f t="shared" si="45"/>
        <v>-0.26688204696674817</v>
      </c>
      <c r="AL178" s="582"/>
      <c r="AM178" s="580"/>
      <c r="AN178" s="576"/>
      <c r="AO178" s="580"/>
    </row>
    <row r="179" spans="2:41" s="436" customFormat="1" ht="14" hidden="1">
      <c r="B179" s="801">
        <v>2605</v>
      </c>
      <c r="C179" s="1393" t="s">
        <v>14</v>
      </c>
      <c r="D179" s="1393"/>
      <c r="E179" s="1393"/>
      <c r="F179" s="1393" t="s">
        <v>236</v>
      </c>
      <c r="G179" s="566"/>
      <c r="H179" s="566"/>
      <c r="I179" s="566"/>
      <c r="J179" s="566">
        <v>6</v>
      </c>
      <c r="K179" s="566" t="s">
        <v>286</v>
      </c>
      <c r="L179" s="566">
        <v>24</v>
      </c>
      <c r="M179" s="576">
        <v>1449</v>
      </c>
      <c r="N179" s="576">
        <f t="shared" si="46"/>
        <v>104328</v>
      </c>
      <c r="O179" s="566">
        <v>24</v>
      </c>
      <c r="P179" s="577">
        <f>IFERROR(_xlfn.XLOOKUP(F179,'[4]By Model'!$A:$A,'[4]By Model'!$K:$K),"")</f>
        <v>-1.589861011374611E-2</v>
      </c>
      <c r="Q179" s="578">
        <f>IFERROR(_xlfn.XLOOKUP(F179,'[5]By Model'!$A:$A,'[5]By Model'!$B:$B),"")</f>
        <v>2</v>
      </c>
      <c r="R179" s="579">
        <f>IFERROR(_xlfn.XLOOKUP(F179,'[4]By Model'!$A:$A,'[4]By Model'!$I:$I),"")</f>
        <v>959.14757648000011</v>
      </c>
      <c r="S179" s="578">
        <f>IFERROR(_xlfn.XLOOKUP(F179,[6]Sum!$G:$G,[6]Sum!$AM:$AM),"")</f>
        <v>79</v>
      </c>
      <c r="T179" s="576">
        <v>699</v>
      </c>
      <c r="U179" s="576">
        <f t="shared" si="35"/>
        <v>50328</v>
      </c>
      <c r="V179" s="580">
        <v>18</v>
      </c>
      <c r="W179" s="576">
        <f t="shared" si="36"/>
        <v>6291</v>
      </c>
      <c r="X179" s="576">
        <f t="shared" si="37"/>
        <v>44037</v>
      </c>
      <c r="Y179" s="581">
        <f t="shared" si="38"/>
        <v>-0.57789855072463769</v>
      </c>
      <c r="Z179" s="577">
        <f t="shared" si="44"/>
        <v>-0.30484788547606495</v>
      </c>
      <c r="AA179" s="577"/>
      <c r="AB179" s="582"/>
      <c r="AC179" s="576">
        <v>699</v>
      </c>
      <c r="AD179" s="576">
        <f t="shared" si="39"/>
        <v>50328</v>
      </c>
      <c r="AE179" s="576"/>
      <c r="AF179" s="583">
        <v>18</v>
      </c>
      <c r="AG179" s="576">
        <f t="shared" si="40"/>
        <v>6291</v>
      </c>
      <c r="AH179" s="709">
        <f t="shared" si="41"/>
        <v>44037</v>
      </c>
      <c r="AI179" s="709">
        <f t="shared" si="42"/>
        <v>0</v>
      </c>
      <c r="AJ179" s="577">
        <f t="shared" si="43"/>
        <v>0</v>
      </c>
      <c r="AK179" s="582">
        <f t="shared" si="45"/>
        <v>-0.30484788547606495</v>
      </c>
      <c r="AL179" s="582"/>
      <c r="AM179" s="580"/>
      <c r="AN179" s="576"/>
      <c r="AO179" s="580"/>
    </row>
    <row r="180" spans="2:41" s="436" customFormat="1" ht="14" hidden="1">
      <c r="B180" s="799">
        <v>2605</v>
      </c>
      <c r="C180" s="1391" t="s">
        <v>14</v>
      </c>
      <c r="D180" s="1391"/>
      <c r="E180" s="1391"/>
      <c r="F180" s="1391" t="s">
        <v>47</v>
      </c>
      <c r="G180" s="566"/>
      <c r="H180" s="566"/>
      <c r="I180" s="566"/>
      <c r="J180" s="566">
        <v>3</v>
      </c>
      <c r="K180" s="566" t="s">
        <v>286</v>
      </c>
      <c r="L180" s="566">
        <v>24</v>
      </c>
      <c r="M180" s="576">
        <v>1399</v>
      </c>
      <c r="N180" s="576">
        <f t="shared" si="46"/>
        <v>50364</v>
      </c>
      <c r="O180" s="566">
        <v>24</v>
      </c>
      <c r="P180" s="577">
        <f>IFERROR(_xlfn.XLOOKUP(F180,'[4]By Model'!$A:$A,'[4]By Model'!$K:$K),"")</f>
        <v>0.1166322563665225</v>
      </c>
      <c r="Q180" s="578">
        <f>IFERROR(_xlfn.XLOOKUP(F180,'[5]By Model'!$A:$A,'[5]By Model'!$B:$B),"")</f>
        <v>13</v>
      </c>
      <c r="R180" s="579">
        <f>IFERROR(_xlfn.XLOOKUP(F180,'[4]By Model'!$A:$A,'[4]By Model'!$I:$I),"")</f>
        <v>1245.2471658380953</v>
      </c>
      <c r="S180" s="578">
        <f>IFERROR(_xlfn.XLOOKUP(F180,[6]Sum!$G:$G,[6]Sum!$AM:$AM),"")</f>
        <v>16</v>
      </c>
      <c r="T180" s="576">
        <v>1299</v>
      </c>
      <c r="U180" s="576">
        <f t="shared" si="35"/>
        <v>46764</v>
      </c>
      <c r="V180" s="580">
        <v>0</v>
      </c>
      <c r="W180" s="576">
        <f t="shared" si="36"/>
        <v>0</v>
      </c>
      <c r="X180" s="576">
        <f t="shared" si="37"/>
        <v>46764</v>
      </c>
      <c r="Y180" s="581">
        <f t="shared" si="38"/>
        <v>-7.1479628305932796E-2</v>
      </c>
      <c r="Z180" s="577">
        <f t="shared" si="44"/>
        <v>8.0892442213556098E-2</v>
      </c>
      <c r="AA180" s="577">
        <v>0.14146420948797483</v>
      </c>
      <c r="AB180" s="582"/>
      <c r="AC180" s="576">
        <v>1299</v>
      </c>
      <c r="AD180" s="576">
        <f t="shared" si="39"/>
        <v>46764</v>
      </c>
      <c r="AE180" s="581">
        <f>AD180/AD181</f>
        <v>0.86696329254727478</v>
      </c>
      <c r="AF180" s="580">
        <v>0</v>
      </c>
      <c r="AG180" s="576">
        <f t="shared" si="40"/>
        <v>0</v>
      </c>
      <c r="AH180" s="709">
        <f t="shared" si="41"/>
        <v>46764</v>
      </c>
      <c r="AI180" s="709">
        <f t="shared" si="42"/>
        <v>0</v>
      </c>
      <c r="AJ180" s="577">
        <f t="shared" si="43"/>
        <v>0</v>
      </c>
      <c r="AK180" s="582">
        <f t="shared" si="45"/>
        <v>8.0892442213556098E-2</v>
      </c>
      <c r="AL180" s="582"/>
      <c r="AM180" s="580" t="e">
        <f>VLOOKUP(F180,[7]PRM!E:R,14,FALSE)</f>
        <v>#N/A</v>
      </c>
      <c r="AN180" s="576" t="e">
        <f>T180-#REF!</f>
        <v>#REF!</v>
      </c>
      <c r="AO180" s="580"/>
    </row>
    <row r="181" spans="2:41" s="436" customFormat="1" ht="14" hidden="1">
      <c r="B181" s="800">
        <v>2605</v>
      </c>
      <c r="C181" s="1392" t="s">
        <v>14</v>
      </c>
      <c r="D181" s="1392"/>
      <c r="E181" s="1392"/>
      <c r="F181" s="1392" t="s">
        <v>47</v>
      </c>
      <c r="G181" s="566"/>
      <c r="H181" s="566"/>
      <c r="I181" s="566"/>
      <c r="J181" s="566">
        <v>5</v>
      </c>
      <c r="K181" s="566" t="s">
        <v>286</v>
      </c>
      <c r="L181" s="566">
        <v>24</v>
      </c>
      <c r="M181" s="576">
        <v>1399</v>
      </c>
      <c r="N181" s="576">
        <f t="shared" si="46"/>
        <v>83940</v>
      </c>
      <c r="O181" s="566">
        <v>24</v>
      </c>
      <c r="P181" s="577">
        <f>IFERROR(_xlfn.XLOOKUP(F181,'[4]By Model'!$A:$A,'[4]By Model'!$K:$K),"")</f>
        <v>0.1166322563665225</v>
      </c>
      <c r="Q181" s="578">
        <f>IFERROR(_xlfn.XLOOKUP(F181,'[5]By Model'!$A:$A,'[5]By Model'!$B:$B),"")</f>
        <v>13</v>
      </c>
      <c r="R181" s="579">
        <f>IFERROR(_xlfn.XLOOKUP(F181,'[4]By Model'!$A:$A,'[4]By Model'!$I:$I),"")</f>
        <v>1245.2471658380953</v>
      </c>
      <c r="S181" s="578">
        <f>IFERROR(_xlfn.XLOOKUP(F181,[6]Sum!$G:$G,[6]Sum!$AM:$AM),"")</f>
        <v>16</v>
      </c>
      <c r="T181" s="576">
        <v>899</v>
      </c>
      <c r="U181" s="576">
        <f t="shared" si="35"/>
        <v>53940</v>
      </c>
      <c r="V181" s="580">
        <v>12</v>
      </c>
      <c r="W181" s="576">
        <f t="shared" si="36"/>
        <v>5394</v>
      </c>
      <c r="X181" s="576">
        <f t="shared" si="37"/>
        <v>48546</v>
      </c>
      <c r="Y181" s="581">
        <f t="shared" si="38"/>
        <v>-0.42165832737669762</v>
      </c>
      <c r="Z181" s="577">
        <f t="shared" si="44"/>
        <v>-9.4196907321826312E-2</v>
      </c>
      <c r="AA181" s="577">
        <v>0.14146420948797483</v>
      </c>
      <c r="AB181" s="582"/>
      <c r="AC181" s="576">
        <v>899</v>
      </c>
      <c r="AD181" s="576">
        <f t="shared" si="39"/>
        <v>53940</v>
      </c>
      <c r="AE181" s="711"/>
      <c r="AF181" s="580">
        <v>6</v>
      </c>
      <c r="AG181" s="576">
        <f t="shared" si="40"/>
        <v>2697</v>
      </c>
      <c r="AH181" s="709">
        <f t="shared" si="41"/>
        <v>51243</v>
      </c>
      <c r="AI181" s="709">
        <f t="shared" si="42"/>
        <v>2697</v>
      </c>
      <c r="AJ181" s="577">
        <f t="shared" si="43"/>
        <v>5.5555555555555552E-2</v>
      </c>
      <c r="AK181" s="582">
        <f t="shared" si="45"/>
        <v>-6.6419129544048536E-2</v>
      </c>
      <c r="AL181" s="582"/>
      <c r="AM181" s="580" t="e">
        <f>VLOOKUP(F181,[7]PRM!E:R,14,FALSE)</f>
        <v>#N/A</v>
      </c>
      <c r="AN181" s="576" t="e">
        <f>T181-#REF!</f>
        <v>#REF!</v>
      </c>
      <c r="AO181" s="580"/>
    </row>
    <row r="182" spans="2:41" s="436" customFormat="1" ht="14" hidden="1">
      <c r="B182" s="801">
        <v>2605</v>
      </c>
      <c r="C182" s="1393" t="s">
        <v>14</v>
      </c>
      <c r="D182" s="1393"/>
      <c r="E182" s="1393"/>
      <c r="F182" s="1393" t="s">
        <v>47</v>
      </c>
      <c r="G182" s="566"/>
      <c r="H182" s="566"/>
      <c r="I182" s="566"/>
      <c r="J182" s="566">
        <v>6</v>
      </c>
      <c r="K182" s="566" t="s">
        <v>286</v>
      </c>
      <c r="L182" s="566">
        <v>24</v>
      </c>
      <c r="M182" s="576">
        <v>1399</v>
      </c>
      <c r="N182" s="576">
        <f t="shared" si="46"/>
        <v>100728</v>
      </c>
      <c r="O182" s="566">
        <v>24</v>
      </c>
      <c r="P182" s="577">
        <f>IFERROR(_xlfn.XLOOKUP(F182,'[4]By Model'!$A:$A,'[4]By Model'!$K:$K),"")</f>
        <v>0.1166322563665225</v>
      </c>
      <c r="Q182" s="578">
        <f>IFERROR(_xlfn.XLOOKUP(F182,'[5]By Model'!$A:$A,'[5]By Model'!$B:$B),"")</f>
        <v>13</v>
      </c>
      <c r="R182" s="579">
        <f>IFERROR(_xlfn.XLOOKUP(F182,'[4]By Model'!$A:$A,'[4]By Model'!$I:$I),"")</f>
        <v>1245.2471658380953</v>
      </c>
      <c r="S182" s="578">
        <f>IFERROR(_xlfn.XLOOKUP(F182,[6]Sum!$G:$G,[6]Sum!$AM:$AM),"")</f>
        <v>16</v>
      </c>
      <c r="T182" s="576">
        <v>749</v>
      </c>
      <c r="U182" s="576">
        <f t="shared" si="35"/>
        <v>53928</v>
      </c>
      <c r="V182" s="580">
        <v>12</v>
      </c>
      <c r="W182" s="576">
        <f t="shared" si="36"/>
        <v>4494</v>
      </c>
      <c r="X182" s="576">
        <f t="shared" si="37"/>
        <v>49434</v>
      </c>
      <c r="Y182" s="581">
        <f t="shared" si="38"/>
        <v>-0.50923278532284966</v>
      </c>
      <c r="Z182" s="577">
        <f t="shared" si="44"/>
        <v>-0.13798413629490233</v>
      </c>
      <c r="AA182" s="577">
        <v>0.16213639112955164</v>
      </c>
      <c r="AB182" s="582"/>
      <c r="AC182" s="576">
        <v>749</v>
      </c>
      <c r="AD182" s="576">
        <f t="shared" si="39"/>
        <v>53928</v>
      </c>
      <c r="AE182" s="576"/>
      <c r="AF182" s="580">
        <v>6</v>
      </c>
      <c r="AG182" s="576">
        <f t="shared" si="40"/>
        <v>2247</v>
      </c>
      <c r="AH182" s="709">
        <f t="shared" si="41"/>
        <v>51681</v>
      </c>
      <c r="AI182" s="709">
        <f t="shared" si="42"/>
        <v>2247</v>
      </c>
      <c r="AJ182" s="577">
        <f t="shared" si="43"/>
        <v>4.5454545454545456E-2</v>
      </c>
      <c r="AK182" s="582">
        <f t="shared" si="45"/>
        <v>-0.1152568635676296</v>
      </c>
      <c r="AL182" s="582"/>
      <c r="AM182" s="580" t="e">
        <f>VLOOKUP(F182,[7]PRM!E:R,14,FALSE)</f>
        <v>#N/A</v>
      </c>
      <c r="AN182" s="576" t="e">
        <f>T182-#REF!</f>
        <v>#REF!</v>
      </c>
      <c r="AO182" s="580"/>
    </row>
    <row r="183" spans="2:41" s="436" customFormat="1" ht="14" hidden="1">
      <c r="B183" s="799">
        <v>2605</v>
      </c>
      <c r="C183" s="1391" t="s">
        <v>14</v>
      </c>
      <c r="D183" s="1391"/>
      <c r="E183" s="1391"/>
      <c r="F183" s="1391" t="s">
        <v>46</v>
      </c>
      <c r="G183" s="566"/>
      <c r="H183" s="566"/>
      <c r="I183" s="566"/>
      <c r="J183" s="566">
        <v>3</v>
      </c>
      <c r="K183" s="566" t="s">
        <v>286</v>
      </c>
      <c r="L183" s="566">
        <v>24</v>
      </c>
      <c r="M183" s="576">
        <v>1599</v>
      </c>
      <c r="N183" s="576">
        <f t="shared" si="46"/>
        <v>57564</v>
      </c>
      <c r="O183" s="566">
        <v>24</v>
      </c>
      <c r="P183" s="577">
        <f>IFERROR(_xlfn.XLOOKUP(F183,'[4]By Model'!$A:$A,'[4]By Model'!$K:$K),"")</f>
        <v>0.1254645040621109</v>
      </c>
      <c r="Q183" s="578">
        <f>IFERROR(_xlfn.XLOOKUP(F183,'[5]By Model'!$A:$A,'[5]By Model'!$B:$B),"")</f>
        <v>10</v>
      </c>
      <c r="R183" s="579">
        <f>IFERROR(_xlfn.XLOOKUP(F183,'[4]By Model'!$A:$A,'[4]By Model'!$I:$I),"")</f>
        <v>1230.25551862</v>
      </c>
      <c r="S183" s="578" t="str">
        <f>IFERROR(_xlfn.XLOOKUP(F183,[6]Sum!$G:$G,[6]Sum!$AM:$AM),"")</f>
        <v/>
      </c>
      <c r="T183" s="576">
        <v>1149</v>
      </c>
      <c r="U183" s="576">
        <f t="shared" si="35"/>
        <v>41364</v>
      </c>
      <c r="V183" s="580">
        <v>0</v>
      </c>
      <c r="W183" s="576">
        <f t="shared" si="36"/>
        <v>0</v>
      </c>
      <c r="X183" s="576">
        <f t="shared" si="37"/>
        <v>41364</v>
      </c>
      <c r="Y183" s="581">
        <f t="shared" si="38"/>
        <v>-0.2814258911819888</v>
      </c>
      <c r="Z183" s="577">
        <f t="shared" si="44"/>
        <v>-1.5248441528883494E-2</v>
      </c>
      <c r="AA183" s="577">
        <v>0.13491500661852443</v>
      </c>
      <c r="AB183" s="582"/>
      <c r="AC183" s="576">
        <v>1149</v>
      </c>
      <c r="AD183" s="576">
        <f t="shared" si="39"/>
        <v>41364</v>
      </c>
      <c r="AE183" s="581">
        <f>AD183/AD184</f>
        <v>0.81201413427561842</v>
      </c>
      <c r="AF183" s="580">
        <v>0</v>
      </c>
      <c r="AG183" s="576">
        <f t="shared" si="40"/>
        <v>0</v>
      </c>
      <c r="AH183" s="709">
        <f t="shared" si="41"/>
        <v>41364</v>
      </c>
      <c r="AI183" s="709">
        <f t="shared" si="42"/>
        <v>0</v>
      </c>
      <c r="AJ183" s="577">
        <f t="shared" si="43"/>
        <v>0</v>
      </c>
      <c r="AK183" s="582">
        <f t="shared" si="45"/>
        <v>-1.5248441528883494E-2</v>
      </c>
      <c r="AL183" s="582"/>
      <c r="AM183" s="580" t="e">
        <f>VLOOKUP(F183,[7]PRM!E:R,14,FALSE)</f>
        <v>#N/A</v>
      </c>
      <c r="AN183" s="576" t="e">
        <f>T183-#REF!</f>
        <v>#REF!</v>
      </c>
      <c r="AO183" s="580"/>
    </row>
    <row r="184" spans="2:41" s="436" customFormat="1" ht="14" hidden="1">
      <c r="B184" s="800">
        <v>2605</v>
      </c>
      <c r="C184" s="1392" t="s">
        <v>14</v>
      </c>
      <c r="D184" s="1392"/>
      <c r="E184" s="1392"/>
      <c r="F184" s="1392" t="s">
        <v>46</v>
      </c>
      <c r="G184" s="566"/>
      <c r="H184" s="566"/>
      <c r="I184" s="566"/>
      <c r="J184" s="566">
        <v>5</v>
      </c>
      <c r="K184" s="566" t="s">
        <v>286</v>
      </c>
      <c r="L184" s="566">
        <v>24</v>
      </c>
      <c r="M184" s="576">
        <v>1599</v>
      </c>
      <c r="N184" s="576">
        <f t="shared" si="46"/>
        <v>95940</v>
      </c>
      <c r="O184" s="566">
        <v>24</v>
      </c>
      <c r="P184" s="577">
        <f>IFERROR(_xlfn.XLOOKUP(F184,'[4]By Model'!$A:$A,'[4]By Model'!$K:$K),"")</f>
        <v>0.1254645040621109</v>
      </c>
      <c r="Q184" s="578">
        <f>IFERROR(_xlfn.XLOOKUP(F184,'[5]By Model'!$A:$A,'[5]By Model'!$B:$B),"")</f>
        <v>10</v>
      </c>
      <c r="R184" s="579">
        <f>IFERROR(_xlfn.XLOOKUP(F184,'[4]By Model'!$A:$A,'[4]By Model'!$I:$I),"")</f>
        <v>1230.25551862</v>
      </c>
      <c r="S184" s="578" t="str">
        <f>IFERROR(_xlfn.XLOOKUP(F184,[6]Sum!$G:$G,[6]Sum!$AM:$AM),"")</f>
        <v/>
      </c>
      <c r="T184" s="576">
        <v>849</v>
      </c>
      <c r="U184" s="576">
        <f t="shared" si="35"/>
        <v>50940</v>
      </c>
      <c r="V184" s="580">
        <v>6</v>
      </c>
      <c r="W184" s="576">
        <f t="shared" si="36"/>
        <v>2547</v>
      </c>
      <c r="X184" s="576">
        <f t="shared" si="37"/>
        <v>48393</v>
      </c>
      <c r="Y184" s="581">
        <f t="shared" si="38"/>
        <v>-0.49559099437148213</v>
      </c>
      <c r="Z184" s="577">
        <f t="shared" si="44"/>
        <v>-0.12233099312363016</v>
      </c>
      <c r="AA184" s="577">
        <v>0.13491500661852443</v>
      </c>
      <c r="AB184" s="582"/>
      <c r="AC184" s="576">
        <v>849</v>
      </c>
      <c r="AD184" s="576">
        <f t="shared" si="39"/>
        <v>50940</v>
      </c>
      <c r="AE184" s="711"/>
      <c r="AF184" s="583">
        <v>3</v>
      </c>
      <c r="AG184" s="576">
        <f t="shared" si="40"/>
        <v>1273.5</v>
      </c>
      <c r="AH184" s="709">
        <f t="shared" si="41"/>
        <v>49666.5</v>
      </c>
      <c r="AI184" s="709">
        <f t="shared" si="42"/>
        <v>1273.5</v>
      </c>
      <c r="AJ184" s="577">
        <f t="shared" si="43"/>
        <v>2.6315789473684209E-2</v>
      </c>
      <c r="AK184" s="582">
        <f t="shared" si="45"/>
        <v>-0.10917309838678806</v>
      </c>
      <c r="AL184" s="582"/>
      <c r="AM184" s="580" t="e">
        <f>VLOOKUP(F184,[7]PRM!E:R,14,FALSE)</f>
        <v>#N/A</v>
      </c>
      <c r="AN184" s="576" t="e">
        <f>T184-#REF!</f>
        <v>#REF!</v>
      </c>
      <c r="AO184" s="580"/>
    </row>
    <row r="185" spans="2:41" s="436" customFormat="1" ht="14" hidden="1">
      <c r="B185" s="801">
        <v>2605</v>
      </c>
      <c r="C185" s="1393" t="s">
        <v>14</v>
      </c>
      <c r="D185" s="1393"/>
      <c r="E185" s="1393"/>
      <c r="F185" s="1393" t="s">
        <v>46</v>
      </c>
      <c r="G185" s="566"/>
      <c r="H185" s="566"/>
      <c r="I185" s="566"/>
      <c r="J185" s="566">
        <v>6</v>
      </c>
      <c r="K185" s="566" t="s">
        <v>286</v>
      </c>
      <c r="L185" s="566">
        <v>24</v>
      </c>
      <c r="M185" s="576">
        <v>1599</v>
      </c>
      <c r="N185" s="576">
        <f t="shared" si="46"/>
        <v>115128</v>
      </c>
      <c r="O185" s="566">
        <v>24</v>
      </c>
      <c r="P185" s="577">
        <f>IFERROR(_xlfn.XLOOKUP(F185,'[4]By Model'!$A:$A,'[4]By Model'!$K:$K),"")</f>
        <v>0.1254645040621109</v>
      </c>
      <c r="Q185" s="578">
        <f>IFERROR(_xlfn.XLOOKUP(F185,'[5]By Model'!$A:$A,'[5]By Model'!$B:$B),"")</f>
        <v>10</v>
      </c>
      <c r="R185" s="579">
        <f>IFERROR(_xlfn.XLOOKUP(F185,'[4]By Model'!$A:$A,'[4]By Model'!$I:$I),"")</f>
        <v>1230.25551862</v>
      </c>
      <c r="S185" s="578" t="str">
        <f>IFERROR(_xlfn.XLOOKUP(F185,[6]Sum!$G:$G,[6]Sum!$AM:$AM),"")</f>
        <v/>
      </c>
      <c r="T185" s="576">
        <v>749</v>
      </c>
      <c r="U185" s="576">
        <f t="shared" si="35"/>
        <v>53928</v>
      </c>
      <c r="V185" s="580">
        <v>6</v>
      </c>
      <c r="W185" s="576">
        <f t="shared" si="36"/>
        <v>2247</v>
      </c>
      <c r="X185" s="576">
        <f t="shared" si="37"/>
        <v>51681</v>
      </c>
      <c r="Y185" s="581">
        <f t="shared" si="38"/>
        <v>-0.55109964561184066</v>
      </c>
      <c r="Z185" s="577">
        <f t="shared" si="44"/>
        <v>-0.15008531874380943</v>
      </c>
      <c r="AA185" s="577">
        <v>0.19072175364552738</v>
      </c>
      <c r="AB185" s="582"/>
      <c r="AC185" s="576">
        <v>749</v>
      </c>
      <c r="AD185" s="576">
        <f t="shared" si="39"/>
        <v>53928</v>
      </c>
      <c r="AE185" s="576"/>
      <c r="AF185" s="583">
        <v>3</v>
      </c>
      <c r="AG185" s="576">
        <f t="shared" si="40"/>
        <v>1123.5</v>
      </c>
      <c r="AH185" s="709">
        <f t="shared" si="41"/>
        <v>52804.5</v>
      </c>
      <c r="AI185" s="709">
        <f t="shared" si="42"/>
        <v>1123.5</v>
      </c>
      <c r="AJ185" s="577">
        <f t="shared" si="43"/>
        <v>2.1739130434782608E-2</v>
      </c>
      <c r="AK185" s="582">
        <f t="shared" si="45"/>
        <v>-0.13921575352641813</v>
      </c>
      <c r="AL185" s="582"/>
      <c r="AM185" s="580" t="e">
        <f>VLOOKUP(F185,[7]PRM!E:R,14,FALSE)</f>
        <v>#N/A</v>
      </c>
      <c r="AN185" s="576" t="e">
        <f>T185-#REF!</f>
        <v>#REF!</v>
      </c>
      <c r="AO185" s="580"/>
    </row>
    <row r="186" spans="2:41" s="436" customFormat="1" ht="14" hidden="1">
      <c r="B186" s="799">
        <v>2605</v>
      </c>
      <c r="C186" s="1391" t="s">
        <v>14</v>
      </c>
      <c r="D186" s="1391"/>
      <c r="E186" s="1391"/>
      <c r="F186" s="1391" t="s">
        <v>80</v>
      </c>
      <c r="G186" s="566"/>
      <c r="H186" s="566"/>
      <c r="I186" s="566"/>
      <c r="J186" s="566">
        <v>3</v>
      </c>
      <c r="K186" s="566" t="s">
        <v>286</v>
      </c>
      <c r="L186" s="566">
        <v>24</v>
      </c>
      <c r="M186" s="576">
        <v>1049</v>
      </c>
      <c r="N186" s="576">
        <f t="shared" si="46"/>
        <v>37764</v>
      </c>
      <c r="O186" s="566">
        <v>24</v>
      </c>
      <c r="P186" s="577">
        <f>IFERROR(_xlfn.XLOOKUP(F186,'[4]By Model'!$A:$A,'[4]By Model'!$K:$K),"")</f>
        <v>0.10785427329514306</v>
      </c>
      <c r="Q186" s="578">
        <f>IFERROR(_xlfn.XLOOKUP(F186,'[5]By Model'!$A:$A,'[5]By Model'!$B:$B),"")</f>
        <v>36</v>
      </c>
      <c r="R186" s="579">
        <f>IFERROR(_xlfn.XLOOKUP(F186,'[4]By Model'!$A:$A,'[4]By Model'!$I:$I),"")</f>
        <v>874.74808612857134</v>
      </c>
      <c r="S186" s="578" t="str">
        <f>IFERROR(_xlfn.XLOOKUP(F186,[6]Sum!$G:$G,[6]Sum!$AM:$AM),"")</f>
        <v/>
      </c>
      <c r="T186" s="576">
        <v>999</v>
      </c>
      <c r="U186" s="576">
        <f t="shared" si="35"/>
        <v>35964</v>
      </c>
      <c r="V186" s="580">
        <v>0</v>
      </c>
      <c r="W186" s="576">
        <f t="shared" si="36"/>
        <v>0</v>
      </c>
      <c r="X186" s="576">
        <f t="shared" si="37"/>
        <v>35964</v>
      </c>
      <c r="Y186" s="581">
        <f t="shared" si="38"/>
        <v>-4.7664442326024736E-2</v>
      </c>
      <c r="Z186" s="577">
        <f t="shared" si="44"/>
        <v>8.4022052132130695E-2</v>
      </c>
      <c r="AA186" s="577">
        <v>0.22972636357747539</v>
      </c>
      <c r="AB186" s="582"/>
      <c r="AC186" s="576">
        <v>999</v>
      </c>
      <c r="AD186" s="576">
        <f t="shared" si="39"/>
        <v>35964</v>
      </c>
      <c r="AE186" s="581">
        <f>AD186/AD187</f>
        <v>0.92357473035439142</v>
      </c>
      <c r="AF186" s="580">
        <v>0</v>
      </c>
      <c r="AG186" s="576">
        <f t="shared" si="40"/>
        <v>0</v>
      </c>
      <c r="AH186" s="709">
        <f t="shared" si="41"/>
        <v>35964</v>
      </c>
      <c r="AI186" s="709">
        <f t="shared" si="42"/>
        <v>0</v>
      </c>
      <c r="AJ186" s="577">
        <f t="shared" si="43"/>
        <v>0</v>
      </c>
      <c r="AK186" s="582">
        <f t="shared" si="45"/>
        <v>8.4022052132130695E-2</v>
      </c>
      <c r="AL186" s="582"/>
      <c r="AM186" s="580" t="e">
        <f>VLOOKUP(F186,[7]PRM!E:R,14,FALSE)</f>
        <v>#N/A</v>
      </c>
      <c r="AN186" s="576" t="e">
        <f>T186-#REF!</f>
        <v>#REF!</v>
      </c>
      <c r="AO186" s="580"/>
    </row>
    <row r="187" spans="2:41" s="436" customFormat="1" ht="14" hidden="1">
      <c r="B187" s="800">
        <v>2605</v>
      </c>
      <c r="C187" s="1392" t="s">
        <v>14</v>
      </c>
      <c r="D187" s="1392"/>
      <c r="E187" s="1392"/>
      <c r="F187" s="1392" t="s">
        <v>80</v>
      </c>
      <c r="G187" s="566"/>
      <c r="H187" s="566"/>
      <c r="I187" s="566"/>
      <c r="J187" s="566">
        <v>5</v>
      </c>
      <c r="K187" s="566" t="s">
        <v>286</v>
      </c>
      <c r="L187" s="566">
        <v>24</v>
      </c>
      <c r="M187" s="576">
        <v>1049</v>
      </c>
      <c r="N187" s="576">
        <f t="shared" si="46"/>
        <v>62940</v>
      </c>
      <c r="O187" s="566">
        <v>24</v>
      </c>
      <c r="P187" s="577">
        <f>IFERROR(_xlfn.XLOOKUP(F187,'[4]By Model'!$A:$A,'[4]By Model'!$K:$K),"")</f>
        <v>0.10785427329514306</v>
      </c>
      <c r="Q187" s="578">
        <f>IFERROR(_xlfn.XLOOKUP(F187,'[5]By Model'!$A:$A,'[5]By Model'!$B:$B),"")</f>
        <v>36</v>
      </c>
      <c r="R187" s="579">
        <f>IFERROR(_xlfn.XLOOKUP(F187,'[4]By Model'!$A:$A,'[4]By Model'!$I:$I),"")</f>
        <v>874.74808612857134</v>
      </c>
      <c r="S187" s="578" t="str">
        <f>IFERROR(_xlfn.XLOOKUP(F187,[6]Sum!$G:$G,[6]Sum!$AM:$AM),"")</f>
        <v/>
      </c>
      <c r="T187" s="576">
        <v>649</v>
      </c>
      <c r="U187" s="576">
        <f t="shared" si="35"/>
        <v>38940</v>
      </c>
      <c r="V187" s="580">
        <v>0</v>
      </c>
      <c r="W187" s="576">
        <f t="shared" si="36"/>
        <v>0</v>
      </c>
      <c r="X187" s="576">
        <f t="shared" si="37"/>
        <v>38940</v>
      </c>
      <c r="Y187" s="581">
        <f t="shared" si="38"/>
        <v>-0.38131553860819833</v>
      </c>
      <c r="Z187" s="577">
        <f t="shared" si="44"/>
        <v>-8.2803496008956104E-2</v>
      </c>
      <c r="AA187" s="577">
        <v>0.22972636357747539</v>
      </c>
      <c r="AB187" s="582"/>
      <c r="AC187" s="576">
        <v>649</v>
      </c>
      <c r="AD187" s="576">
        <f t="shared" si="39"/>
        <v>38940</v>
      </c>
      <c r="AE187" s="711"/>
      <c r="AF187" s="580">
        <v>3</v>
      </c>
      <c r="AG187" s="576">
        <f t="shared" si="40"/>
        <v>973.5</v>
      </c>
      <c r="AH187" s="709">
        <f t="shared" si="41"/>
        <v>37966.5</v>
      </c>
      <c r="AI187" s="709">
        <f t="shared" si="42"/>
        <v>-973.5</v>
      </c>
      <c r="AJ187" s="577">
        <f t="shared" si="43"/>
        <v>-2.5000000000000001E-2</v>
      </c>
      <c r="AK187" s="582">
        <f t="shared" si="45"/>
        <v>-9.5303496008956101E-2</v>
      </c>
      <c r="AL187" s="582"/>
      <c r="AM187" s="580" t="e">
        <f>VLOOKUP(F187,[7]PRM!E:R,14,FALSE)</f>
        <v>#N/A</v>
      </c>
      <c r="AN187" s="576" t="e">
        <f>T187-#REF!</f>
        <v>#REF!</v>
      </c>
      <c r="AO187" s="580"/>
    </row>
    <row r="188" spans="2:41" s="436" customFormat="1" ht="14" hidden="1">
      <c r="B188" s="801">
        <v>2605</v>
      </c>
      <c r="C188" s="1393" t="s">
        <v>14</v>
      </c>
      <c r="D188" s="1393"/>
      <c r="E188" s="1393"/>
      <c r="F188" s="1393" t="s">
        <v>80</v>
      </c>
      <c r="G188" s="566"/>
      <c r="H188" s="566"/>
      <c r="I188" s="566"/>
      <c r="J188" s="566">
        <v>6</v>
      </c>
      <c r="K188" s="566" t="s">
        <v>286</v>
      </c>
      <c r="L188" s="566">
        <v>24</v>
      </c>
      <c r="M188" s="576">
        <v>1049</v>
      </c>
      <c r="N188" s="576">
        <f t="shared" si="46"/>
        <v>75528</v>
      </c>
      <c r="O188" s="566">
        <v>24</v>
      </c>
      <c r="P188" s="577">
        <f>IFERROR(_xlfn.XLOOKUP(F188,'[4]By Model'!$A:$A,'[4]By Model'!$K:$K),"")</f>
        <v>0.10785427329514306</v>
      </c>
      <c r="Q188" s="578">
        <f>IFERROR(_xlfn.XLOOKUP(F188,'[5]By Model'!$A:$A,'[5]By Model'!$B:$B),"")</f>
        <v>36</v>
      </c>
      <c r="R188" s="579">
        <f>IFERROR(_xlfn.XLOOKUP(F188,'[4]By Model'!$A:$A,'[4]By Model'!$I:$I),"")</f>
        <v>874.74808612857134</v>
      </c>
      <c r="S188" s="578" t="str">
        <f>IFERROR(_xlfn.XLOOKUP(F188,[6]Sum!$G:$G,[6]Sum!$AM:$AM),"")</f>
        <v/>
      </c>
      <c r="T188" s="576">
        <v>549</v>
      </c>
      <c r="U188" s="576">
        <f t="shared" si="35"/>
        <v>39528</v>
      </c>
      <c r="V188" s="580">
        <v>0</v>
      </c>
      <c r="W188" s="576">
        <f t="shared" si="36"/>
        <v>0</v>
      </c>
      <c r="X188" s="576">
        <f t="shared" si="37"/>
        <v>39528</v>
      </c>
      <c r="Y188" s="581">
        <f t="shared" si="38"/>
        <v>-0.47664442326024781</v>
      </c>
      <c r="Z188" s="577">
        <f t="shared" si="44"/>
        <v>-0.13046793833498083</v>
      </c>
      <c r="AA188" s="577">
        <v>0.21962535347646522</v>
      </c>
      <c r="AB188" s="582"/>
      <c r="AC188" s="576">
        <v>549</v>
      </c>
      <c r="AD188" s="576">
        <f t="shared" si="39"/>
        <v>39528</v>
      </c>
      <c r="AE188" s="576"/>
      <c r="AF188" s="580">
        <v>3</v>
      </c>
      <c r="AG188" s="576">
        <f t="shared" si="40"/>
        <v>823.5</v>
      </c>
      <c r="AH188" s="709">
        <f t="shared" si="41"/>
        <v>38704.5</v>
      </c>
      <c r="AI188" s="709">
        <f t="shared" si="42"/>
        <v>-823.5</v>
      </c>
      <c r="AJ188" s="577">
        <f t="shared" si="43"/>
        <v>-2.0833333333333332E-2</v>
      </c>
      <c r="AK188" s="582">
        <f t="shared" si="45"/>
        <v>-0.14088460500164748</v>
      </c>
      <c r="AL188" s="582"/>
      <c r="AM188" s="580" t="e">
        <f>VLOOKUP(F188,[7]PRM!E:R,14,FALSE)</f>
        <v>#N/A</v>
      </c>
      <c r="AN188" s="576" t="e">
        <f>T188-#REF!</f>
        <v>#REF!</v>
      </c>
      <c r="AO188" s="580"/>
    </row>
    <row r="189" spans="2:41" s="436" customFormat="1" ht="14" hidden="1">
      <c r="B189" s="799">
        <v>2605</v>
      </c>
      <c r="C189" s="1391" t="s">
        <v>14</v>
      </c>
      <c r="D189" s="1391"/>
      <c r="E189" s="1391"/>
      <c r="F189" s="1391" t="s">
        <v>382</v>
      </c>
      <c r="G189" s="566"/>
      <c r="H189" s="566"/>
      <c r="I189" s="566"/>
      <c r="J189" s="566">
        <v>3</v>
      </c>
      <c r="K189" s="566" t="s">
        <v>286</v>
      </c>
      <c r="L189" s="566">
        <v>24</v>
      </c>
      <c r="M189" s="576">
        <v>999</v>
      </c>
      <c r="N189" s="576">
        <f t="shared" si="46"/>
        <v>35964</v>
      </c>
      <c r="O189" s="566">
        <v>24</v>
      </c>
      <c r="P189" s="577">
        <f>IFERROR(_xlfn.XLOOKUP(F189,'[4]By Model'!$A:$A,'[4]By Model'!$K:$K),"")</f>
        <v>-0.11187062411657661</v>
      </c>
      <c r="Q189" s="578">
        <f>IFERROR(_xlfn.XLOOKUP(F189,'[5]By Model'!$A:$A,'[5]By Model'!$B:$B),"")</f>
        <v>3</v>
      </c>
      <c r="R189" s="579">
        <f>IFERROR(_xlfn.XLOOKUP(F189,'[4]By Model'!$A:$A,'[4]By Model'!$I:$I),"")</f>
        <v>761.59928621724146</v>
      </c>
      <c r="S189" s="578" t="str">
        <f>IFERROR(_xlfn.XLOOKUP(F189,[6]Sum!$G:$G,[6]Sum!$AM:$AM),"")</f>
        <v/>
      </c>
      <c r="T189" s="576">
        <v>999</v>
      </c>
      <c r="U189" s="576">
        <f t="shared" si="35"/>
        <v>35964</v>
      </c>
      <c r="V189" s="580">
        <v>0</v>
      </c>
      <c r="W189" s="576">
        <f t="shared" si="36"/>
        <v>0</v>
      </c>
      <c r="X189" s="576">
        <f t="shared" si="37"/>
        <v>35964</v>
      </c>
      <c r="Y189" s="581">
        <f t="shared" si="38"/>
        <v>0</v>
      </c>
      <c r="Z189" s="577">
        <f t="shared" si="44"/>
        <v>-0.11187062411657661</v>
      </c>
      <c r="AA189" s="577"/>
      <c r="AB189" s="582"/>
      <c r="AC189" s="576">
        <v>999</v>
      </c>
      <c r="AD189" s="576">
        <f t="shared" si="39"/>
        <v>35964</v>
      </c>
      <c r="AE189" s="581">
        <f>AD189/AD190</f>
        <v>1.0006677796327212</v>
      </c>
      <c r="AF189" s="580">
        <v>0</v>
      </c>
      <c r="AG189" s="576">
        <f t="shared" si="40"/>
        <v>0</v>
      </c>
      <c r="AH189" s="709">
        <f t="shared" si="41"/>
        <v>35964</v>
      </c>
      <c r="AI189" s="709">
        <f t="shared" si="42"/>
        <v>0</v>
      </c>
      <c r="AJ189" s="577">
        <f t="shared" si="43"/>
        <v>0</v>
      </c>
      <c r="AK189" s="582">
        <f t="shared" si="45"/>
        <v>-0.11187062411657661</v>
      </c>
      <c r="AL189" s="582"/>
      <c r="AM189" s="580"/>
      <c r="AN189" s="576"/>
      <c r="AO189" s="580"/>
    </row>
    <row r="190" spans="2:41" s="436" customFormat="1" ht="14" hidden="1">
      <c r="B190" s="800">
        <v>2605</v>
      </c>
      <c r="C190" s="1392" t="s">
        <v>14</v>
      </c>
      <c r="D190" s="1392"/>
      <c r="E190" s="1392"/>
      <c r="F190" s="1392" t="s">
        <v>382</v>
      </c>
      <c r="G190" s="566"/>
      <c r="H190" s="566"/>
      <c r="I190" s="566"/>
      <c r="J190" s="566">
        <v>5</v>
      </c>
      <c r="K190" s="566" t="s">
        <v>286</v>
      </c>
      <c r="L190" s="566">
        <v>24</v>
      </c>
      <c r="M190" s="576">
        <v>999</v>
      </c>
      <c r="N190" s="576">
        <f t="shared" si="46"/>
        <v>59940</v>
      </c>
      <c r="O190" s="566">
        <v>24</v>
      </c>
      <c r="P190" s="577">
        <f>IFERROR(_xlfn.XLOOKUP(F190,'[4]By Model'!$A:$A,'[4]By Model'!$K:$K),"")</f>
        <v>-0.11187062411657661</v>
      </c>
      <c r="Q190" s="578">
        <f>IFERROR(_xlfn.XLOOKUP(F190,'[5]By Model'!$A:$A,'[5]By Model'!$B:$B),"")</f>
        <v>3</v>
      </c>
      <c r="R190" s="579">
        <f>IFERROR(_xlfn.XLOOKUP(F190,'[4]By Model'!$A:$A,'[4]By Model'!$I:$I),"")</f>
        <v>761.59928621724146</v>
      </c>
      <c r="S190" s="578" t="str">
        <f>IFERROR(_xlfn.XLOOKUP(F190,[6]Sum!$G:$G,[6]Sum!$AM:$AM),"")</f>
        <v/>
      </c>
      <c r="T190" s="576">
        <v>599</v>
      </c>
      <c r="U190" s="576">
        <f t="shared" si="35"/>
        <v>35940</v>
      </c>
      <c r="V190" s="580">
        <v>0</v>
      </c>
      <c r="W190" s="576">
        <f t="shared" si="36"/>
        <v>0</v>
      </c>
      <c r="X190" s="576">
        <f t="shared" si="37"/>
        <v>35940</v>
      </c>
      <c r="Y190" s="581">
        <f t="shared" si="38"/>
        <v>-0.40040040040040037</v>
      </c>
      <c r="Z190" s="577">
        <f t="shared" si="44"/>
        <v>-0.3120708243167768</v>
      </c>
      <c r="AA190" s="577"/>
      <c r="AB190" s="582"/>
      <c r="AC190" s="576">
        <v>599</v>
      </c>
      <c r="AD190" s="576">
        <f t="shared" si="39"/>
        <v>35940</v>
      </c>
      <c r="AE190" s="711"/>
      <c r="AF190" s="580">
        <v>0</v>
      </c>
      <c r="AG190" s="576">
        <f t="shared" si="40"/>
        <v>0</v>
      </c>
      <c r="AH190" s="709">
        <f t="shared" si="41"/>
        <v>35940</v>
      </c>
      <c r="AI190" s="709">
        <f t="shared" si="42"/>
        <v>0</v>
      </c>
      <c r="AJ190" s="577">
        <f t="shared" si="43"/>
        <v>0</v>
      </c>
      <c r="AK190" s="582">
        <f t="shared" si="45"/>
        <v>-0.3120708243167768</v>
      </c>
      <c r="AL190" s="582"/>
      <c r="AM190" s="580"/>
      <c r="AN190" s="576"/>
      <c r="AO190" s="580"/>
    </row>
    <row r="191" spans="2:41" s="436" customFormat="1" ht="14" hidden="1">
      <c r="B191" s="801">
        <v>2605</v>
      </c>
      <c r="C191" s="1393" t="s">
        <v>14</v>
      </c>
      <c r="D191" s="1393"/>
      <c r="E191" s="1393"/>
      <c r="F191" s="1393" t="s">
        <v>382</v>
      </c>
      <c r="G191" s="566"/>
      <c r="H191" s="566"/>
      <c r="I191" s="566"/>
      <c r="J191" s="566">
        <v>6</v>
      </c>
      <c r="K191" s="566" t="s">
        <v>286</v>
      </c>
      <c r="L191" s="566">
        <v>24</v>
      </c>
      <c r="M191" s="576">
        <v>999</v>
      </c>
      <c r="N191" s="576">
        <f t="shared" si="46"/>
        <v>71928</v>
      </c>
      <c r="O191" s="566">
        <v>24</v>
      </c>
      <c r="P191" s="577">
        <f>IFERROR(_xlfn.XLOOKUP(F191,'[4]By Model'!$A:$A,'[4]By Model'!$K:$K),"")</f>
        <v>-0.11187062411657661</v>
      </c>
      <c r="Q191" s="578">
        <f>IFERROR(_xlfn.XLOOKUP(F191,'[5]By Model'!$A:$A,'[5]By Model'!$B:$B),"")</f>
        <v>3</v>
      </c>
      <c r="R191" s="579">
        <f>IFERROR(_xlfn.XLOOKUP(F191,'[4]By Model'!$A:$A,'[4]By Model'!$I:$I),"")</f>
        <v>761.59928621724146</v>
      </c>
      <c r="S191" s="578" t="str">
        <f>IFERROR(_xlfn.XLOOKUP(F191,[6]Sum!$G:$G,[6]Sum!$AM:$AM),"")</f>
        <v/>
      </c>
      <c r="T191" s="576">
        <v>499</v>
      </c>
      <c r="U191" s="576">
        <f t="shared" si="35"/>
        <v>35928</v>
      </c>
      <c r="V191" s="580">
        <v>0</v>
      </c>
      <c r="W191" s="576">
        <f t="shared" si="36"/>
        <v>0</v>
      </c>
      <c r="X191" s="576">
        <f t="shared" si="37"/>
        <v>35928</v>
      </c>
      <c r="Y191" s="581">
        <f t="shared" si="38"/>
        <v>-0.50050050050050054</v>
      </c>
      <c r="Z191" s="577">
        <f t="shared" si="44"/>
        <v>-0.36212087436682688</v>
      </c>
      <c r="AA191" s="577"/>
      <c r="AB191" s="582"/>
      <c r="AC191" s="576">
        <v>499</v>
      </c>
      <c r="AD191" s="576">
        <f t="shared" si="39"/>
        <v>35928</v>
      </c>
      <c r="AE191" s="576"/>
      <c r="AF191" s="580">
        <v>0</v>
      </c>
      <c r="AG191" s="576">
        <f t="shared" si="40"/>
        <v>0</v>
      </c>
      <c r="AH191" s="709">
        <f t="shared" si="41"/>
        <v>35928</v>
      </c>
      <c r="AI191" s="709">
        <f t="shared" si="42"/>
        <v>0</v>
      </c>
      <c r="AJ191" s="577">
        <f t="shared" si="43"/>
        <v>0</v>
      </c>
      <c r="AK191" s="582">
        <f t="shared" si="45"/>
        <v>-0.36212087436682688</v>
      </c>
      <c r="AL191" s="582"/>
      <c r="AM191" s="580"/>
      <c r="AN191" s="576"/>
      <c r="AO191" s="580"/>
    </row>
    <row r="192" spans="2:41" s="436" customFormat="1" ht="14" hidden="1">
      <c r="B192" s="799">
        <v>2605</v>
      </c>
      <c r="C192" s="1391" t="s">
        <v>14</v>
      </c>
      <c r="D192" s="1391"/>
      <c r="E192" s="1391"/>
      <c r="F192" s="1391" t="s">
        <v>210</v>
      </c>
      <c r="G192" s="566"/>
      <c r="H192" s="566"/>
      <c r="I192" s="566" t="s">
        <v>305</v>
      </c>
      <c r="J192" s="566">
        <v>3</v>
      </c>
      <c r="K192" s="566" t="s">
        <v>286</v>
      </c>
      <c r="L192" s="566">
        <v>24</v>
      </c>
      <c r="M192" s="576">
        <v>1299</v>
      </c>
      <c r="N192" s="576">
        <f t="shared" si="46"/>
        <v>46764</v>
      </c>
      <c r="O192" s="566">
        <v>24</v>
      </c>
      <c r="P192" s="577">
        <f>IFERROR(_xlfn.XLOOKUP(F192,'[4]By Model'!$A:$A,'[4]By Model'!$K:$K),"")</f>
        <v>0.16292756666845609</v>
      </c>
      <c r="Q192" s="578">
        <f>IFERROR(_xlfn.XLOOKUP(F192,'[5]By Model'!$A:$A,'[5]By Model'!$B:$B),"")</f>
        <v>2</v>
      </c>
      <c r="R192" s="579">
        <f>IFERROR(_xlfn.XLOOKUP(F192,'[4]By Model'!$A:$A,'[4]By Model'!$I:$I),"")</f>
        <v>974.28319250000004</v>
      </c>
      <c r="S192" s="578" t="str">
        <f>IFERROR(_xlfn.XLOOKUP(F192,[6]Sum!$G:$G,[6]Sum!$AM:$AM),"")</f>
        <v/>
      </c>
      <c r="T192" s="576">
        <v>1149</v>
      </c>
      <c r="U192" s="576">
        <f t="shared" si="35"/>
        <v>41364</v>
      </c>
      <c r="V192" s="580">
        <v>0</v>
      </c>
      <c r="W192" s="576">
        <f t="shared" si="36"/>
        <v>0</v>
      </c>
      <c r="X192" s="576">
        <f t="shared" si="37"/>
        <v>41364</v>
      </c>
      <c r="Y192" s="581">
        <f t="shared" si="38"/>
        <v>-0.11547344110854507</v>
      </c>
      <c r="Z192" s="577">
        <f t="shared" si="44"/>
        <v>0.10519084611418356</v>
      </c>
      <c r="AA192" s="577"/>
      <c r="AB192" s="582"/>
      <c r="AC192" s="576">
        <v>1149</v>
      </c>
      <c r="AD192" s="576">
        <f t="shared" si="39"/>
        <v>41364</v>
      </c>
      <c r="AE192" s="581">
        <f>AD192/AD193</f>
        <v>0.81201413427561842</v>
      </c>
      <c r="AF192" s="580">
        <v>0</v>
      </c>
      <c r="AG192" s="576">
        <f t="shared" si="40"/>
        <v>0</v>
      </c>
      <c r="AH192" s="709">
        <f t="shared" si="41"/>
        <v>41364</v>
      </c>
      <c r="AI192" s="709">
        <f t="shared" si="42"/>
        <v>0</v>
      </c>
      <c r="AJ192" s="577">
        <f t="shared" si="43"/>
        <v>0</v>
      </c>
      <c r="AK192" s="582">
        <f t="shared" si="45"/>
        <v>0.10519084611418356</v>
      </c>
      <c r="AL192" s="582"/>
      <c r="AM192" s="580"/>
      <c r="AN192" s="576"/>
      <c r="AO192" s="580"/>
    </row>
    <row r="193" spans="2:41" s="436" customFormat="1" ht="14" hidden="1">
      <c r="B193" s="800">
        <v>2605</v>
      </c>
      <c r="C193" s="1392" t="s">
        <v>14</v>
      </c>
      <c r="D193" s="1392"/>
      <c r="E193" s="1392"/>
      <c r="F193" s="1392" t="s">
        <v>210</v>
      </c>
      <c r="G193" s="566"/>
      <c r="H193" s="566"/>
      <c r="I193" s="566" t="s">
        <v>305</v>
      </c>
      <c r="J193" s="566">
        <v>5</v>
      </c>
      <c r="K193" s="566" t="s">
        <v>286</v>
      </c>
      <c r="L193" s="566">
        <v>24</v>
      </c>
      <c r="M193" s="576">
        <v>1299</v>
      </c>
      <c r="N193" s="576">
        <f t="shared" si="46"/>
        <v>77940</v>
      </c>
      <c r="O193" s="566">
        <v>24</v>
      </c>
      <c r="P193" s="577">
        <f>IFERROR(_xlfn.XLOOKUP(F193,'[4]By Model'!$A:$A,'[4]By Model'!$K:$K),"")</f>
        <v>0.16292756666845609</v>
      </c>
      <c r="Q193" s="578">
        <f>IFERROR(_xlfn.XLOOKUP(F193,'[5]By Model'!$A:$A,'[5]By Model'!$B:$B),"")</f>
        <v>2</v>
      </c>
      <c r="R193" s="579">
        <f>IFERROR(_xlfn.XLOOKUP(F193,'[4]By Model'!$A:$A,'[4]By Model'!$I:$I),"")</f>
        <v>974.28319250000004</v>
      </c>
      <c r="S193" s="578" t="str">
        <f>IFERROR(_xlfn.XLOOKUP(F193,[6]Sum!$G:$G,[6]Sum!$AM:$AM),"")</f>
        <v/>
      </c>
      <c r="T193" s="576">
        <v>699</v>
      </c>
      <c r="U193" s="576">
        <f t="shared" si="35"/>
        <v>41940</v>
      </c>
      <c r="V193" s="580">
        <v>0</v>
      </c>
      <c r="W193" s="576">
        <f t="shared" si="36"/>
        <v>0</v>
      </c>
      <c r="X193" s="576">
        <f t="shared" si="37"/>
        <v>41940</v>
      </c>
      <c r="Y193" s="581">
        <f t="shared" si="38"/>
        <v>-0.46189376443418018</v>
      </c>
      <c r="Z193" s="577">
        <f t="shared" si="44"/>
        <v>-6.8019315548633996E-2</v>
      </c>
      <c r="AA193" s="577"/>
      <c r="AB193" s="582"/>
      <c r="AC193" s="576">
        <v>849</v>
      </c>
      <c r="AD193" s="576">
        <f t="shared" si="39"/>
        <v>50940</v>
      </c>
      <c r="AE193" s="711"/>
      <c r="AF193" s="580">
        <v>3</v>
      </c>
      <c r="AG193" s="576">
        <f t="shared" si="40"/>
        <v>1273.5</v>
      </c>
      <c r="AH193" s="709">
        <f t="shared" si="41"/>
        <v>49666.5</v>
      </c>
      <c r="AI193" s="709">
        <f t="shared" si="42"/>
        <v>7726.5</v>
      </c>
      <c r="AJ193" s="577">
        <f t="shared" si="43"/>
        <v>0.18422746781115878</v>
      </c>
      <c r="AK193" s="582">
        <f t="shared" si="45"/>
        <v>2.4094418356945396E-2</v>
      </c>
      <c r="AL193" s="582"/>
      <c r="AM193" s="580"/>
      <c r="AN193" s="576"/>
      <c r="AO193" s="580"/>
    </row>
    <row r="194" spans="2:41" s="436" customFormat="1" ht="14" hidden="1">
      <c r="B194" s="801">
        <v>2605</v>
      </c>
      <c r="C194" s="1393" t="s">
        <v>14</v>
      </c>
      <c r="D194" s="1393"/>
      <c r="E194" s="1393"/>
      <c r="F194" s="1393" t="s">
        <v>210</v>
      </c>
      <c r="G194" s="566"/>
      <c r="H194" s="566"/>
      <c r="I194" s="566" t="s">
        <v>305</v>
      </c>
      <c r="J194" s="566">
        <v>6</v>
      </c>
      <c r="K194" s="566" t="s">
        <v>286</v>
      </c>
      <c r="L194" s="566">
        <v>24</v>
      </c>
      <c r="M194" s="576">
        <v>1299</v>
      </c>
      <c r="N194" s="576">
        <f t="shared" si="46"/>
        <v>93528</v>
      </c>
      <c r="O194" s="566">
        <v>24</v>
      </c>
      <c r="P194" s="577">
        <f>IFERROR(_xlfn.XLOOKUP(F194,'[4]By Model'!$A:$A,'[4]By Model'!$K:$K),"")</f>
        <v>0.16292756666845609</v>
      </c>
      <c r="Q194" s="578">
        <f>IFERROR(_xlfn.XLOOKUP(F194,'[5]By Model'!$A:$A,'[5]By Model'!$B:$B),"")</f>
        <v>2</v>
      </c>
      <c r="R194" s="579">
        <f>IFERROR(_xlfn.XLOOKUP(F194,'[4]By Model'!$A:$A,'[4]By Model'!$I:$I),"")</f>
        <v>974.28319250000004</v>
      </c>
      <c r="S194" s="578" t="str">
        <f>IFERROR(_xlfn.XLOOKUP(F194,[6]Sum!$G:$G,[6]Sum!$AM:$AM),"")</f>
        <v/>
      </c>
      <c r="T194" s="576">
        <v>599</v>
      </c>
      <c r="U194" s="576">
        <f t="shared" si="35"/>
        <v>43128</v>
      </c>
      <c r="V194" s="580">
        <v>0</v>
      </c>
      <c r="W194" s="576">
        <f t="shared" si="36"/>
        <v>0</v>
      </c>
      <c r="X194" s="576">
        <f t="shared" si="37"/>
        <v>43128</v>
      </c>
      <c r="Y194" s="581">
        <f t="shared" si="38"/>
        <v>-0.53887605850654352</v>
      </c>
      <c r="Z194" s="577">
        <f t="shared" si="44"/>
        <v>-0.10651046258481567</v>
      </c>
      <c r="AA194" s="577"/>
      <c r="AB194" s="582"/>
      <c r="AC194" s="576">
        <v>749</v>
      </c>
      <c r="AD194" s="576">
        <f t="shared" si="39"/>
        <v>53928</v>
      </c>
      <c r="AE194" s="576"/>
      <c r="AF194" s="580">
        <v>3</v>
      </c>
      <c r="AG194" s="576">
        <f t="shared" si="40"/>
        <v>1123.5</v>
      </c>
      <c r="AH194" s="709">
        <f t="shared" si="41"/>
        <v>52804.5</v>
      </c>
      <c r="AI194" s="709">
        <f t="shared" si="42"/>
        <v>9676.5</v>
      </c>
      <c r="AJ194" s="577">
        <f t="shared" si="43"/>
        <v>0.22436700055648304</v>
      </c>
      <c r="AK194" s="582">
        <f t="shared" si="45"/>
        <v>5.6730376934258503E-3</v>
      </c>
      <c r="AL194" s="582"/>
      <c r="AM194" s="580"/>
      <c r="AN194" s="576"/>
      <c r="AO194" s="580"/>
    </row>
    <row r="195" spans="2:41" s="436" customFormat="1" ht="14" hidden="1">
      <c r="B195" s="799">
        <v>2605</v>
      </c>
      <c r="C195" s="1391" t="str">
        <f t="shared" ref="C195" si="47">C196</f>
        <v>REF</v>
      </c>
      <c r="D195" s="1391"/>
      <c r="E195" s="1391"/>
      <c r="F195" s="1391" t="s">
        <v>17</v>
      </c>
      <c r="G195" s="566"/>
      <c r="H195" s="566"/>
      <c r="I195" s="566"/>
      <c r="J195" s="566">
        <v>3</v>
      </c>
      <c r="K195" s="566" t="s">
        <v>286</v>
      </c>
      <c r="L195" s="566">
        <f t="shared" ref="L195:AA195" si="48">L196</f>
        <v>24</v>
      </c>
      <c r="M195" s="576">
        <v>799</v>
      </c>
      <c r="N195" s="576">
        <f t="shared" si="46"/>
        <v>28764</v>
      </c>
      <c r="O195" s="566">
        <f t="shared" si="48"/>
        <v>24</v>
      </c>
      <c r="P195" s="577">
        <f>IFERROR(_xlfn.XLOOKUP(F195,'[4]By Model'!$A:$A,'[4]By Model'!$K:$K),"")</f>
        <v>8.3595878241066068E-2</v>
      </c>
      <c r="Q195" s="578">
        <f>IFERROR(_xlfn.XLOOKUP(F195,'[5]By Model'!$A:$A,'[5]By Model'!$B:$B),"")</f>
        <v>52</v>
      </c>
      <c r="R195" s="579">
        <f>IFERROR(_xlfn.XLOOKUP(F195,'[4]By Model'!$A:$A,'[4]By Model'!$I:$I),"")</f>
        <v>808.93137030624996</v>
      </c>
      <c r="S195" s="578" t="str">
        <f>IFERROR(_xlfn.XLOOKUP(F195,[6]Sum!$G:$G,[6]Sum!$AM:$AM),"")</f>
        <v/>
      </c>
      <c r="T195" s="576">
        <v>799</v>
      </c>
      <c r="U195" s="576">
        <f t="shared" ref="U195:U258" si="49">T195*LEFT(J195,1)*12</f>
        <v>28764</v>
      </c>
      <c r="V195" s="580">
        <v>0</v>
      </c>
      <c r="W195" s="576">
        <f t="shared" ref="W195:W258" si="50">V195*T195*0.5</f>
        <v>0</v>
      </c>
      <c r="X195" s="576">
        <f t="shared" ref="X195:X258" si="51">U195-W195</f>
        <v>28764</v>
      </c>
      <c r="Y195" s="581">
        <f t="shared" ref="Y195:Y258" si="52">X195/N195-1</f>
        <v>0</v>
      </c>
      <c r="Z195" s="577">
        <f t="shared" si="44"/>
        <v>8.3595878241066068E-2</v>
      </c>
      <c r="AA195" s="577">
        <f t="shared" si="48"/>
        <v>0.23679272109605601</v>
      </c>
      <c r="AB195" s="582"/>
      <c r="AC195" s="576">
        <v>799</v>
      </c>
      <c r="AD195" s="576">
        <f t="shared" ref="AD195:AD258" si="53">AC195*LEFT(J195,1)*12</f>
        <v>28764</v>
      </c>
      <c r="AE195" s="581">
        <f>AD195/AD196</f>
        <v>0.87322404371584694</v>
      </c>
      <c r="AF195" s="580">
        <v>0</v>
      </c>
      <c r="AG195" s="576">
        <f t="shared" ref="AG195:AG258" si="54">AF195*AC195*0.5</f>
        <v>0</v>
      </c>
      <c r="AH195" s="709">
        <f t="shared" ref="AH195:AH258" si="55">AD195-AG195</f>
        <v>28764</v>
      </c>
      <c r="AI195" s="709">
        <f t="shared" ref="AI195:AI258" si="56">AH195-X195</f>
        <v>0</v>
      </c>
      <c r="AJ195" s="577">
        <f t="shared" ref="AJ195:AJ258" si="57">AI195/X195</f>
        <v>0</v>
      </c>
      <c r="AK195" s="582">
        <f t="shared" si="45"/>
        <v>8.3595878241066068E-2</v>
      </c>
      <c r="AL195" s="582" t="e">
        <f t="shared" ref="AL195:AL233" si="58">AL196</f>
        <v>#REF!</v>
      </c>
      <c r="AM195" s="580"/>
      <c r="AN195" s="576"/>
      <c r="AO195" s="580"/>
    </row>
    <row r="196" spans="2:41" s="436" customFormat="1" ht="14" hidden="1">
      <c r="B196" s="800">
        <v>2605</v>
      </c>
      <c r="C196" s="1392" t="s">
        <v>14</v>
      </c>
      <c r="D196" s="1392"/>
      <c r="E196" s="1392"/>
      <c r="F196" s="1392" t="s">
        <v>17</v>
      </c>
      <c r="G196" s="566"/>
      <c r="H196" s="566"/>
      <c r="I196" s="566"/>
      <c r="J196" s="566">
        <v>5</v>
      </c>
      <c r="K196" s="566" t="s">
        <v>286</v>
      </c>
      <c r="L196" s="566">
        <v>24</v>
      </c>
      <c r="M196" s="576">
        <v>799</v>
      </c>
      <c r="N196" s="576">
        <f t="shared" si="46"/>
        <v>47940</v>
      </c>
      <c r="O196" s="566">
        <v>24</v>
      </c>
      <c r="P196" s="577">
        <f>IFERROR(_xlfn.XLOOKUP(F196,'[4]By Model'!$A:$A,'[4]By Model'!$K:$K),"")</f>
        <v>8.3595878241066068E-2</v>
      </c>
      <c r="Q196" s="578">
        <f>IFERROR(_xlfn.XLOOKUP(F196,'[5]By Model'!$A:$A,'[5]By Model'!$B:$B),"")</f>
        <v>52</v>
      </c>
      <c r="R196" s="579">
        <f>IFERROR(_xlfn.XLOOKUP(F196,'[4]By Model'!$A:$A,'[4]By Model'!$I:$I),"")</f>
        <v>808.93137030624996</v>
      </c>
      <c r="S196" s="578" t="str">
        <f>IFERROR(_xlfn.XLOOKUP(F196,[6]Sum!$G:$G,[6]Sum!$AM:$AM),"")</f>
        <v/>
      </c>
      <c r="T196" s="576">
        <v>549</v>
      </c>
      <c r="U196" s="576">
        <f t="shared" si="49"/>
        <v>32940</v>
      </c>
      <c r="V196" s="580">
        <v>3</v>
      </c>
      <c r="W196" s="576">
        <f t="shared" si="50"/>
        <v>823.5</v>
      </c>
      <c r="X196" s="576">
        <f t="shared" si="51"/>
        <v>32116.5</v>
      </c>
      <c r="Y196" s="581">
        <f t="shared" si="52"/>
        <v>-0.33006883604505632</v>
      </c>
      <c r="Z196" s="577">
        <f t="shared" ref="Z196:Z259" si="59">IFERROR(P196+Y196*0.5,"")</f>
        <v>-8.1438539781462094E-2</v>
      </c>
      <c r="AA196" s="577">
        <v>0.23679272109605601</v>
      </c>
      <c r="AB196" s="582"/>
      <c r="AC196" s="576">
        <v>549</v>
      </c>
      <c r="AD196" s="576">
        <f t="shared" si="53"/>
        <v>32940</v>
      </c>
      <c r="AE196" s="711"/>
      <c r="AF196" s="583">
        <v>3</v>
      </c>
      <c r="AG196" s="576">
        <f t="shared" si="54"/>
        <v>823.5</v>
      </c>
      <c r="AH196" s="709">
        <f t="shared" si="55"/>
        <v>32116.5</v>
      </c>
      <c r="AI196" s="709">
        <f t="shared" si="56"/>
        <v>0</v>
      </c>
      <c r="AJ196" s="577">
        <f t="shared" si="57"/>
        <v>0</v>
      </c>
      <c r="AK196" s="582">
        <f t="shared" ref="AK196:AK259" si="60">IFERROR(Z196+AJ196*0.5,"")</f>
        <v>-8.1438539781462094E-2</v>
      </c>
      <c r="AL196" s="582" t="e">
        <f t="shared" si="58"/>
        <v>#REF!</v>
      </c>
      <c r="AM196" s="580" t="e">
        <f>VLOOKUP(F196,[7]PRM!E:R,14,FALSE)</f>
        <v>#N/A</v>
      </c>
      <c r="AN196" s="576" t="e">
        <f>T196-#REF!</f>
        <v>#REF!</v>
      </c>
      <c r="AO196" s="580"/>
    </row>
    <row r="197" spans="2:41" s="436" customFormat="1" ht="14" hidden="1">
      <c r="B197" s="801">
        <v>2605</v>
      </c>
      <c r="C197" s="1393" t="s">
        <v>14</v>
      </c>
      <c r="D197" s="1393"/>
      <c r="E197" s="1393"/>
      <c r="F197" s="1393" t="s">
        <v>17</v>
      </c>
      <c r="G197" s="566"/>
      <c r="H197" s="566"/>
      <c r="I197" s="566"/>
      <c r="J197" s="566">
        <v>6</v>
      </c>
      <c r="K197" s="566" t="s">
        <v>286</v>
      </c>
      <c r="L197" s="566">
        <v>24</v>
      </c>
      <c r="M197" s="576">
        <v>799</v>
      </c>
      <c r="N197" s="576">
        <f t="shared" si="46"/>
        <v>57528</v>
      </c>
      <c r="O197" s="566">
        <v>24</v>
      </c>
      <c r="P197" s="577">
        <f>IFERROR(_xlfn.XLOOKUP(F197,'[4]By Model'!$A:$A,'[4]By Model'!$K:$K),"")</f>
        <v>8.3595878241066068E-2</v>
      </c>
      <c r="Q197" s="578">
        <f>IFERROR(_xlfn.XLOOKUP(F197,'[5]By Model'!$A:$A,'[5]By Model'!$B:$B),"")</f>
        <v>52</v>
      </c>
      <c r="R197" s="579">
        <f>IFERROR(_xlfn.XLOOKUP(F197,'[4]By Model'!$A:$A,'[4]By Model'!$I:$I),"")</f>
        <v>808.93137030624996</v>
      </c>
      <c r="S197" s="578" t="str">
        <f>IFERROR(_xlfn.XLOOKUP(F197,[6]Sum!$G:$G,[6]Sum!$AM:$AM),"")</f>
        <v/>
      </c>
      <c r="T197" s="576">
        <v>449</v>
      </c>
      <c r="U197" s="576">
        <f t="shared" si="49"/>
        <v>32328</v>
      </c>
      <c r="V197" s="580">
        <v>3</v>
      </c>
      <c r="W197" s="576">
        <f t="shared" si="50"/>
        <v>673.5</v>
      </c>
      <c r="X197" s="576">
        <f t="shared" si="51"/>
        <v>31654.5</v>
      </c>
      <c r="Y197" s="581">
        <f t="shared" si="52"/>
        <v>-0.44975490196078427</v>
      </c>
      <c r="Z197" s="577">
        <f t="shared" si="59"/>
        <v>-0.14128157273932607</v>
      </c>
      <c r="AA197" s="577">
        <v>0.18308536197667591</v>
      </c>
      <c r="AB197" s="582"/>
      <c r="AC197" s="576">
        <v>449</v>
      </c>
      <c r="AD197" s="576">
        <f t="shared" si="53"/>
        <v>32328</v>
      </c>
      <c r="AE197" s="576"/>
      <c r="AF197" s="583">
        <v>3</v>
      </c>
      <c r="AG197" s="576">
        <f t="shared" si="54"/>
        <v>673.5</v>
      </c>
      <c r="AH197" s="709">
        <f t="shared" si="55"/>
        <v>31654.5</v>
      </c>
      <c r="AI197" s="709">
        <f t="shared" si="56"/>
        <v>0</v>
      </c>
      <c r="AJ197" s="577">
        <f t="shared" si="57"/>
        <v>0</v>
      </c>
      <c r="AK197" s="582">
        <f t="shared" si="60"/>
        <v>-0.14128157273932607</v>
      </c>
      <c r="AL197" s="582" t="e">
        <f t="shared" si="58"/>
        <v>#REF!</v>
      </c>
      <c r="AM197" s="580" t="e">
        <f>VLOOKUP(F197,[7]PRM!E:R,14,FALSE)</f>
        <v>#N/A</v>
      </c>
      <c r="AN197" s="576" t="e">
        <f>T197-#REF!</f>
        <v>#REF!</v>
      </c>
      <c r="AO197" s="580"/>
    </row>
    <row r="198" spans="2:41" s="436" customFormat="1" ht="14" hidden="1">
      <c r="B198" s="799">
        <v>2605</v>
      </c>
      <c r="C198" s="1391" t="str">
        <f t="shared" ref="C198" si="61">C199</f>
        <v>REF</v>
      </c>
      <c r="D198" s="1391"/>
      <c r="E198" s="1391"/>
      <c r="F198" s="1391" t="s">
        <v>67</v>
      </c>
      <c r="G198" s="566"/>
      <c r="H198" s="566"/>
      <c r="I198" s="566"/>
      <c r="J198" s="566">
        <v>3</v>
      </c>
      <c r="K198" s="566" t="s">
        <v>286</v>
      </c>
      <c r="L198" s="566">
        <f t="shared" ref="L198:AA198" si="62">L199</f>
        <v>24</v>
      </c>
      <c r="M198" s="576">
        <v>749</v>
      </c>
      <c r="N198" s="576">
        <f t="shared" ref="N198:N261" si="63">M198*LEFT(J198,1)*12</f>
        <v>26964</v>
      </c>
      <c r="O198" s="566">
        <f t="shared" si="62"/>
        <v>24</v>
      </c>
      <c r="P198" s="577">
        <f>IFERROR(_xlfn.XLOOKUP(F198,'[4]By Model'!$A:$A,'[4]By Model'!$K:$K),"")</f>
        <v>5.5125290147775285E-2</v>
      </c>
      <c r="Q198" s="578">
        <f>IFERROR(_xlfn.XLOOKUP(F198,'[5]By Model'!$A:$A,'[5]By Model'!$B:$B),"")</f>
        <v>31</v>
      </c>
      <c r="R198" s="579">
        <f>IFERROR(_xlfn.XLOOKUP(F198,'[4]By Model'!$A:$A,'[4]By Model'!$I:$I),"")</f>
        <v>614.70941824477609</v>
      </c>
      <c r="S198" s="578" t="str">
        <f>IFERROR(_xlfn.XLOOKUP(F198,[6]Sum!$G:$G,[6]Sum!$AM:$AM),"")</f>
        <v/>
      </c>
      <c r="T198" s="576">
        <v>699</v>
      </c>
      <c r="U198" s="576">
        <f t="shared" si="49"/>
        <v>25164</v>
      </c>
      <c r="V198" s="580">
        <v>0</v>
      </c>
      <c r="W198" s="576">
        <f t="shared" si="50"/>
        <v>0</v>
      </c>
      <c r="X198" s="576">
        <f t="shared" si="51"/>
        <v>25164</v>
      </c>
      <c r="Y198" s="581">
        <f t="shared" si="52"/>
        <v>-6.675567423230977E-2</v>
      </c>
      <c r="Z198" s="577">
        <f t="shared" si="59"/>
        <v>2.1747453031620401E-2</v>
      </c>
      <c r="AA198" s="577">
        <f t="shared" si="62"/>
        <v>0.20587030248322399</v>
      </c>
      <c r="AB198" s="582"/>
      <c r="AC198" s="576">
        <v>699</v>
      </c>
      <c r="AD198" s="576">
        <f t="shared" si="53"/>
        <v>25164</v>
      </c>
      <c r="AE198" s="581">
        <f>AD198/AD199</f>
        <v>0.84048096192384769</v>
      </c>
      <c r="AF198" s="580">
        <v>0</v>
      </c>
      <c r="AG198" s="576">
        <f t="shared" si="54"/>
        <v>0</v>
      </c>
      <c r="AH198" s="709">
        <f t="shared" si="55"/>
        <v>25164</v>
      </c>
      <c r="AI198" s="709">
        <f t="shared" si="56"/>
        <v>0</v>
      </c>
      <c r="AJ198" s="577">
        <f t="shared" si="57"/>
        <v>0</v>
      </c>
      <c r="AK198" s="582">
        <f t="shared" si="60"/>
        <v>2.1747453031620401E-2</v>
      </c>
      <c r="AL198" s="582" t="e">
        <f t="shared" si="58"/>
        <v>#REF!</v>
      </c>
      <c r="AM198" s="580"/>
      <c r="AN198" s="576"/>
      <c r="AO198" s="580"/>
    </row>
    <row r="199" spans="2:41" s="436" customFormat="1" ht="14" hidden="1">
      <c r="B199" s="800">
        <v>2605</v>
      </c>
      <c r="C199" s="1392" t="s">
        <v>14</v>
      </c>
      <c r="D199" s="1392"/>
      <c r="E199" s="1392"/>
      <c r="F199" s="1392" t="s">
        <v>67</v>
      </c>
      <c r="G199" s="566"/>
      <c r="H199" s="566"/>
      <c r="I199" s="566"/>
      <c r="J199" s="566">
        <v>5</v>
      </c>
      <c r="K199" s="566" t="s">
        <v>286</v>
      </c>
      <c r="L199" s="566">
        <v>24</v>
      </c>
      <c r="M199" s="576">
        <v>749</v>
      </c>
      <c r="N199" s="576">
        <f t="shared" si="63"/>
        <v>44940</v>
      </c>
      <c r="O199" s="566">
        <v>24</v>
      </c>
      <c r="P199" s="577">
        <f>IFERROR(_xlfn.XLOOKUP(F199,'[4]By Model'!$A:$A,'[4]By Model'!$K:$K),"")</f>
        <v>5.5125290147775285E-2</v>
      </c>
      <c r="Q199" s="578">
        <f>IFERROR(_xlfn.XLOOKUP(F199,'[5]By Model'!$A:$A,'[5]By Model'!$B:$B),"")</f>
        <v>31</v>
      </c>
      <c r="R199" s="579">
        <f>IFERROR(_xlfn.XLOOKUP(F199,'[4]By Model'!$A:$A,'[4]By Model'!$I:$I),"")</f>
        <v>614.70941824477609</v>
      </c>
      <c r="S199" s="578" t="str">
        <f>IFERROR(_xlfn.XLOOKUP(F199,[6]Sum!$G:$G,[6]Sum!$AM:$AM),"")</f>
        <v/>
      </c>
      <c r="T199" s="576">
        <v>499</v>
      </c>
      <c r="U199" s="576">
        <f t="shared" si="49"/>
        <v>29940</v>
      </c>
      <c r="V199" s="580">
        <v>0</v>
      </c>
      <c r="W199" s="576">
        <f t="shared" si="50"/>
        <v>0</v>
      </c>
      <c r="X199" s="576">
        <f t="shared" si="51"/>
        <v>29940</v>
      </c>
      <c r="Y199" s="581">
        <f t="shared" si="52"/>
        <v>-0.33377837116154874</v>
      </c>
      <c r="Z199" s="577">
        <f t="shared" si="59"/>
        <v>-0.11176389543299908</v>
      </c>
      <c r="AA199" s="577">
        <v>0.20587030248322399</v>
      </c>
      <c r="AB199" s="582"/>
      <c r="AC199" s="576">
        <v>499</v>
      </c>
      <c r="AD199" s="576">
        <f t="shared" si="53"/>
        <v>29940</v>
      </c>
      <c r="AE199" s="711"/>
      <c r="AF199" s="583">
        <v>0</v>
      </c>
      <c r="AG199" s="576">
        <f t="shared" si="54"/>
        <v>0</v>
      </c>
      <c r="AH199" s="709">
        <f t="shared" si="55"/>
        <v>29940</v>
      </c>
      <c r="AI199" s="709">
        <f t="shared" si="56"/>
        <v>0</v>
      </c>
      <c r="AJ199" s="577">
        <f t="shared" si="57"/>
        <v>0</v>
      </c>
      <c r="AK199" s="582">
        <f t="shared" si="60"/>
        <v>-0.11176389543299908</v>
      </c>
      <c r="AL199" s="582" t="e">
        <f t="shared" si="58"/>
        <v>#REF!</v>
      </c>
      <c r="AM199" s="580" t="e">
        <f>VLOOKUP(F199,[7]PRM!E:R,14,FALSE)</f>
        <v>#N/A</v>
      </c>
      <c r="AN199" s="576" t="e">
        <f>T199-#REF!</f>
        <v>#REF!</v>
      </c>
      <c r="AO199" s="580"/>
    </row>
    <row r="200" spans="2:41" s="436" customFormat="1" ht="14" hidden="1">
      <c r="B200" s="801">
        <v>2605</v>
      </c>
      <c r="C200" s="1393" t="s">
        <v>14</v>
      </c>
      <c r="D200" s="1393"/>
      <c r="E200" s="1393"/>
      <c r="F200" s="1393" t="s">
        <v>67</v>
      </c>
      <c r="G200" s="566"/>
      <c r="H200" s="566"/>
      <c r="I200" s="566"/>
      <c r="J200" s="566">
        <v>6</v>
      </c>
      <c r="K200" s="566" t="s">
        <v>286</v>
      </c>
      <c r="L200" s="566">
        <v>24</v>
      </c>
      <c r="M200" s="576">
        <v>749</v>
      </c>
      <c r="N200" s="576">
        <f t="shared" si="63"/>
        <v>53928</v>
      </c>
      <c r="O200" s="566">
        <v>24</v>
      </c>
      <c r="P200" s="577">
        <f>IFERROR(_xlfn.XLOOKUP(F200,'[4]By Model'!$A:$A,'[4]By Model'!$K:$K),"")</f>
        <v>5.5125290147775285E-2</v>
      </c>
      <c r="Q200" s="578">
        <f>IFERROR(_xlfn.XLOOKUP(F200,'[5]By Model'!$A:$A,'[5]By Model'!$B:$B),"")</f>
        <v>31</v>
      </c>
      <c r="R200" s="579">
        <f>IFERROR(_xlfn.XLOOKUP(F200,'[4]By Model'!$A:$A,'[4]By Model'!$I:$I),"")</f>
        <v>614.70941824477609</v>
      </c>
      <c r="S200" s="578" t="str">
        <f>IFERROR(_xlfn.XLOOKUP(F200,[6]Sum!$G:$G,[6]Sum!$AM:$AM),"")</f>
        <v/>
      </c>
      <c r="T200" s="576">
        <v>399</v>
      </c>
      <c r="U200" s="576">
        <f t="shared" si="49"/>
        <v>28728</v>
      </c>
      <c r="V200" s="580">
        <v>0</v>
      </c>
      <c r="W200" s="576">
        <f t="shared" si="50"/>
        <v>0</v>
      </c>
      <c r="X200" s="576">
        <f t="shared" si="51"/>
        <v>28728</v>
      </c>
      <c r="Y200" s="581">
        <f t="shared" si="52"/>
        <v>-0.46728971962616828</v>
      </c>
      <c r="Z200" s="577">
        <f t="shared" si="59"/>
        <v>-0.17851956966530885</v>
      </c>
      <c r="AA200" s="577">
        <v>0.14696010831387615</v>
      </c>
      <c r="AB200" s="582"/>
      <c r="AC200" s="576">
        <v>399</v>
      </c>
      <c r="AD200" s="576">
        <f t="shared" si="53"/>
        <v>28728</v>
      </c>
      <c r="AE200" s="576"/>
      <c r="AF200" s="583">
        <v>0</v>
      </c>
      <c r="AG200" s="576">
        <f t="shared" si="54"/>
        <v>0</v>
      </c>
      <c r="AH200" s="709">
        <f t="shared" si="55"/>
        <v>28728</v>
      </c>
      <c r="AI200" s="709">
        <f t="shared" si="56"/>
        <v>0</v>
      </c>
      <c r="AJ200" s="577">
        <f t="shared" si="57"/>
        <v>0</v>
      </c>
      <c r="AK200" s="582">
        <f t="shared" si="60"/>
        <v>-0.17851956966530885</v>
      </c>
      <c r="AL200" s="582" t="e">
        <f t="shared" si="58"/>
        <v>#REF!</v>
      </c>
      <c r="AM200" s="580" t="e">
        <f>VLOOKUP(F200,[7]PRM!E:R,14,FALSE)</f>
        <v>#N/A</v>
      </c>
      <c r="AN200" s="576" t="e">
        <f>T200-#REF!</f>
        <v>#REF!</v>
      </c>
      <c r="AO200" s="580"/>
    </row>
    <row r="201" spans="2:41" s="436" customFormat="1" ht="14" hidden="1">
      <c r="B201" s="566">
        <v>2605</v>
      </c>
      <c r="C201" s="566" t="s">
        <v>14</v>
      </c>
      <c r="D201" s="566"/>
      <c r="E201" s="566"/>
      <c r="F201" s="566" t="s">
        <v>239</v>
      </c>
      <c r="G201" s="566"/>
      <c r="H201" s="566"/>
      <c r="I201" s="566"/>
      <c r="J201" s="566">
        <v>6</v>
      </c>
      <c r="K201" s="566" t="s">
        <v>215</v>
      </c>
      <c r="L201" s="566" t="s">
        <v>760</v>
      </c>
      <c r="M201" s="576">
        <v>199</v>
      </c>
      <c r="N201" s="576">
        <f t="shared" si="63"/>
        <v>14328</v>
      </c>
      <c r="O201" s="566" t="s">
        <v>760</v>
      </c>
      <c r="P201" s="577">
        <f>IFERROR(_xlfn.XLOOKUP(F201,'[4]By Model'!$A:$A,'[4]By Model'!$K:$K),"")</f>
        <v>7.1928243913607932E-3</v>
      </c>
      <c r="Q201" s="578">
        <f>IFERROR(_xlfn.XLOOKUP(F201,'[5]By Model'!$A:$A,'[5]By Model'!$B:$B),"")</f>
        <v>47</v>
      </c>
      <c r="R201" s="579">
        <f>IFERROR(_xlfn.XLOOKUP(F201,'[4]By Model'!$A:$A,'[4]By Model'!$I:$I),"")</f>
        <v>252.08355966170211</v>
      </c>
      <c r="S201" s="578" t="str">
        <f>IFERROR(_xlfn.XLOOKUP(F201,[6]Sum!$G:$G,[6]Sum!$AM:$AM),"")</f>
        <v/>
      </c>
      <c r="T201" s="576">
        <v>199</v>
      </c>
      <c r="U201" s="576">
        <f t="shared" si="49"/>
        <v>14328</v>
      </c>
      <c r="V201" s="580">
        <v>0</v>
      </c>
      <c r="W201" s="576">
        <f t="shared" si="50"/>
        <v>0</v>
      </c>
      <c r="X201" s="576">
        <f t="shared" si="51"/>
        <v>14328</v>
      </c>
      <c r="Y201" s="581">
        <f t="shared" si="52"/>
        <v>0</v>
      </c>
      <c r="Z201" s="577">
        <f t="shared" si="59"/>
        <v>7.1928243913607932E-3</v>
      </c>
      <c r="AA201" s="577">
        <v>9.7785234899328832E-2</v>
      </c>
      <c r="AB201" s="582"/>
      <c r="AC201" s="576">
        <v>199</v>
      </c>
      <c r="AD201" s="576">
        <f t="shared" si="53"/>
        <v>14328</v>
      </c>
      <c r="AE201" s="576"/>
      <c r="AF201" s="583">
        <v>0</v>
      </c>
      <c r="AG201" s="576">
        <f t="shared" si="54"/>
        <v>0</v>
      </c>
      <c r="AH201" s="709">
        <f t="shared" si="55"/>
        <v>14328</v>
      </c>
      <c r="AI201" s="709">
        <f t="shared" si="56"/>
        <v>0</v>
      </c>
      <c r="AJ201" s="577">
        <f t="shared" si="57"/>
        <v>0</v>
      </c>
      <c r="AK201" s="582">
        <f t="shared" si="60"/>
        <v>7.1928243913607932E-3</v>
      </c>
      <c r="AL201" s="582" t="e">
        <f t="shared" si="58"/>
        <v>#REF!</v>
      </c>
      <c r="AM201" s="580" t="e">
        <f>VLOOKUP(F201,[7]PRM!E:R,14,FALSE)</f>
        <v>#N/A</v>
      </c>
      <c r="AN201" s="576" t="e">
        <f>T201-#REF!</f>
        <v>#REF!</v>
      </c>
      <c r="AO201" s="580"/>
    </row>
    <row r="202" spans="2:41" s="436" customFormat="1" ht="14" hidden="1">
      <c r="B202" s="799">
        <v>2605</v>
      </c>
      <c r="C202" s="1391" t="str">
        <f t="shared" ref="C202" si="64">C203</f>
        <v>SAC</v>
      </c>
      <c r="D202" s="1391"/>
      <c r="E202" s="1391"/>
      <c r="F202" s="1391" t="s">
        <v>109</v>
      </c>
      <c r="G202" s="566"/>
      <c r="H202" s="566"/>
      <c r="I202" s="566"/>
      <c r="J202" s="566">
        <v>3</v>
      </c>
      <c r="K202" s="566" t="s">
        <v>286</v>
      </c>
      <c r="L202" s="566">
        <f t="shared" ref="L202:AA202" si="65">L203</f>
        <v>4</v>
      </c>
      <c r="M202" s="576">
        <v>2299</v>
      </c>
      <c r="N202" s="576">
        <f t="shared" si="63"/>
        <v>82764</v>
      </c>
      <c r="O202" s="566">
        <f t="shared" si="65"/>
        <v>4</v>
      </c>
      <c r="P202" s="577" t="str">
        <f>IFERROR(_xlfn.XLOOKUP(F202,'[4]By Model'!$A:$A,'[4]By Model'!$K:$K),"")</f>
        <v/>
      </c>
      <c r="Q202" s="578" t="str">
        <f>IFERROR(_xlfn.XLOOKUP(F202,'[5]By Model'!$A:$A,'[5]By Model'!$B:$B),"")</f>
        <v/>
      </c>
      <c r="R202" s="579" t="str">
        <f>IFERROR(_xlfn.XLOOKUP(F202,'[4]By Model'!$A:$A,'[4]By Model'!$I:$I),"")</f>
        <v/>
      </c>
      <c r="S202" s="578" t="str">
        <f>IFERROR(_xlfn.XLOOKUP(F202,[6]Sum!$G:$G,[6]Sum!$AM:$AM),"")</f>
        <v/>
      </c>
      <c r="T202" s="576">
        <v>2199</v>
      </c>
      <c r="U202" s="576">
        <f t="shared" si="49"/>
        <v>79164</v>
      </c>
      <c r="V202" s="580">
        <v>0</v>
      </c>
      <c r="W202" s="576">
        <f t="shared" si="50"/>
        <v>0</v>
      </c>
      <c r="X202" s="576">
        <f t="shared" si="51"/>
        <v>79164</v>
      </c>
      <c r="Y202" s="581">
        <f t="shared" si="52"/>
        <v>-4.3497172683775509E-2</v>
      </c>
      <c r="Z202" s="577" t="str">
        <f t="shared" si="59"/>
        <v/>
      </c>
      <c r="AA202" s="577">
        <f t="shared" si="65"/>
        <v>0.16449114703618173</v>
      </c>
      <c r="AB202" s="582"/>
      <c r="AC202" s="576">
        <v>2199</v>
      </c>
      <c r="AD202" s="576">
        <f t="shared" si="53"/>
        <v>79164</v>
      </c>
      <c r="AE202" s="581">
        <f>AD202/AD203</f>
        <v>0.88018679119412946</v>
      </c>
      <c r="AF202" s="580">
        <v>0</v>
      </c>
      <c r="AG202" s="576">
        <f t="shared" si="54"/>
        <v>0</v>
      </c>
      <c r="AH202" s="709">
        <f t="shared" si="55"/>
        <v>79164</v>
      </c>
      <c r="AI202" s="709">
        <f t="shared" si="56"/>
        <v>0</v>
      </c>
      <c r="AJ202" s="577">
        <f t="shared" si="57"/>
        <v>0</v>
      </c>
      <c r="AK202" s="582" t="str">
        <f t="shared" si="60"/>
        <v/>
      </c>
      <c r="AL202" s="582" t="e">
        <f t="shared" si="58"/>
        <v>#REF!</v>
      </c>
      <c r="AM202" s="580"/>
      <c r="AN202" s="576"/>
      <c r="AO202" s="580"/>
    </row>
    <row r="203" spans="2:41" s="436" customFormat="1" ht="14" hidden="1">
      <c r="B203" s="801">
        <v>2605</v>
      </c>
      <c r="C203" s="1393" t="s">
        <v>114</v>
      </c>
      <c r="D203" s="1393"/>
      <c r="E203" s="1393"/>
      <c r="F203" s="1393"/>
      <c r="G203" s="566"/>
      <c r="H203" s="566"/>
      <c r="I203" s="566"/>
      <c r="J203" s="566">
        <v>5</v>
      </c>
      <c r="K203" s="566" t="s">
        <v>286</v>
      </c>
      <c r="L203" s="566">
        <v>4</v>
      </c>
      <c r="M203" s="576">
        <v>1399</v>
      </c>
      <c r="N203" s="576">
        <f t="shared" si="63"/>
        <v>83940</v>
      </c>
      <c r="O203" s="566">
        <v>4</v>
      </c>
      <c r="P203" s="577" t="str">
        <f>IFERROR(_xlfn.XLOOKUP(F203,'[4]By Model'!$A:$A,'[4]By Model'!$K:$K),"")</f>
        <v/>
      </c>
      <c r="Q203" s="578" t="str">
        <f>IFERROR(_xlfn.XLOOKUP(F203,'[5]By Model'!$A:$A,'[5]By Model'!$B:$B),"")</f>
        <v/>
      </c>
      <c r="R203" s="579" t="str">
        <f>IFERROR(_xlfn.XLOOKUP(F203,'[4]By Model'!$A:$A,'[4]By Model'!$I:$I),"")</f>
        <v/>
      </c>
      <c r="S203" s="578" t="str">
        <f>IFERROR(_xlfn.XLOOKUP(F203,[6]Sum!$G:$G,[6]Sum!$AM:$AM),"")</f>
        <v/>
      </c>
      <c r="T203" s="576">
        <v>1399</v>
      </c>
      <c r="U203" s="576">
        <f t="shared" si="49"/>
        <v>83940</v>
      </c>
      <c r="V203" s="580">
        <v>0</v>
      </c>
      <c r="W203" s="576">
        <f t="shared" si="50"/>
        <v>0</v>
      </c>
      <c r="X203" s="576">
        <f t="shared" si="51"/>
        <v>83940</v>
      </c>
      <c r="Y203" s="581">
        <f t="shared" si="52"/>
        <v>0</v>
      </c>
      <c r="Z203" s="577" t="str">
        <f t="shared" si="59"/>
        <v/>
      </c>
      <c r="AA203" s="577">
        <v>0.16449114703618173</v>
      </c>
      <c r="AB203" s="582"/>
      <c r="AC203" s="576">
        <v>1499</v>
      </c>
      <c r="AD203" s="576">
        <f t="shared" si="53"/>
        <v>89940</v>
      </c>
      <c r="AE203" s="711"/>
      <c r="AF203" s="583">
        <v>0</v>
      </c>
      <c r="AG203" s="576">
        <f t="shared" si="54"/>
        <v>0</v>
      </c>
      <c r="AH203" s="709">
        <f t="shared" si="55"/>
        <v>89940</v>
      </c>
      <c r="AI203" s="709">
        <f t="shared" si="56"/>
        <v>6000</v>
      </c>
      <c r="AJ203" s="577">
        <f t="shared" si="57"/>
        <v>7.147962830593281E-2</v>
      </c>
      <c r="AK203" s="582" t="str">
        <f t="shared" si="60"/>
        <v/>
      </c>
      <c r="AL203" s="582" t="e">
        <f t="shared" si="58"/>
        <v>#REF!</v>
      </c>
      <c r="AM203" s="580" t="e">
        <f>VLOOKUP(F203,[7]PRM!E:R,14,FALSE)</f>
        <v>#N/A</v>
      </c>
      <c r="AN203" s="576" t="e">
        <f>T203-#REF!</f>
        <v>#REF!</v>
      </c>
      <c r="AO203" s="580"/>
    </row>
    <row r="204" spans="2:41" s="436" customFormat="1" ht="14" hidden="1">
      <c r="B204" s="799">
        <v>2605</v>
      </c>
      <c r="C204" s="1391" t="str">
        <f t="shared" ref="C204" si="66">C205</f>
        <v>SAC</v>
      </c>
      <c r="D204" s="1391"/>
      <c r="E204" s="1391"/>
      <c r="F204" s="1391" t="s">
        <v>105</v>
      </c>
      <c r="G204" s="566"/>
      <c r="H204" s="566"/>
      <c r="I204" s="566"/>
      <c r="J204" s="566">
        <v>3</v>
      </c>
      <c r="K204" s="566" t="s">
        <v>286</v>
      </c>
      <c r="L204" s="566">
        <f t="shared" ref="L204:AA204" si="67">L205</f>
        <v>4</v>
      </c>
      <c r="M204" s="576">
        <v>2799</v>
      </c>
      <c r="N204" s="576">
        <f t="shared" si="63"/>
        <v>100764</v>
      </c>
      <c r="O204" s="566">
        <f t="shared" si="67"/>
        <v>4</v>
      </c>
      <c r="P204" s="577" t="str">
        <f>IFERROR(_xlfn.XLOOKUP(F204,'[4]By Model'!$A:$A,'[4]By Model'!$K:$K),"")</f>
        <v/>
      </c>
      <c r="Q204" s="578" t="str">
        <f>IFERROR(_xlfn.XLOOKUP(F204,'[5]By Model'!$A:$A,'[5]By Model'!$B:$B),"")</f>
        <v/>
      </c>
      <c r="R204" s="579" t="str">
        <f>IFERROR(_xlfn.XLOOKUP(F204,'[4]By Model'!$A:$A,'[4]By Model'!$I:$I),"")</f>
        <v/>
      </c>
      <c r="S204" s="578" t="str">
        <f>IFERROR(_xlfn.XLOOKUP(F204,[6]Sum!$G:$G,[6]Sum!$AM:$AM),"")</f>
        <v/>
      </c>
      <c r="T204" s="576">
        <v>2649</v>
      </c>
      <c r="U204" s="576">
        <f t="shared" si="49"/>
        <v>95364</v>
      </c>
      <c r="V204" s="580">
        <v>0</v>
      </c>
      <c r="W204" s="576">
        <f t="shared" si="50"/>
        <v>0</v>
      </c>
      <c r="X204" s="576">
        <f t="shared" si="51"/>
        <v>95364</v>
      </c>
      <c r="Y204" s="581">
        <f t="shared" si="52"/>
        <v>-5.3590568060021382E-2</v>
      </c>
      <c r="Z204" s="577" t="str">
        <f t="shared" si="59"/>
        <v/>
      </c>
      <c r="AA204" s="577">
        <f t="shared" si="67"/>
        <v>0.14932140691328077</v>
      </c>
      <c r="AB204" s="582"/>
      <c r="AC204" s="576">
        <v>2649</v>
      </c>
      <c r="AD204" s="576">
        <f t="shared" si="53"/>
        <v>95364</v>
      </c>
      <c r="AE204" s="581">
        <f>AD204/AD205</f>
        <v>0.85959978366684697</v>
      </c>
      <c r="AF204" s="580">
        <v>0</v>
      </c>
      <c r="AG204" s="576">
        <f t="shared" si="54"/>
        <v>0</v>
      </c>
      <c r="AH204" s="709">
        <f t="shared" si="55"/>
        <v>95364</v>
      </c>
      <c r="AI204" s="709">
        <f t="shared" si="56"/>
        <v>0</v>
      </c>
      <c r="AJ204" s="577">
        <f t="shared" si="57"/>
        <v>0</v>
      </c>
      <c r="AK204" s="582" t="str">
        <f t="shared" si="60"/>
        <v/>
      </c>
      <c r="AL204" s="582" t="e">
        <f t="shared" si="58"/>
        <v>#REF!</v>
      </c>
      <c r="AM204" s="580"/>
      <c r="AN204" s="576"/>
      <c r="AO204" s="580"/>
    </row>
    <row r="205" spans="2:41" s="436" customFormat="1" ht="14" hidden="1">
      <c r="B205" s="801">
        <v>2605</v>
      </c>
      <c r="C205" s="1393" t="s">
        <v>114</v>
      </c>
      <c r="D205" s="1393"/>
      <c r="E205" s="1393"/>
      <c r="F205" s="1393" t="s">
        <v>105</v>
      </c>
      <c r="G205" s="566"/>
      <c r="H205" s="566"/>
      <c r="I205" s="566"/>
      <c r="J205" s="566">
        <v>5</v>
      </c>
      <c r="K205" s="566" t="s">
        <v>286</v>
      </c>
      <c r="L205" s="566">
        <v>4</v>
      </c>
      <c r="M205" s="576">
        <v>1749</v>
      </c>
      <c r="N205" s="576">
        <f t="shared" si="63"/>
        <v>104940</v>
      </c>
      <c r="O205" s="566">
        <v>4</v>
      </c>
      <c r="P205" s="577" t="str">
        <f>IFERROR(_xlfn.XLOOKUP(F205,'[4]By Model'!$A:$A,'[4]By Model'!$K:$K),"")</f>
        <v/>
      </c>
      <c r="Q205" s="578" t="str">
        <f>IFERROR(_xlfn.XLOOKUP(F205,'[5]By Model'!$A:$A,'[5]By Model'!$B:$B),"")</f>
        <v/>
      </c>
      <c r="R205" s="579" t="str">
        <f>IFERROR(_xlfn.XLOOKUP(F205,'[4]By Model'!$A:$A,'[4]By Model'!$I:$I),"")</f>
        <v/>
      </c>
      <c r="S205" s="578" t="str">
        <f>IFERROR(_xlfn.XLOOKUP(F205,[6]Sum!$G:$G,[6]Sum!$AM:$AM),"")</f>
        <v/>
      </c>
      <c r="T205" s="576">
        <v>1749</v>
      </c>
      <c r="U205" s="576">
        <f t="shared" si="49"/>
        <v>104940</v>
      </c>
      <c r="V205" s="580">
        <v>0</v>
      </c>
      <c r="W205" s="576">
        <f t="shared" si="50"/>
        <v>0</v>
      </c>
      <c r="X205" s="576">
        <f t="shared" si="51"/>
        <v>104940</v>
      </c>
      <c r="Y205" s="581">
        <f t="shared" si="52"/>
        <v>0</v>
      </c>
      <c r="Z205" s="577" t="str">
        <f t="shared" si="59"/>
        <v/>
      </c>
      <c r="AA205" s="577">
        <v>0.14932140691328077</v>
      </c>
      <c r="AB205" s="582"/>
      <c r="AC205" s="576">
        <v>1849</v>
      </c>
      <c r="AD205" s="576">
        <f t="shared" si="53"/>
        <v>110940</v>
      </c>
      <c r="AE205" s="711"/>
      <c r="AF205" s="583">
        <v>0</v>
      </c>
      <c r="AG205" s="576">
        <f t="shared" si="54"/>
        <v>0</v>
      </c>
      <c r="AH205" s="709">
        <f t="shared" si="55"/>
        <v>110940</v>
      </c>
      <c r="AI205" s="709">
        <f t="shared" si="56"/>
        <v>6000</v>
      </c>
      <c r="AJ205" s="577">
        <f t="shared" si="57"/>
        <v>5.7175528873642079E-2</v>
      </c>
      <c r="AK205" s="582" t="str">
        <f t="shared" si="60"/>
        <v/>
      </c>
      <c r="AL205" s="582" t="e">
        <f t="shared" si="58"/>
        <v>#REF!</v>
      </c>
      <c r="AM205" s="580" t="e">
        <f>VLOOKUP(F205,[7]PRM!E:R,14,FALSE)</f>
        <v>#N/A</v>
      </c>
      <c r="AN205" s="576" t="e">
        <f>T205-#REF!</f>
        <v>#REF!</v>
      </c>
      <c r="AO205" s="580"/>
    </row>
    <row r="206" spans="2:41" s="436" customFormat="1" ht="14" hidden="1">
      <c r="B206" s="799">
        <v>2605</v>
      </c>
      <c r="C206" s="1391" t="str">
        <f t="shared" ref="C206" si="68">C207</f>
        <v>SAC</v>
      </c>
      <c r="D206" s="1391"/>
      <c r="E206" s="1391"/>
      <c r="F206" s="1391" t="s">
        <v>110</v>
      </c>
      <c r="G206" s="566"/>
      <c r="H206" s="566"/>
      <c r="I206" s="566"/>
      <c r="J206" s="566">
        <v>3</v>
      </c>
      <c r="K206" s="566" t="s">
        <v>286</v>
      </c>
      <c r="L206" s="566">
        <f t="shared" ref="L206:AA206" si="69">L207</f>
        <v>4</v>
      </c>
      <c r="M206" s="576">
        <v>2599</v>
      </c>
      <c r="N206" s="576">
        <f t="shared" si="63"/>
        <v>93564</v>
      </c>
      <c r="O206" s="566">
        <f t="shared" si="69"/>
        <v>4</v>
      </c>
      <c r="P206" s="577" t="str">
        <f>IFERROR(_xlfn.XLOOKUP(F206,'[4]By Model'!$A:$A,'[4]By Model'!$K:$K),"")</f>
        <v/>
      </c>
      <c r="Q206" s="578" t="str">
        <f>IFERROR(_xlfn.XLOOKUP(F206,'[5]By Model'!$A:$A,'[5]By Model'!$B:$B),"")</f>
        <v/>
      </c>
      <c r="R206" s="579" t="str">
        <f>IFERROR(_xlfn.XLOOKUP(F206,'[4]By Model'!$A:$A,'[4]By Model'!$I:$I),"")</f>
        <v/>
      </c>
      <c r="S206" s="578" t="str">
        <f>IFERROR(_xlfn.XLOOKUP(F206,[6]Sum!$G:$G,[6]Sum!$AM:$AM),"")</f>
        <v/>
      </c>
      <c r="T206" s="576">
        <v>2349</v>
      </c>
      <c r="U206" s="576">
        <f t="shared" si="49"/>
        <v>84564</v>
      </c>
      <c r="V206" s="580">
        <v>0</v>
      </c>
      <c r="W206" s="576">
        <f t="shared" si="50"/>
        <v>0</v>
      </c>
      <c r="X206" s="576">
        <f t="shared" si="51"/>
        <v>84564</v>
      </c>
      <c r="Y206" s="581">
        <f t="shared" si="52"/>
        <v>-9.6190842631781459E-2</v>
      </c>
      <c r="Z206" s="577" t="str">
        <f t="shared" si="59"/>
        <v/>
      </c>
      <c r="AA206" s="577">
        <f t="shared" si="69"/>
        <v>0.15473981415296645</v>
      </c>
      <c r="AB206" s="582"/>
      <c r="AC206" s="576">
        <v>2349</v>
      </c>
      <c r="AD206" s="576">
        <f t="shared" si="53"/>
        <v>84564</v>
      </c>
      <c r="AE206" s="581">
        <f>AD206/AD207</f>
        <v>0.88142589118198877</v>
      </c>
      <c r="AF206" s="580">
        <v>0</v>
      </c>
      <c r="AG206" s="576">
        <f t="shared" si="54"/>
        <v>0</v>
      </c>
      <c r="AH206" s="709">
        <f t="shared" si="55"/>
        <v>84564</v>
      </c>
      <c r="AI206" s="709">
        <f t="shared" si="56"/>
        <v>0</v>
      </c>
      <c r="AJ206" s="577">
        <f t="shared" si="57"/>
        <v>0</v>
      </c>
      <c r="AK206" s="582" t="str">
        <f t="shared" si="60"/>
        <v/>
      </c>
      <c r="AL206" s="582" t="e">
        <f t="shared" si="58"/>
        <v>#REF!</v>
      </c>
      <c r="AM206" s="580"/>
      <c r="AN206" s="576"/>
      <c r="AO206" s="580"/>
    </row>
    <row r="207" spans="2:41" s="436" customFormat="1" ht="14" hidden="1">
      <c r="B207" s="801">
        <v>2605</v>
      </c>
      <c r="C207" s="1393" t="s">
        <v>114</v>
      </c>
      <c r="D207" s="1393"/>
      <c r="E207" s="1393"/>
      <c r="F207" s="1393" t="s">
        <v>110</v>
      </c>
      <c r="G207" s="566"/>
      <c r="H207" s="566"/>
      <c r="I207" s="566"/>
      <c r="J207" s="566">
        <v>5</v>
      </c>
      <c r="K207" s="566" t="s">
        <v>286</v>
      </c>
      <c r="L207" s="566">
        <v>4</v>
      </c>
      <c r="M207" s="576">
        <v>1499</v>
      </c>
      <c r="N207" s="576">
        <f t="shared" si="63"/>
        <v>89940</v>
      </c>
      <c r="O207" s="566">
        <v>4</v>
      </c>
      <c r="P207" s="577" t="str">
        <f>IFERROR(_xlfn.XLOOKUP(F207,'[4]By Model'!$A:$A,'[4]By Model'!$K:$K),"")</f>
        <v/>
      </c>
      <c r="Q207" s="578" t="str">
        <f>IFERROR(_xlfn.XLOOKUP(F207,'[5]By Model'!$A:$A,'[5]By Model'!$B:$B),"")</f>
        <v/>
      </c>
      <c r="R207" s="579" t="str">
        <f>IFERROR(_xlfn.XLOOKUP(F207,'[4]By Model'!$A:$A,'[4]By Model'!$I:$I),"")</f>
        <v/>
      </c>
      <c r="S207" s="578" t="str">
        <f>IFERROR(_xlfn.XLOOKUP(F207,[6]Sum!$G:$G,[6]Sum!$AM:$AM),"")</f>
        <v/>
      </c>
      <c r="T207" s="576">
        <v>1499</v>
      </c>
      <c r="U207" s="576">
        <f t="shared" si="49"/>
        <v>89940</v>
      </c>
      <c r="V207" s="580">
        <v>0</v>
      </c>
      <c r="W207" s="576">
        <f t="shared" si="50"/>
        <v>0</v>
      </c>
      <c r="X207" s="576">
        <f t="shared" si="51"/>
        <v>89940</v>
      </c>
      <c r="Y207" s="581">
        <f t="shared" si="52"/>
        <v>0</v>
      </c>
      <c r="Z207" s="577" t="str">
        <f t="shared" si="59"/>
        <v/>
      </c>
      <c r="AA207" s="577">
        <v>0.15473981415296645</v>
      </c>
      <c r="AB207" s="582"/>
      <c r="AC207" s="576">
        <v>1599</v>
      </c>
      <c r="AD207" s="576">
        <f t="shared" si="53"/>
        <v>95940</v>
      </c>
      <c r="AE207" s="711"/>
      <c r="AF207" s="583">
        <v>0</v>
      </c>
      <c r="AG207" s="576">
        <f t="shared" si="54"/>
        <v>0</v>
      </c>
      <c r="AH207" s="709">
        <f t="shared" si="55"/>
        <v>95940</v>
      </c>
      <c r="AI207" s="709">
        <f t="shared" si="56"/>
        <v>6000</v>
      </c>
      <c r="AJ207" s="577">
        <f t="shared" si="57"/>
        <v>6.6711140760507007E-2</v>
      </c>
      <c r="AK207" s="582" t="str">
        <f t="shared" si="60"/>
        <v/>
      </c>
      <c r="AL207" s="582" t="e">
        <f t="shared" si="58"/>
        <v>#REF!</v>
      </c>
      <c r="AM207" s="580" t="e">
        <f>VLOOKUP(F207,[7]PRM!E:R,14,FALSE)</f>
        <v>#N/A</v>
      </c>
      <c r="AN207" s="576" t="e">
        <f>T207-#REF!</f>
        <v>#REF!</v>
      </c>
      <c r="AO207" s="580"/>
    </row>
    <row r="208" spans="2:41" s="436" customFormat="1" ht="14" hidden="1">
      <c r="B208" s="799">
        <v>2605</v>
      </c>
      <c r="C208" s="1391" t="str">
        <f t="shared" ref="C208" si="70">C209</f>
        <v>SAC</v>
      </c>
      <c r="D208" s="1391"/>
      <c r="E208" s="1391"/>
      <c r="F208" s="1391" t="s">
        <v>532</v>
      </c>
      <c r="G208" s="566"/>
      <c r="H208" s="566"/>
      <c r="I208" s="566"/>
      <c r="J208" s="566">
        <v>3</v>
      </c>
      <c r="K208" s="566" t="s">
        <v>286</v>
      </c>
      <c r="L208" s="566">
        <f t="shared" ref="L208:AA208" si="71">L209</f>
        <v>4</v>
      </c>
      <c r="M208" s="576">
        <v>2799</v>
      </c>
      <c r="N208" s="576">
        <f t="shared" si="63"/>
        <v>100764</v>
      </c>
      <c r="O208" s="566">
        <f t="shared" si="71"/>
        <v>4</v>
      </c>
      <c r="P208" s="577" t="str">
        <f>IFERROR(_xlfn.XLOOKUP(F208,'[4]By Model'!$A:$A,'[4]By Model'!$K:$K),"")</f>
        <v/>
      </c>
      <c r="Q208" s="578" t="str">
        <f>IFERROR(_xlfn.XLOOKUP(F208,'[5]By Model'!$A:$A,'[5]By Model'!$B:$B),"")</f>
        <v/>
      </c>
      <c r="R208" s="579" t="str">
        <f>IFERROR(_xlfn.XLOOKUP(F208,'[4]By Model'!$A:$A,'[4]By Model'!$I:$I),"")</f>
        <v/>
      </c>
      <c r="S208" s="578" t="str">
        <f>IFERROR(_xlfn.XLOOKUP(F208,[6]Sum!$G:$G,[6]Sum!$AM:$AM),"")</f>
        <v/>
      </c>
      <c r="T208" s="576">
        <v>2699</v>
      </c>
      <c r="U208" s="576">
        <f t="shared" si="49"/>
        <v>97164</v>
      </c>
      <c r="V208" s="580">
        <v>0</v>
      </c>
      <c r="W208" s="576">
        <f t="shared" si="50"/>
        <v>0</v>
      </c>
      <c r="X208" s="576">
        <f t="shared" si="51"/>
        <v>97164</v>
      </c>
      <c r="Y208" s="581">
        <f t="shared" si="52"/>
        <v>-3.5727045373347588E-2</v>
      </c>
      <c r="Z208" s="577" t="str">
        <f t="shared" si="59"/>
        <v/>
      </c>
      <c r="AA208" s="577">
        <f t="shared" si="71"/>
        <v>4.9429075927015939E-2</v>
      </c>
      <c r="AB208" s="582"/>
      <c r="AC208" s="576">
        <v>2699</v>
      </c>
      <c r="AD208" s="576">
        <f t="shared" si="53"/>
        <v>97164</v>
      </c>
      <c r="AE208" s="581">
        <f>AD208/AD209</f>
        <v>0.85276461295418637</v>
      </c>
      <c r="AF208" s="580">
        <v>0</v>
      </c>
      <c r="AG208" s="576">
        <f t="shared" si="54"/>
        <v>0</v>
      </c>
      <c r="AH208" s="709">
        <f t="shared" si="55"/>
        <v>97164</v>
      </c>
      <c r="AI208" s="709">
        <f t="shared" si="56"/>
        <v>0</v>
      </c>
      <c r="AJ208" s="577">
        <f t="shared" si="57"/>
        <v>0</v>
      </c>
      <c r="AK208" s="582" t="str">
        <f t="shared" si="60"/>
        <v/>
      </c>
      <c r="AL208" s="582" t="e">
        <f t="shared" si="58"/>
        <v>#REF!</v>
      </c>
      <c r="AM208" s="580"/>
      <c r="AN208" s="576"/>
      <c r="AO208" s="580"/>
    </row>
    <row r="209" spans="2:41" s="436" customFormat="1" ht="14" hidden="1">
      <c r="B209" s="801">
        <v>2605</v>
      </c>
      <c r="C209" s="1393" t="s">
        <v>114</v>
      </c>
      <c r="D209" s="1393"/>
      <c r="E209" s="1393"/>
      <c r="F209" s="1393" t="s">
        <v>532</v>
      </c>
      <c r="G209" s="566"/>
      <c r="H209" s="566"/>
      <c r="I209" s="566"/>
      <c r="J209" s="566">
        <v>5</v>
      </c>
      <c r="K209" s="566" t="s">
        <v>286</v>
      </c>
      <c r="L209" s="566">
        <v>4</v>
      </c>
      <c r="M209" s="576">
        <v>1799</v>
      </c>
      <c r="N209" s="576">
        <f t="shared" si="63"/>
        <v>107940</v>
      </c>
      <c r="O209" s="566">
        <v>4</v>
      </c>
      <c r="P209" s="577" t="str">
        <f>IFERROR(_xlfn.XLOOKUP(F209,'[4]By Model'!$A:$A,'[4]By Model'!$K:$K),"")</f>
        <v/>
      </c>
      <c r="Q209" s="578" t="str">
        <f>IFERROR(_xlfn.XLOOKUP(F209,'[5]By Model'!$A:$A,'[5]By Model'!$B:$B),"")</f>
        <v/>
      </c>
      <c r="R209" s="579" t="str">
        <f>IFERROR(_xlfn.XLOOKUP(F209,'[4]By Model'!$A:$A,'[4]By Model'!$I:$I),"")</f>
        <v/>
      </c>
      <c r="S209" s="578" t="str">
        <f>IFERROR(_xlfn.XLOOKUP(F209,[6]Sum!$G:$G,[6]Sum!$AM:$AM),"")</f>
        <v/>
      </c>
      <c r="T209" s="576">
        <v>1799</v>
      </c>
      <c r="U209" s="576">
        <f t="shared" si="49"/>
        <v>107940</v>
      </c>
      <c r="V209" s="580">
        <v>0</v>
      </c>
      <c r="W209" s="576">
        <f t="shared" si="50"/>
        <v>0</v>
      </c>
      <c r="X209" s="576">
        <f t="shared" si="51"/>
        <v>107940</v>
      </c>
      <c r="Y209" s="581">
        <f t="shared" si="52"/>
        <v>0</v>
      </c>
      <c r="Z209" s="577" t="str">
        <f t="shared" si="59"/>
        <v/>
      </c>
      <c r="AA209" s="577">
        <v>4.9429075927015939E-2</v>
      </c>
      <c r="AB209" s="582"/>
      <c r="AC209" s="576">
        <v>1899</v>
      </c>
      <c r="AD209" s="576">
        <f t="shared" si="53"/>
        <v>113940</v>
      </c>
      <c r="AE209" s="711"/>
      <c r="AF209" s="583">
        <v>0</v>
      </c>
      <c r="AG209" s="576">
        <f t="shared" si="54"/>
        <v>0</v>
      </c>
      <c r="AH209" s="709">
        <f t="shared" si="55"/>
        <v>113940</v>
      </c>
      <c r="AI209" s="709">
        <f t="shared" si="56"/>
        <v>6000</v>
      </c>
      <c r="AJ209" s="577">
        <f t="shared" si="57"/>
        <v>5.5586436909394105E-2</v>
      </c>
      <c r="AK209" s="582" t="str">
        <f t="shared" si="60"/>
        <v/>
      </c>
      <c r="AL209" s="582" t="e">
        <f t="shared" si="58"/>
        <v>#REF!</v>
      </c>
      <c r="AM209" s="580" t="e">
        <f>VLOOKUP(F209,[7]PRM!E:R,14,FALSE)</f>
        <v>#N/A</v>
      </c>
      <c r="AN209" s="576" t="e">
        <f>T209-#REF!</f>
        <v>#REF!</v>
      </c>
      <c r="AO209" s="580"/>
    </row>
    <row r="210" spans="2:41" s="436" customFormat="1" ht="14" hidden="1">
      <c r="B210" s="799">
        <v>2605</v>
      </c>
      <c r="C210" s="1391" t="str">
        <f t="shared" ref="C210" si="72">C211</f>
        <v>SAC</v>
      </c>
      <c r="D210" s="1391"/>
      <c r="E210" s="1391"/>
      <c r="F210" s="1391" t="s">
        <v>111</v>
      </c>
      <c r="G210" s="566"/>
      <c r="H210" s="566"/>
      <c r="I210" s="566"/>
      <c r="J210" s="566">
        <v>3</v>
      </c>
      <c r="K210" s="566" t="s">
        <v>286</v>
      </c>
      <c r="L210" s="566">
        <f t="shared" ref="L210:AA210" si="73">L211</f>
        <v>4</v>
      </c>
      <c r="M210" s="576">
        <v>2849</v>
      </c>
      <c r="N210" s="576">
        <f t="shared" si="63"/>
        <v>102564</v>
      </c>
      <c r="O210" s="566">
        <f t="shared" si="73"/>
        <v>4</v>
      </c>
      <c r="P210" s="577" t="str">
        <f>IFERROR(_xlfn.XLOOKUP(F210,'[4]By Model'!$A:$A,'[4]By Model'!$K:$K),"")</f>
        <v/>
      </c>
      <c r="Q210" s="578" t="str">
        <f>IFERROR(_xlfn.XLOOKUP(F210,'[5]By Model'!$A:$A,'[5]By Model'!$B:$B),"")</f>
        <v/>
      </c>
      <c r="R210" s="579" t="str">
        <f>IFERROR(_xlfn.XLOOKUP(F210,'[4]By Model'!$A:$A,'[4]By Model'!$I:$I),"")</f>
        <v/>
      </c>
      <c r="S210" s="578" t="str">
        <f>IFERROR(_xlfn.XLOOKUP(F210,[6]Sum!$G:$G,[6]Sum!$AM:$AM),"")</f>
        <v/>
      </c>
      <c r="T210" s="576">
        <v>2499</v>
      </c>
      <c r="U210" s="576">
        <f t="shared" si="49"/>
        <v>89964</v>
      </c>
      <c r="V210" s="580">
        <v>0</v>
      </c>
      <c r="W210" s="576">
        <f t="shared" si="50"/>
        <v>0</v>
      </c>
      <c r="X210" s="576">
        <f t="shared" si="51"/>
        <v>89964</v>
      </c>
      <c r="Y210" s="581">
        <f t="shared" si="52"/>
        <v>-0.12285012285012287</v>
      </c>
      <c r="Z210" s="577" t="str">
        <f t="shared" si="59"/>
        <v/>
      </c>
      <c r="AA210" s="577">
        <f t="shared" si="73"/>
        <v>0.14135557038025348</v>
      </c>
      <c r="AB210" s="582"/>
      <c r="AC210" s="576">
        <v>2499</v>
      </c>
      <c r="AD210" s="576">
        <f t="shared" si="53"/>
        <v>89964</v>
      </c>
      <c r="AE210" s="581">
        <f>AD210/AD211</f>
        <v>0.88251912889935258</v>
      </c>
      <c r="AF210" s="580">
        <v>0</v>
      </c>
      <c r="AG210" s="576">
        <f t="shared" si="54"/>
        <v>0</v>
      </c>
      <c r="AH210" s="709">
        <f t="shared" si="55"/>
        <v>89964</v>
      </c>
      <c r="AI210" s="709">
        <f t="shared" si="56"/>
        <v>0</v>
      </c>
      <c r="AJ210" s="577">
        <f t="shared" si="57"/>
        <v>0</v>
      </c>
      <c r="AK210" s="582" t="str">
        <f t="shared" si="60"/>
        <v/>
      </c>
      <c r="AL210" s="582" t="e">
        <f t="shared" si="58"/>
        <v>#REF!</v>
      </c>
      <c r="AM210" s="580"/>
      <c r="AN210" s="576"/>
      <c r="AO210" s="580"/>
    </row>
    <row r="211" spans="2:41" s="436" customFormat="1" ht="14" hidden="1">
      <c r="B211" s="801">
        <v>2605</v>
      </c>
      <c r="C211" s="1393" t="s">
        <v>114</v>
      </c>
      <c r="D211" s="1393"/>
      <c r="E211" s="1393"/>
      <c r="F211" s="1393" t="s">
        <v>111</v>
      </c>
      <c r="G211" s="566"/>
      <c r="H211" s="566"/>
      <c r="I211" s="566"/>
      <c r="J211" s="566">
        <v>5</v>
      </c>
      <c r="K211" s="566" t="s">
        <v>286</v>
      </c>
      <c r="L211" s="566">
        <v>4</v>
      </c>
      <c r="M211" s="576">
        <v>1599</v>
      </c>
      <c r="N211" s="576">
        <f t="shared" si="63"/>
        <v>95940</v>
      </c>
      <c r="O211" s="566">
        <v>4</v>
      </c>
      <c r="P211" s="577" t="str">
        <f>IFERROR(_xlfn.XLOOKUP(F211,'[4]By Model'!$A:$A,'[4]By Model'!$K:$K),"")</f>
        <v/>
      </c>
      <c r="Q211" s="578" t="str">
        <f>IFERROR(_xlfn.XLOOKUP(F211,'[5]By Model'!$A:$A,'[5]By Model'!$B:$B),"")</f>
        <v/>
      </c>
      <c r="R211" s="579" t="str">
        <f>IFERROR(_xlfn.XLOOKUP(F211,'[4]By Model'!$A:$A,'[4]By Model'!$I:$I),"")</f>
        <v/>
      </c>
      <c r="S211" s="578" t="str">
        <f>IFERROR(_xlfn.XLOOKUP(F211,[6]Sum!$G:$G,[6]Sum!$AM:$AM),"")</f>
        <v/>
      </c>
      <c r="T211" s="576">
        <v>1599</v>
      </c>
      <c r="U211" s="576">
        <f t="shared" si="49"/>
        <v>95940</v>
      </c>
      <c r="V211" s="580">
        <v>0</v>
      </c>
      <c r="W211" s="576">
        <f t="shared" si="50"/>
        <v>0</v>
      </c>
      <c r="X211" s="576">
        <f t="shared" si="51"/>
        <v>95940</v>
      </c>
      <c r="Y211" s="581">
        <f t="shared" si="52"/>
        <v>0</v>
      </c>
      <c r="Z211" s="577" t="str">
        <f t="shared" si="59"/>
        <v/>
      </c>
      <c r="AA211" s="577">
        <v>0.14135557038025348</v>
      </c>
      <c r="AB211" s="582"/>
      <c r="AC211" s="576">
        <v>1699</v>
      </c>
      <c r="AD211" s="576">
        <f t="shared" si="53"/>
        <v>101940</v>
      </c>
      <c r="AE211" s="711"/>
      <c r="AF211" s="583">
        <v>0</v>
      </c>
      <c r="AG211" s="576">
        <f t="shared" si="54"/>
        <v>0</v>
      </c>
      <c r="AH211" s="709">
        <f t="shared" si="55"/>
        <v>101940</v>
      </c>
      <c r="AI211" s="709">
        <f t="shared" si="56"/>
        <v>6000</v>
      </c>
      <c r="AJ211" s="577">
        <f t="shared" si="57"/>
        <v>6.2539086929330828E-2</v>
      </c>
      <c r="AK211" s="582" t="str">
        <f t="shared" si="60"/>
        <v/>
      </c>
      <c r="AL211" s="582" t="e">
        <f t="shared" si="58"/>
        <v>#REF!</v>
      </c>
      <c r="AM211" s="580" t="e">
        <f>VLOOKUP(F211,[7]PRM!E:R,14,FALSE)</f>
        <v>#N/A</v>
      </c>
      <c r="AN211" s="576" t="e">
        <f>T211-#REF!</f>
        <v>#REF!</v>
      </c>
      <c r="AO211" s="580"/>
    </row>
    <row r="212" spans="2:41" s="436" customFormat="1" ht="14" hidden="1">
      <c r="B212" s="799">
        <v>2605</v>
      </c>
      <c r="C212" s="1391" t="str">
        <f t="shared" ref="C212" si="74">C213</f>
        <v>SAC</v>
      </c>
      <c r="D212" s="1391"/>
      <c r="E212" s="1391"/>
      <c r="F212" s="1391" t="s">
        <v>107</v>
      </c>
      <c r="G212" s="566"/>
      <c r="H212" s="566"/>
      <c r="I212" s="566"/>
      <c r="J212" s="566">
        <v>3</v>
      </c>
      <c r="K212" s="566" t="s">
        <v>286</v>
      </c>
      <c r="L212" s="566">
        <f t="shared" ref="L212:AA212" si="75">L213</f>
        <v>4</v>
      </c>
      <c r="M212" s="576">
        <v>3499</v>
      </c>
      <c r="N212" s="576">
        <f t="shared" si="63"/>
        <v>125964</v>
      </c>
      <c r="O212" s="566">
        <f t="shared" si="75"/>
        <v>4</v>
      </c>
      <c r="P212" s="577" t="str">
        <f>IFERROR(_xlfn.XLOOKUP(F212,'[4]By Model'!$A:$A,'[4]By Model'!$K:$K),"")</f>
        <v/>
      </c>
      <c r="Q212" s="578" t="str">
        <f>IFERROR(_xlfn.XLOOKUP(F212,'[5]By Model'!$A:$A,'[5]By Model'!$B:$B),"")</f>
        <v/>
      </c>
      <c r="R212" s="579" t="str">
        <f>IFERROR(_xlfn.XLOOKUP(F212,'[4]By Model'!$A:$A,'[4]By Model'!$I:$I),"")</f>
        <v/>
      </c>
      <c r="S212" s="578" t="str">
        <f>IFERROR(_xlfn.XLOOKUP(F212,[6]Sum!$G:$G,[6]Sum!$AM:$AM),"")</f>
        <v/>
      </c>
      <c r="T212" s="576">
        <v>3349</v>
      </c>
      <c r="U212" s="576">
        <f t="shared" si="49"/>
        <v>120564</v>
      </c>
      <c r="V212" s="580">
        <v>0</v>
      </c>
      <c r="W212" s="576">
        <f t="shared" si="50"/>
        <v>0</v>
      </c>
      <c r="X212" s="576">
        <f t="shared" si="51"/>
        <v>120564</v>
      </c>
      <c r="Y212" s="581">
        <f t="shared" si="52"/>
        <v>-4.2869391254644174E-2</v>
      </c>
      <c r="Z212" s="577" t="str">
        <f t="shared" si="59"/>
        <v/>
      </c>
      <c r="AA212" s="577">
        <f t="shared" si="75"/>
        <v>7.4402147388970177E-2</v>
      </c>
      <c r="AB212" s="582"/>
      <c r="AC212" s="576">
        <v>3349</v>
      </c>
      <c r="AD212" s="576">
        <f t="shared" si="53"/>
        <v>120564</v>
      </c>
      <c r="AE212" s="581">
        <f>AD212/AD213</f>
        <v>0.89346376167185415</v>
      </c>
      <c r="AF212" s="580">
        <v>0</v>
      </c>
      <c r="AG212" s="576">
        <f t="shared" si="54"/>
        <v>0</v>
      </c>
      <c r="AH212" s="709">
        <f t="shared" si="55"/>
        <v>120564</v>
      </c>
      <c r="AI212" s="709">
        <f t="shared" si="56"/>
        <v>0</v>
      </c>
      <c r="AJ212" s="577">
        <f t="shared" si="57"/>
        <v>0</v>
      </c>
      <c r="AK212" s="582" t="str">
        <f t="shared" si="60"/>
        <v/>
      </c>
      <c r="AL212" s="582" t="e">
        <f t="shared" si="58"/>
        <v>#REF!</v>
      </c>
      <c r="AM212" s="580"/>
      <c r="AN212" s="576"/>
      <c r="AO212" s="580"/>
    </row>
    <row r="213" spans="2:41" s="436" customFormat="1" ht="14" hidden="1">
      <c r="B213" s="801">
        <v>2605</v>
      </c>
      <c r="C213" s="1393" t="s">
        <v>114</v>
      </c>
      <c r="D213" s="1393"/>
      <c r="E213" s="1393"/>
      <c r="F213" s="1393" t="s">
        <v>107</v>
      </c>
      <c r="G213" s="566"/>
      <c r="H213" s="566"/>
      <c r="I213" s="566"/>
      <c r="J213" s="566">
        <v>5</v>
      </c>
      <c r="K213" s="566" t="s">
        <v>286</v>
      </c>
      <c r="L213" s="566">
        <v>4</v>
      </c>
      <c r="M213" s="576">
        <v>2149</v>
      </c>
      <c r="N213" s="576">
        <f t="shared" si="63"/>
        <v>128940</v>
      </c>
      <c r="O213" s="566">
        <v>4</v>
      </c>
      <c r="P213" s="577" t="str">
        <f>IFERROR(_xlfn.XLOOKUP(F213,'[4]By Model'!$A:$A,'[4]By Model'!$K:$K),"")</f>
        <v/>
      </c>
      <c r="Q213" s="578" t="str">
        <f>IFERROR(_xlfn.XLOOKUP(F213,'[5]By Model'!$A:$A,'[5]By Model'!$B:$B),"")</f>
        <v/>
      </c>
      <c r="R213" s="579" t="str">
        <f>IFERROR(_xlfn.XLOOKUP(F213,'[4]By Model'!$A:$A,'[4]By Model'!$I:$I),"")</f>
        <v/>
      </c>
      <c r="S213" s="578" t="str">
        <f>IFERROR(_xlfn.XLOOKUP(F213,[6]Sum!$G:$G,[6]Sum!$AM:$AM),"")</f>
        <v/>
      </c>
      <c r="T213" s="576">
        <v>2149</v>
      </c>
      <c r="U213" s="576">
        <f t="shared" si="49"/>
        <v>128940</v>
      </c>
      <c r="V213" s="580">
        <v>0</v>
      </c>
      <c r="W213" s="576">
        <f t="shared" si="50"/>
        <v>0</v>
      </c>
      <c r="X213" s="576">
        <f t="shared" si="51"/>
        <v>128940</v>
      </c>
      <c r="Y213" s="581">
        <f t="shared" si="52"/>
        <v>0</v>
      </c>
      <c r="Z213" s="577" t="str">
        <f t="shared" si="59"/>
        <v/>
      </c>
      <c r="AA213" s="577">
        <v>7.4402147388970177E-2</v>
      </c>
      <c r="AB213" s="582"/>
      <c r="AC213" s="576">
        <v>2249</v>
      </c>
      <c r="AD213" s="576">
        <f t="shared" si="53"/>
        <v>134940</v>
      </c>
      <c r="AE213" s="711"/>
      <c r="AF213" s="583">
        <v>0</v>
      </c>
      <c r="AG213" s="576">
        <f t="shared" si="54"/>
        <v>0</v>
      </c>
      <c r="AH213" s="709">
        <f t="shared" si="55"/>
        <v>134940</v>
      </c>
      <c r="AI213" s="709">
        <f t="shared" si="56"/>
        <v>6000</v>
      </c>
      <c r="AJ213" s="577">
        <f t="shared" si="57"/>
        <v>4.6533271288971612E-2</v>
      </c>
      <c r="AK213" s="582" t="str">
        <f t="shared" si="60"/>
        <v/>
      </c>
      <c r="AL213" s="582" t="e">
        <f t="shared" si="58"/>
        <v>#REF!</v>
      </c>
      <c r="AM213" s="580" t="e">
        <f>VLOOKUP(F213,[7]PRM!E:R,14,FALSE)</f>
        <v>#N/A</v>
      </c>
      <c r="AN213" s="576" t="e">
        <f>T213-#REF!</f>
        <v>#REF!</v>
      </c>
      <c r="AO213" s="580"/>
    </row>
    <row r="214" spans="2:41" s="436" customFormat="1" ht="14" hidden="1">
      <c r="B214" s="799">
        <v>2605</v>
      </c>
      <c r="C214" s="1391" t="str">
        <f t="shared" ref="C214" si="76">C215</f>
        <v>SAC</v>
      </c>
      <c r="D214" s="1391"/>
      <c r="E214" s="1391"/>
      <c r="F214" s="1391" t="s">
        <v>112</v>
      </c>
      <c r="G214" s="566"/>
      <c r="H214" s="566"/>
      <c r="I214" s="566"/>
      <c r="J214" s="566">
        <v>3</v>
      </c>
      <c r="K214" s="566" t="s">
        <v>286</v>
      </c>
      <c r="L214" s="566">
        <f t="shared" ref="L214:AA214" si="77">L215</f>
        <v>4</v>
      </c>
      <c r="M214" s="576">
        <v>3999</v>
      </c>
      <c r="N214" s="576">
        <f t="shared" si="63"/>
        <v>143964</v>
      </c>
      <c r="O214" s="566">
        <f t="shared" si="77"/>
        <v>4</v>
      </c>
      <c r="P214" s="577" t="str">
        <f>IFERROR(_xlfn.XLOOKUP(F214,'[4]By Model'!$A:$A,'[4]By Model'!$K:$K),"")</f>
        <v/>
      </c>
      <c r="Q214" s="578" t="str">
        <f>IFERROR(_xlfn.XLOOKUP(F214,'[5]By Model'!$A:$A,'[5]By Model'!$B:$B),"")</f>
        <v/>
      </c>
      <c r="R214" s="579" t="str">
        <f>IFERROR(_xlfn.XLOOKUP(F214,'[4]By Model'!$A:$A,'[4]By Model'!$I:$I),"")</f>
        <v/>
      </c>
      <c r="S214" s="578" t="str">
        <f>IFERROR(_xlfn.XLOOKUP(F214,[6]Sum!$G:$G,[6]Sum!$AM:$AM),"")</f>
        <v/>
      </c>
      <c r="T214" s="576">
        <v>3749</v>
      </c>
      <c r="U214" s="576">
        <f t="shared" si="49"/>
        <v>134964</v>
      </c>
      <c r="V214" s="580">
        <v>0</v>
      </c>
      <c r="W214" s="576">
        <f t="shared" si="50"/>
        <v>0</v>
      </c>
      <c r="X214" s="576">
        <f t="shared" si="51"/>
        <v>134964</v>
      </c>
      <c r="Y214" s="581">
        <f t="shared" si="52"/>
        <v>-6.2515628907226839E-2</v>
      </c>
      <c r="Z214" s="577" t="str">
        <f t="shared" si="59"/>
        <v/>
      </c>
      <c r="AA214" s="577">
        <f t="shared" si="77"/>
        <v>0.1317485863418878</v>
      </c>
      <c r="AB214" s="582"/>
      <c r="AC214" s="576">
        <v>3749</v>
      </c>
      <c r="AD214" s="576">
        <f t="shared" si="53"/>
        <v>134964</v>
      </c>
      <c r="AE214" s="581">
        <f>AD214/AD215</f>
        <v>0.90012004801920764</v>
      </c>
      <c r="AF214" s="580">
        <v>0</v>
      </c>
      <c r="AG214" s="576">
        <f t="shared" si="54"/>
        <v>0</v>
      </c>
      <c r="AH214" s="709">
        <f t="shared" si="55"/>
        <v>134964</v>
      </c>
      <c r="AI214" s="709">
        <f t="shared" si="56"/>
        <v>0</v>
      </c>
      <c r="AJ214" s="577">
        <f t="shared" si="57"/>
        <v>0</v>
      </c>
      <c r="AK214" s="582" t="str">
        <f t="shared" si="60"/>
        <v/>
      </c>
      <c r="AL214" s="582" t="e">
        <f t="shared" si="58"/>
        <v>#REF!</v>
      </c>
      <c r="AM214" s="580"/>
      <c r="AN214" s="576"/>
      <c r="AO214" s="580"/>
    </row>
    <row r="215" spans="2:41" s="436" customFormat="1" ht="14" hidden="1">
      <c r="B215" s="801">
        <v>2605</v>
      </c>
      <c r="C215" s="1393" t="s">
        <v>114</v>
      </c>
      <c r="D215" s="1393"/>
      <c r="E215" s="1393"/>
      <c r="F215" s="1393" t="s">
        <v>112</v>
      </c>
      <c r="G215" s="566"/>
      <c r="H215" s="566"/>
      <c r="I215" s="566"/>
      <c r="J215" s="566">
        <v>5</v>
      </c>
      <c r="K215" s="566" t="s">
        <v>286</v>
      </c>
      <c r="L215" s="566">
        <v>4</v>
      </c>
      <c r="M215" s="576">
        <v>2399</v>
      </c>
      <c r="N215" s="576">
        <f t="shared" si="63"/>
        <v>143940</v>
      </c>
      <c r="O215" s="566">
        <v>4</v>
      </c>
      <c r="P215" s="577" t="str">
        <f>IFERROR(_xlfn.XLOOKUP(F215,'[4]By Model'!$A:$A,'[4]By Model'!$K:$K),"")</f>
        <v/>
      </c>
      <c r="Q215" s="578" t="str">
        <f>IFERROR(_xlfn.XLOOKUP(F215,'[5]By Model'!$A:$A,'[5]By Model'!$B:$B),"")</f>
        <v/>
      </c>
      <c r="R215" s="579" t="str">
        <f>IFERROR(_xlfn.XLOOKUP(F215,'[4]By Model'!$A:$A,'[4]By Model'!$I:$I),"")</f>
        <v/>
      </c>
      <c r="S215" s="578" t="str">
        <f>IFERROR(_xlfn.XLOOKUP(F215,[6]Sum!$G:$G,[6]Sum!$AM:$AM),"")</f>
        <v/>
      </c>
      <c r="T215" s="576">
        <v>2399</v>
      </c>
      <c r="U215" s="576">
        <f t="shared" si="49"/>
        <v>143940</v>
      </c>
      <c r="V215" s="580">
        <v>0</v>
      </c>
      <c r="W215" s="576">
        <f t="shared" si="50"/>
        <v>0</v>
      </c>
      <c r="X215" s="576">
        <f t="shared" si="51"/>
        <v>143940</v>
      </c>
      <c r="Y215" s="581">
        <f t="shared" si="52"/>
        <v>0</v>
      </c>
      <c r="Z215" s="577" t="str">
        <f t="shared" si="59"/>
        <v/>
      </c>
      <c r="AA215" s="577">
        <v>0.1317485863418878</v>
      </c>
      <c r="AB215" s="582"/>
      <c r="AC215" s="576">
        <v>2499</v>
      </c>
      <c r="AD215" s="576">
        <f t="shared" si="53"/>
        <v>149940</v>
      </c>
      <c r="AE215" s="711"/>
      <c r="AF215" s="583">
        <v>0</v>
      </c>
      <c r="AG215" s="576">
        <f t="shared" si="54"/>
        <v>0</v>
      </c>
      <c r="AH215" s="709">
        <f t="shared" si="55"/>
        <v>149940</v>
      </c>
      <c r="AI215" s="709">
        <f t="shared" si="56"/>
        <v>6000</v>
      </c>
      <c r="AJ215" s="577">
        <f t="shared" si="57"/>
        <v>4.1684035014589414E-2</v>
      </c>
      <c r="AK215" s="582" t="str">
        <f t="shared" si="60"/>
        <v/>
      </c>
      <c r="AL215" s="582" t="e">
        <f t="shared" si="58"/>
        <v>#REF!</v>
      </c>
      <c r="AM215" s="580" t="e">
        <f>VLOOKUP(F215,[7]PRM!E:R,14,FALSE)</f>
        <v>#N/A</v>
      </c>
      <c r="AN215" s="576" t="e">
        <f>T215-#REF!</f>
        <v>#REF!</v>
      </c>
      <c r="AO215" s="580"/>
    </row>
    <row r="216" spans="2:41" s="436" customFormat="1" ht="14" hidden="1">
      <c r="B216" s="799">
        <v>2605</v>
      </c>
      <c r="C216" s="1391" t="str">
        <f t="shared" ref="C216" si="78">C217</f>
        <v>SAC</v>
      </c>
      <c r="D216" s="1391"/>
      <c r="E216" s="1391"/>
      <c r="F216" s="1391" t="s">
        <v>108</v>
      </c>
      <c r="G216" s="566"/>
      <c r="H216" s="566"/>
      <c r="I216" s="566"/>
      <c r="J216" s="566">
        <v>3</v>
      </c>
      <c r="K216" s="566" t="s">
        <v>286</v>
      </c>
      <c r="L216" s="566">
        <f t="shared" ref="L216:AA216" si="79">L217</f>
        <v>4</v>
      </c>
      <c r="M216" s="576">
        <v>3699</v>
      </c>
      <c r="N216" s="576">
        <f t="shared" si="63"/>
        <v>133164</v>
      </c>
      <c r="O216" s="566">
        <f t="shared" si="79"/>
        <v>4</v>
      </c>
      <c r="P216" s="577" t="str">
        <f>IFERROR(_xlfn.XLOOKUP(F216,'[4]By Model'!$A:$A,'[4]By Model'!$K:$K),"")</f>
        <v/>
      </c>
      <c r="Q216" s="578" t="str">
        <f>IFERROR(_xlfn.XLOOKUP(F216,'[5]By Model'!$A:$A,'[5]By Model'!$B:$B),"")</f>
        <v/>
      </c>
      <c r="R216" s="579" t="str">
        <f>IFERROR(_xlfn.XLOOKUP(F216,'[4]By Model'!$A:$A,'[4]By Model'!$I:$I),"")</f>
        <v/>
      </c>
      <c r="S216" s="578" t="str">
        <f>IFERROR(_xlfn.XLOOKUP(F216,[6]Sum!$G:$G,[6]Sum!$AM:$AM),"")</f>
        <v/>
      </c>
      <c r="T216" s="576">
        <v>3549</v>
      </c>
      <c r="U216" s="576">
        <f t="shared" si="49"/>
        <v>127764</v>
      </c>
      <c r="V216" s="580">
        <v>0</v>
      </c>
      <c r="W216" s="576">
        <f t="shared" si="50"/>
        <v>0</v>
      </c>
      <c r="X216" s="576">
        <f t="shared" si="51"/>
        <v>127764</v>
      </c>
      <c r="Y216" s="581">
        <f t="shared" si="52"/>
        <v>-4.0551500405515029E-2</v>
      </c>
      <c r="Z216" s="577" t="str">
        <f t="shared" si="59"/>
        <v/>
      </c>
      <c r="AA216" s="577">
        <f t="shared" si="79"/>
        <v>9.1748586341887817E-2</v>
      </c>
      <c r="AB216" s="582"/>
      <c r="AC216" s="576">
        <v>3549</v>
      </c>
      <c r="AD216" s="576">
        <f t="shared" si="53"/>
        <v>127764</v>
      </c>
      <c r="AE216" s="581">
        <f>AD216/AD217</f>
        <v>0.85210084033613442</v>
      </c>
      <c r="AF216" s="580">
        <v>0</v>
      </c>
      <c r="AG216" s="576">
        <f t="shared" si="54"/>
        <v>0</v>
      </c>
      <c r="AH216" s="709">
        <f t="shared" si="55"/>
        <v>127764</v>
      </c>
      <c r="AI216" s="709">
        <f t="shared" si="56"/>
        <v>0</v>
      </c>
      <c r="AJ216" s="577">
        <f t="shared" si="57"/>
        <v>0</v>
      </c>
      <c r="AK216" s="582" t="str">
        <f t="shared" si="60"/>
        <v/>
      </c>
      <c r="AL216" s="582" t="e">
        <f t="shared" si="58"/>
        <v>#REF!</v>
      </c>
      <c r="AM216" s="580"/>
      <c r="AN216" s="576"/>
      <c r="AO216" s="580"/>
    </row>
    <row r="217" spans="2:41" s="436" customFormat="1" ht="14" hidden="1">
      <c r="B217" s="801">
        <v>2605</v>
      </c>
      <c r="C217" s="1393" t="s">
        <v>114</v>
      </c>
      <c r="D217" s="1393"/>
      <c r="E217" s="1393"/>
      <c r="F217" s="1393" t="s">
        <v>108</v>
      </c>
      <c r="G217" s="566"/>
      <c r="H217" s="566"/>
      <c r="I217" s="566"/>
      <c r="J217" s="566">
        <v>5</v>
      </c>
      <c r="K217" s="566" t="s">
        <v>286</v>
      </c>
      <c r="L217" s="566">
        <v>4</v>
      </c>
      <c r="M217" s="576">
        <v>2399</v>
      </c>
      <c r="N217" s="576">
        <f t="shared" si="63"/>
        <v>143940</v>
      </c>
      <c r="O217" s="566">
        <v>4</v>
      </c>
      <c r="P217" s="577" t="str">
        <f>IFERROR(_xlfn.XLOOKUP(F217,'[4]By Model'!$A:$A,'[4]By Model'!$K:$K),"")</f>
        <v/>
      </c>
      <c r="Q217" s="578" t="str">
        <f>IFERROR(_xlfn.XLOOKUP(F217,'[5]By Model'!$A:$A,'[5]By Model'!$B:$B),"")</f>
        <v/>
      </c>
      <c r="R217" s="579" t="str">
        <f>IFERROR(_xlfn.XLOOKUP(F217,'[4]By Model'!$A:$A,'[4]By Model'!$I:$I),"")</f>
        <v/>
      </c>
      <c r="S217" s="578" t="str">
        <f>IFERROR(_xlfn.XLOOKUP(F217,[6]Sum!$G:$G,[6]Sum!$AM:$AM),"")</f>
        <v/>
      </c>
      <c r="T217" s="576">
        <v>2399</v>
      </c>
      <c r="U217" s="576">
        <f t="shared" si="49"/>
        <v>143940</v>
      </c>
      <c r="V217" s="580">
        <v>0</v>
      </c>
      <c r="W217" s="576">
        <f t="shared" si="50"/>
        <v>0</v>
      </c>
      <c r="X217" s="576">
        <f t="shared" si="51"/>
        <v>143940</v>
      </c>
      <c r="Y217" s="581">
        <f t="shared" si="52"/>
        <v>0</v>
      </c>
      <c r="Z217" s="577" t="str">
        <f t="shared" si="59"/>
        <v/>
      </c>
      <c r="AA217" s="577">
        <v>9.1748586341887817E-2</v>
      </c>
      <c r="AB217" s="582"/>
      <c r="AC217" s="576">
        <v>2499</v>
      </c>
      <c r="AD217" s="576">
        <f t="shared" si="53"/>
        <v>149940</v>
      </c>
      <c r="AE217" s="711"/>
      <c r="AF217" s="583">
        <v>0</v>
      </c>
      <c r="AG217" s="576">
        <f t="shared" si="54"/>
        <v>0</v>
      </c>
      <c r="AH217" s="709">
        <f t="shared" si="55"/>
        <v>149940</v>
      </c>
      <c r="AI217" s="709">
        <f t="shared" si="56"/>
        <v>6000</v>
      </c>
      <c r="AJ217" s="577">
        <f t="shared" si="57"/>
        <v>4.1684035014589414E-2</v>
      </c>
      <c r="AK217" s="582" t="str">
        <f t="shared" si="60"/>
        <v/>
      </c>
      <c r="AL217" s="582" t="e">
        <f t="shared" si="58"/>
        <v>#REF!</v>
      </c>
      <c r="AM217" s="580" t="e">
        <f>VLOOKUP(F217,[7]PRM!E:R,14,FALSE)</f>
        <v>#N/A</v>
      </c>
      <c r="AN217" s="576" t="e">
        <f>T217-#REF!</f>
        <v>#REF!</v>
      </c>
      <c r="AO217" s="580"/>
    </row>
    <row r="218" spans="2:41" s="436" customFormat="1" ht="14" hidden="1">
      <c r="B218" s="799">
        <v>2605</v>
      </c>
      <c r="C218" s="1391" t="str">
        <f t="shared" ref="C218" si="80">C219</f>
        <v>SAC</v>
      </c>
      <c r="D218" s="1391"/>
      <c r="E218" s="1391"/>
      <c r="F218" s="1391" t="s">
        <v>113</v>
      </c>
      <c r="G218" s="566"/>
      <c r="H218" s="566"/>
      <c r="I218" s="566"/>
      <c r="J218" s="566">
        <v>3</v>
      </c>
      <c r="K218" s="566" t="s">
        <v>286</v>
      </c>
      <c r="L218" s="566">
        <f t="shared" ref="L218:AA218" si="81">L219</f>
        <v>4</v>
      </c>
      <c r="M218" s="576">
        <v>4449</v>
      </c>
      <c r="N218" s="576">
        <f t="shared" si="63"/>
        <v>160164</v>
      </c>
      <c r="O218" s="566">
        <f t="shared" si="81"/>
        <v>4</v>
      </c>
      <c r="P218" s="577" t="str">
        <f>IFERROR(_xlfn.XLOOKUP(F218,'[4]By Model'!$A:$A,'[4]By Model'!$K:$K),"")</f>
        <v/>
      </c>
      <c r="Q218" s="578" t="str">
        <f>IFERROR(_xlfn.XLOOKUP(F218,'[5]By Model'!$A:$A,'[5]By Model'!$B:$B),"")</f>
        <v/>
      </c>
      <c r="R218" s="579" t="str">
        <f>IFERROR(_xlfn.XLOOKUP(F218,'[4]By Model'!$A:$A,'[4]By Model'!$I:$I),"")</f>
        <v/>
      </c>
      <c r="S218" s="578" t="str">
        <f>IFERROR(_xlfn.XLOOKUP(F218,[6]Sum!$G:$G,[6]Sum!$AM:$AM),"")</f>
        <v/>
      </c>
      <c r="T218" s="576">
        <v>4049</v>
      </c>
      <c r="U218" s="576">
        <f t="shared" si="49"/>
        <v>145764</v>
      </c>
      <c r="V218" s="580">
        <v>0</v>
      </c>
      <c r="W218" s="576">
        <f t="shared" si="50"/>
        <v>0</v>
      </c>
      <c r="X218" s="576">
        <f t="shared" si="51"/>
        <v>145764</v>
      </c>
      <c r="Y218" s="581">
        <f t="shared" si="52"/>
        <v>-8.990784445942912E-2</v>
      </c>
      <c r="Z218" s="577" t="str">
        <f t="shared" si="59"/>
        <v/>
      </c>
      <c r="AA218" s="577">
        <f t="shared" si="81"/>
        <v>0.15000800320128049</v>
      </c>
      <c r="AB218" s="582"/>
      <c r="AC218" s="576">
        <v>4049</v>
      </c>
      <c r="AD218" s="576">
        <f t="shared" si="53"/>
        <v>145764</v>
      </c>
      <c r="AE218" s="581">
        <f>AD218/AD219</f>
        <v>0.90011115227862171</v>
      </c>
      <c r="AF218" s="580">
        <v>0</v>
      </c>
      <c r="AG218" s="576">
        <f t="shared" si="54"/>
        <v>0</v>
      </c>
      <c r="AH218" s="709">
        <f t="shared" si="55"/>
        <v>145764</v>
      </c>
      <c r="AI218" s="709">
        <f t="shared" si="56"/>
        <v>0</v>
      </c>
      <c r="AJ218" s="577">
        <f t="shared" si="57"/>
        <v>0</v>
      </c>
      <c r="AK218" s="582" t="str">
        <f t="shared" si="60"/>
        <v/>
      </c>
      <c r="AL218" s="582" t="e">
        <f t="shared" si="58"/>
        <v>#REF!</v>
      </c>
      <c r="AM218" s="580"/>
      <c r="AN218" s="576"/>
      <c r="AO218" s="580"/>
    </row>
    <row r="219" spans="2:41" s="436" customFormat="1" ht="14" hidden="1">
      <c r="B219" s="801">
        <v>2605</v>
      </c>
      <c r="C219" s="1393" t="s">
        <v>114</v>
      </c>
      <c r="D219" s="1393"/>
      <c r="E219" s="1393"/>
      <c r="F219" s="1393" t="s">
        <v>113</v>
      </c>
      <c r="G219" s="566"/>
      <c r="H219" s="566"/>
      <c r="I219" s="566"/>
      <c r="J219" s="566">
        <v>5</v>
      </c>
      <c r="K219" s="566" t="s">
        <v>286</v>
      </c>
      <c r="L219" s="566">
        <v>4</v>
      </c>
      <c r="M219" s="576">
        <v>2599</v>
      </c>
      <c r="N219" s="576">
        <f t="shared" si="63"/>
        <v>155940</v>
      </c>
      <c r="O219" s="566">
        <v>4</v>
      </c>
      <c r="P219" s="577" t="str">
        <f>IFERROR(_xlfn.XLOOKUP(F219,'[4]By Model'!$A:$A,'[4]By Model'!$K:$K),"")</f>
        <v/>
      </c>
      <c r="Q219" s="578" t="str">
        <f>IFERROR(_xlfn.XLOOKUP(F219,'[5]By Model'!$A:$A,'[5]By Model'!$B:$B),"")</f>
        <v/>
      </c>
      <c r="R219" s="579" t="str">
        <f>IFERROR(_xlfn.XLOOKUP(F219,'[4]By Model'!$A:$A,'[4]By Model'!$I:$I),"")</f>
        <v/>
      </c>
      <c r="S219" s="578" t="str">
        <f>IFERROR(_xlfn.XLOOKUP(F219,[6]Sum!$G:$G,[6]Sum!$AM:$AM),"")</f>
        <v/>
      </c>
      <c r="T219" s="576">
        <v>2599</v>
      </c>
      <c r="U219" s="576">
        <f t="shared" si="49"/>
        <v>155940</v>
      </c>
      <c r="V219" s="580">
        <v>0</v>
      </c>
      <c r="W219" s="576">
        <f t="shared" si="50"/>
        <v>0</v>
      </c>
      <c r="X219" s="576">
        <f t="shared" si="51"/>
        <v>155940</v>
      </c>
      <c r="Y219" s="581">
        <f t="shared" si="52"/>
        <v>0</v>
      </c>
      <c r="Z219" s="577" t="str">
        <f t="shared" si="59"/>
        <v/>
      </c>
      <c r="AA219" s="577">
        <v>0.15000800320128049</v>
      </c>
      <c r="AB219" s="582"/>
      <c r="AC219" s="576">
        <v>2699</v>
      </c>
      <c r="AD219" s="576">
        <f t="shared" si="53"/>
        <v>161940</v>
      </c>
      <c r="AE219" s="711"/>
      <c r="AF219" s="583">
        <v>0</v>
      </c>
      <c r="AG219" s="576">
        <f t="shared" si="54"/>
        <v>0</v>
      </c>
      <c r="AH219" s="709">
        <f t="shared" si="55"/>
        <v>161940</v>
      </c>
      <c r="AI219" s="709">
        <f t="shared" si="56"/>
        <v>6000</v>
      </c>
      <c r="AJ219" s="577">
        <f t="shared" si="57"/>
        <v>3.8476337052712584E-2</v>
      </c>
      <c r="AK219" s="582" t="str">
        <f t="shared" si="60"/>
        <v/>
      </c>
      <c r="AL219" s="582" t="e">
        <f t="shared" si="58"/>
        <v>#REF!</v>
      </c>
      <c r="AM219" s="580" t="e">
        <f>VLOOKUP(F219,[7]PRM!E:R,14,FALSE)</f>
        <v>#N/A</v>
      </c>
      <c r="AN219" s="576" t="e">
        <f>T219-#REF!</f>
        <v>#REF!</v>
      </c>
      <c r="AO219" s="580"/>
    </row>
    <row r="220" spans="2:41" s="436" customFormat="1" ht="14" hidden="1">
      <c r="B220" s="799">
        <v>2605</v>
      </c>
      <c r="C220" s="1391" t="str">
        <f t="shared" ref="C220" si="82">C221</f>
        <v>SAC</v>
      </c>
      <c r="D220" s="1391"/>
      <c r="E220" s="1391"/>
      <c r="F220" s="1391" t="s">
        <v>102</v>
      </c>
      <c r="G220" s="566"/>
      <c r="H220" s="566"/>
      <c r="I220" s="566"/>
      <c r="J220" s="566">
        <v>3</v>
      </c>
      <c r="K220" s="566" t="s">
        <v>286</v>
      </c>
      <c r="L220" s="566">
        <f t="shared" ref="L220:AA220" si="83">L221</f>
        <v>4</v>
      </c>
      <c r="M220" s="576">
        <v>2399</v>
      </c>
      <c r="N220" s="576">
        <f t="shared" si="63"/>
        <v>86364</v>
      </c>
      <c r="O220" s="566">
        <f t="shared" si="83"/>
        <v>4</v>
      </c>
      <c r="P220" s="577" t="str">
        <f>IFERROR(_xlfn.XLOOKUP(F220,'[4]By Model'!$A:$A,'[4]By Model'!$K:$K),"")</f>
        <v/>
      </c>
      <c r="Q220" s="578" t="str">
        <f>IFERROR(_xlfn.XLOOKUP(F220,'[5]By Model'!$A:$A,'[5]By Model'!$B:$B),"")</f>
        <v/>
      </c>
      <c r="R220" s="579" t="str">
        <f>IFERROR(_xlfn.XLOOKUP(F220,'[4]By Model'!$A:$A,'[4]By Model'!$I:$I),"")</f>
        <v/>
      </c>
      <c r="S220" s="578" t="str">
        <f>IFERROR(_xlfn.XLOOKUP(F220,[6]Sum!$G:$G,[6]Sum!$AM:$AM),"")</f>
        <v/>
      </c>
      <c r="T220" s="576">
        <v>2399</v>
      </c>
      <c r="U220" s="576">
        <f t="shared" si="49"/>
        <v>86364</v>
      </c>
      <c r="V220" s="580">
        <v>0</v>
      </c>
      <c r="W220" s="576">
        <f t="shared" si="50"/>
        <v>0</v>
      </c>
      <c r="X220" s="576">
        <f t="shared" si="51"/>
        <v>86364</v>
      </c>
      <c r="Y220" s="581">
        <f t="shared" si="52"/>
        <v>0</v>
      </c>
      <c r="Z220" s="577" t="str">
        <f t="shared" si="59"/>
        <v/>
      </c>
      <c r="AA220" s="577">
        <f t="shared" si="83"/>
        <v>0.13573981415296646</v>
      </c>
      <c r="AB220" s="582"/>
      <c r="AC220" s="576">
        <v>2399</v>
      </c>
      <c r="AD220" s="576">
        <f t="shared" si="53"/>
        <v>86364</v>
      </c>
      <c r="AE220" s="581">
        <f>AD220/AD221</f>
        <v>0.900187617260788</v>
      </c>
      <c r="AF220" s="580">
        <v>0</v>
      </c>
      <c r="AG220" s="576">
        <f t="shared" si="54"/>
        <v>0</v>
      </c>
      <c r="AH220" s="709">
        <f t="shared" si="55"/>
        <v>86364</v>
      </c>
      <c r="AI220" s="709">
        <f t="shared" si="56"/>
        <v>0</v>
      </c>
      <c r="AJ220" s="577">
        <f t="shared" si="57"/>
        <v>0</v>
      </c>
      <c r="AK220" s="582" t="str">
        <f t="shared" si="60"/>
        <v/>
      </c>
      <c r="AL220" s="582" t="e">
        <f t="shared" si="58"/>
        <v>#REF!</v>
      </c>
      <c r="AM220" s="580"/>
      <c r="AN220" s="576"/>
      <c r="AO220" s="580"/>
    </row>
    <row r="221" spans="2:41" s="436" customFormat="1" ht="14" hidden="1">
      <c r="B221" s="801">
        <v>2605</v>
      </c>
      <c r="C221" s="1393" t="s">
        <v>114</v>
      </c>
      <c r="D221" s="1393"/>
      <c r="E221" s="1393"/>
      <c r="F221" s="1393" t="s">
        <v>102</v>
      </c>
      <c r="G221" s="566"/>
      <c r="H221" s="566"/>
      <c r="I221" s="566"/>
      <c r="J221" s="566">
        <v>5</v>
      </c>
      <c r="K221" s="566" t="s">
        <v>286</v>
      </c>
      <c r="L221" s="566">
        <v>4</v>
      </c>
      <c r="M221" s="576">
        <v>1499</v>
      </c>
      <c r="N221" s="576">
        <f t="shared" si="63"/>
        <v>89940</v>
      </c>
      <c r="O221" s="566">
        <v>4</v>
      </c>
      <c r="P221" s="577" t="str">
        <f>IFERROR(_xlfn.XLOOKUP(F221,'[4]By Model'!$A:$A,'[4]By Model'!$K:$K),"")</f>
        <v/>
      </c>
      <c r="Q221" s="578" t="str">
        <f>IFERROR(_xlfn.XLOOKUP(F221,'[5]By Model'!$A:$A,'[5]By Model'!$B:$B),"")</f>
        <v/>
      </c>
      <c r="R221" s="579" t="str">
        <f>IFERROR(_xlfn.XLOOKUP(F221,'[4]By Model'!$A:$A,'[4]By Model'!$I:$I),"")</f>
        <v/>
      </c>
      <c r="S221" s="578" t="str">
        <f>IFERROR(_xlfn.XLOOKUP(F221,[6]Sum!$G:$G,[6]Sum!$AM:$AM),"")</f>
        <v/>
      </c>
      <c r="T221" s="576">
        <v>1499</v>
      </c>
      <c r="U221" s="576">
        <f t="shared" si="49"/>
        <v>89940</v>
      </c>
      <c r="V221" s="580">
        <v>0</v>
      </c>
      <c r="W221" s="576">
        <f t="shared" si="50"/>
        <v>0</v>
      </c>
      <c r="X221" s="576">
        <f t="shared" si="51"/>
        <v>89940</v>
      </c>
      <c r="Y221" s="581">
        <f t="shared" si="52"/>
        <v>0</v>
      </c>
      <c r="Z221" s="577" t="str">
        <f t="shared" si="59"/>
        <v/>
      </c>
      <c r="AA221" s="577">
        <v>0.13573981415296646</v>
      </c>
      <c r="AB221" s="582"/>
      <c r="AC221" s="576">
        <v>1599</v>
      </c>
      <c r="AD221" s="576">
        <f t="shared" si="53"/>
        <v>95940</v>
      </c>
      <c r="AE221" s="711"/>
      <c r="AF221" s="583">
        <v>0</v>
      </c>
      <c r="AG221" s="576">
        <f t="shared" si="54"/>
        <v>0</v>
      </c>
      <c r="AH221" s="709">
        <f t="shared" si="55"/>
        <v>95940</v>
      </c>
      <c r="AI221" s="709">
        <f t="shared" si="56"/>
        <v>6000</v>
      </c>
      <c r="AJ221" s="577">
        <f t="shared" si="57"/>
        <v>6.6711140760507007E-2</v>
      </c>
      <c r="AK221" s="582" t="str">
        <f t="shared" si="60"/>
        <v/>
      </c>
      <c r="AL221" s="582" t="e">
        <f t="shared" si="58"/>
        <v>#REF!</v>
      </c>
      <c r="AM221" s="580" t="e">
        <f>VLOOKUP(F221,[7]PRM!E:R,14,FALSE)</f>
        <v>#N/A</v>
      </c>
      <c r="AN221" s="576" t="e">
        <f>T221-#REF!</f>
        <v>#REF!</v>
      </c>
      <c r="AO221" s="580"/>
    </row>
    <row r="222" spans="2:41" s="436" customFormat="1" ht="14" hidden="1">
      <c r="B222" s="799">
        <v>2605</v>
      </c>
      <c r="C222" s="1391" t="str">
        <f t="shared" ref="C222" si="84">C223</f>
        <v>SAC</v>
      </c>
      <c r="D222" s="1391"/>
      <c r="E222" s="1391"/>
      <c r="F222" s="1391" t="s">
        <v>103</v>
      </c>
      <c r="G222" s="566"/>
      <c r="H222" s="566"/>
      <c r="I222" s="566"/>
      <c r="J222" s="566">
        <v>3</v>
      </c>
      <c r="K222" s="566" t="s">
        <v>286</v>
      </c>
      <c r="L222" s="566">
        <f t="shared" ref="L222:AA222" si="85">L223</f>
        <v>4</v>
      </c>
      <c r="M222" s="576">
        <v>2649</v>
      </c>
      <c r="N222" s="576">
        <f t="shared" si="63"/>
        <v>95364</v>
      </c>
      <c r="O222" s="566">
        <f t="shared" si="85"/>
        <v>4</v>
      </c>
      <c r="P222" s="577" t="str">
        <f>IFERROR(_xlfn.XLOOKUP(F222,'[4]By Model'!$A:$A,'[4]By Model'!$K:$K),"")</f>
        <v/>
      </c>
      <c r="Q222" s="578" t="str">
        <f>IFERROR(_xlfn.XLOOKUP(F222,'[5]By Model'!$A:$A,'[5]By Model'!$B:$B),"")</f>
        <v/>
      </c>
      <c r="R222" s="579" t="str">
        <f>IFERROR(_xlfn.XLOOKUP(F222,'[4]By Model'!$A:$A,'[4]By Model'!$I:$I),"")</f>
        <v/>
      </c>
      <c r="S222" s="578" t="str">
        <f>IFERROR(_xlfn.XLOOKUP(F222,[6]Sum!$G:$G,[6]Sum!$AM:$AM),"")</f>
        <v/>
      </c>
      <c r="T222" s="576">
        <v>2649</v>
      </c>
      <c r="U222" s="576">
        <f t="shared" si="49"/>
        <v>95364</v>
      </c>
      <c r="V222" s="580">
        <v>0</v>
      </c>
      <c r="W222" s="576">
        <f t="shared" si="50"/>
        <v>0</v>
      </c>
      <c r="X222" s="576">
        <f t="shared" si="51"/>
        <v>95364</v>
      </c>
      <c r="Y222" s="581">
        <f t="shared" si="52"/>
        <v>0</v>
      </c>
      <c r="Z222" s="577" t="str">
        <f t="shared" si="59"/>
        <v/>
      </c>
      <c r="AA222" s="577">
        <f t="shared" si="85"/>
        <v>3.3555703802534975E-3</v>
      </c>
      <c r="AB222" s="582"/>
      <c r="AC222" s="576">
        <v>2649</v>
      </c>
      <c r="AD222" s="576">
        <f t="shared" si="53"/>
        <v>95364</v>
      </c>
      <c r="AE222" s="581">
        <f>AD222/AD223</f>
        <v>0.93549146556798113</v>
      </c>
      <c r="AF222" s="580">
        <v>0</v>
      </c>
      <c r="AG222" s="576">
        <f t="shared" si="54"/>
        <v>0</v>
      </c>
      <c r="AH222" s="709">
        <f t="shared" si="55"/>
        <v>95364</v>
      </c>
      <c r="AI222" s="709">
        <f t="shared" si="56"/>
        <v>0</v>
      </c>
      <c r="AJ222" s="577">
        <f t="shared" si="57"/>
        <v>0</v>
      </c>
      <c r="AK222" s="582" t="str">
        <f t="shared" si="60"/>
        <v/>
      </c>
      <c r="AL222" s="582" t="e">
        <f t="shared" si="58"/>
        <v>#REF!</v>
      </c>
      <c r="AM222" s="580"/>
      <c r="AN222" s="576"/>
      <c r="AO222" s="580"/>
    </row>
    <row r="223" spans="2:41" s="436" customFormat="1" ht="14" hidden="1">
      <c r="B223" s="801">
        <v>2605</v>
      </c>
      <c r="C223" s="1393" t="s">
        <v>114</v>
      </c>
      <c r="D223" s="1393"/>
      <c r="E223" s="1393"/>
      <c r="F223" s="1393" t="s">
        <v>103</v>
      </c>
      <c r="G223" s="566"/>
      <c r="H223" s="566"/>
      <c r="I223" s="566"/>
      <c r="J223" s="566">
        <v>5</v>
      </c>
      <c r="K223" s="566" t="s">
        <v>286</v>
      </c>
      <c r="L223" s="566">
        <v>4</v>
      </c>
      <c r="M223" s="576">
        <v>1599</v>
      </c>
      <c r="N223" s="576">
        <f t="shared" si="63"/>
        <v>95940</v>
      </c>
      <c r="O223" s="566">
        <v>4</v>
      </c>
      <c r="P223" s="577" t="str">
        <f>IFERROR(_xlfn.XLOOKUP(F223,'[4]By Model'!$A:$A,'[4]By Model'!$K:$K),"")</f>
        <v/>
      </c>
      <c r="Q223" s="578" t="str">
        <f>IFERROR(_xlfn.XLOOKUP(F223,'[5]By Model'!$A:$A,'[5]By Model'!$B:$B),"")</f>
        <v/>
      </c>
      <c r="R223" s="579" t="str">
        <f>IFERROR(_xlfn.XLOOKUP(F223,'[4]By Model'!$A:$A,'[4]By Model'!$I:$I),"")</f>
        <v/>
      </c>
      <c r="S223" s="578" t="str">
        <f>IFERROR(_xlfn.XLOOKUP(F223,[6]Sum!$G:$G,[6]Sum!$AM:$AM),"")</f>
        <v/>
      </c>
      <c r="T223" s="576">
        <v>1599</v>
      </c>
      <c r="U223" s="576">
        <f t="shared" si="49"/>
        <v>95940</v>
      </c>
      <c r="V223" s="580">
        <v>0</v>
      </c>
      <c r="W223" s="576">
        <f t="shared" si="50"/>
        <v>0</v>
      </c>
      <c r="X223" s="576">
        <f t="shared" si="51"/>
        <v>95940</v>
      </c>
      <c r="Y223" s="581">
        <f t="shared" si="52"/>
        <v>0</v>
      </c>
      <c r="Z223" s="577" t="str">
        <f t="shared" si="59"/>
        <v/>
      </c>
      <c r="AA223" s="577">
        <v>3.3555703802534975E-3</v>
      </c>
      <c r="AB223" s="582"/>
      <c r="AC223" s="576">
        <v>1699</v>
      </c>
      <c r="AD223" s="576">
        <f t="shared" si="53"/>
        <v>101940</v>
      </c>
      <c r="AE223" s="711"/>
      <c r="AF223" s="583">
        <v>0</v>
      </c>
      <c r="AG223" s="576">
        <f t="shared" si="54"/>
        <v>0</v>
      </c>
      <c r="AH223" s="709">
        <f t="shared" si="55"/>
        <v>101940</v>
      </c>
      <c r="AI223" s="709">
        <f t="shared" si="56"/>
        <v>6000</v>
      </c>
      <c r="AJ223" s="577">
        <f t="shared" si="57"/>
        <v>6.2539086929330828E-2</v>
      </c>
      <c r="AK223" s="582" t="str">
        <f t="shared" si="60"/>
        <v/>
      </c>
      <c r="AL223" s="582" t="e">
        <f t="shared" si="58"/>
        <v>#REF!</v>
      </c>
      <c r="AM223" s="580" t="e">
        <f>VLOOKUP(F223,[7]PRM!E:R,14,FALSE)</f>
        <v>#N/A</v>
      </c>
      <c r="AN223" s="576" t="e">
        <f>T223-#REF!</f>
        <v>#REF!</v>
      </c>
      <c r="AO223" s="580"/>
    </row>
    <row r="224" spans="2:41" s="436" customFormat="1" ht="14" hidden="1">
      <c r="B224" s="799">
        <v>2605</v>
      </c>
      <c r="C224" s="1391" t="str">
        <f t="shared" ref="C224" si="86">C225</f>
        <v>SAC</v>
      </c>
      <c r="D224" s="1391"/>
      <c r="E224" s="1391"/>
      <c r="F224" s="1391" t="s">
        <v>104</v>
      </c>
      <c r="G224" s="566"/>
      <c r="H224" s="566"/>
      <c r="I224" s="566"/>
      <c r="J224" s="566">
        <v>3</v>
      </c>
      <c r="K224" s="566" t="s">
        <v>286</v>
      </c>
      <c r="L224" s="566">
        <f t="shared" ref="L224:AA224" si="87">L225</f>
        <v>4</v>
      </c>
      <c r="M224" s="576">
        <v>3249</v>
      </c>
      <c r="N224" s="576">
        <f t="shared" si="63"/>
        <v>116964</v>
      </c>
      <c r="O224" s="566">
        <f t="shared" si="87"/>
        <v>4</v>
      </c>
      <c r="P224" s="577" t="str">
        <f>IFERROR(_xlfn.XLOOKUP(F224,'[4]By Model'!$A:$A,'[4]By Model'!$K:$K),"")</f>
        <v/>
      </c>
      <c r="Q224" s="578" t="str">
        <f>IFERROR(_xlfn.XLOOKUP(F224,'[5]By Model'!$A:$A,'[5]By Model'!$B:$B),"")</f>
        <v/>
      </c>
      <c r="R224" s="579" t="str">
        <f>IFERROR(_xlfn.XLOOKUP(F224,'[4]By Model'!$A:$A,'[4]By Model'!$I:$I),"")</f>
        <v/>
      </c>
      <c r="S224" s="578" t="str">
        <f>IFERROR(_xlfn.XLOOKUP(F224,[6]Sum!$G:$G,[6]Sum!$AM:$AM),"")</f>
        <v/>
      </c>
      <c r="T224" s="576">
        <v>2349</v>
      </c>
      <c r="U224" s="576">
        <f t="shared" si="49"/>
        <v>84564</v>
      </c>
      <c r="V224" s="580">
        <v>0</v>
      </c>
      <c r="W224" s="576">
        <f t="shared" si="50"/>
        <v>0</v>
      </c>
      <c r="X224" s="576">
        <f t="shared" si="51"/>
        <v>84564</v>
      </c>
      <c r="Y224" s="581">
        <f t="shared" si="52"/>
        <v>-0.2770083102493075</v>
      </c>
      <c r="Z224" s="577" t="str">
        <f t="shared" si="59"/>
        <v/>
      </c>
      <c r="AA224" s="577">
        <f t="shared" si="87"/>
        <v>0.13232140691328076</v>
      </c>
      <c r="AB224" s="582"/>
      <c r="AC224" s="576">
        <v>2349</v>
      </c>
      <c r="AD224" s="576">
        <f t="shared" si="53"/>
        <v>84564</v>
      </c>
      <c r="AE224" s="581">
        <f>AD224/AD225</f>
        <v>0.76224986479177936</v>
      </c>
      <c r="AF224" s="580">
        <v>0</v>
      </c>
      <c r="AG224" s="576">
        <f t="shared" si="54"/>
        <v>0</v>
      </c>
      <c r="AH224" s="709">
        <f t="shared" si="55"/>
        <v>84564</v>
      </c>
      <c r="AI224" s="709">
        <f t="shared" si="56"/>
        <v>0</v>
      </c>
      <c r="AJ224" s="577">
        <f t="shared" si="57"/>
        <v>0</v>
      </c>
      <c r="AK224" s="582" t="str">
        <f t="shared" si="60"/>
        <v/>
      </c>
      <c r="AL224" s="582" t="e">
        <f t="shared" si="58"/>
        <v>#REF!</v>
      </c>
      <c r="AM224" s="580"/>
      <c r="AN224" s="576"/>
      <c r="AO224" s="580"/>
    </row>
    <row r="225" spans="2:41" s="436" customFormat="1" ht="14" hidden="1">
      <c r="B225" s="801">
        <v>2605</v>
      </c>
      <c r="C225" s="1393" t="s">
        <v>114</v>
      </c>
      <c r="D225" s="1393"/>
      <c r="E225" s="1393"/>
      <c r="F225" s="1393" t="s">
        <v>104</v>
      </c>
      <c r="G225" s="566"/>
      <c r="H225" s="566"/>
      <c r="I225" s="566"/>
      <c r="J225" s="566">
        <v>5</v>
      </c>
      <c r="K225" s="566" t="s">
        <v>286</v>
      </c>
      <c r="L225" s="566">
        <v>4</v>
      </c>
      <c r="M225" s="576">
        <v>1749</v>
      </c>
      <c r="N225" s="576">
        <f t="shared" si="63"/>
        <v>104940</v>
      </c>
      <c r="O225" s="566">
        <v>4</v>
      </c>
      <c r="P225" s="577" t="str">
        <f>IFERROR(_xlfn.XLOOKUP(F225,'[4]By Model'!$A:$A,'[4]By Model'!$K:$K),"")</f>
        <v/>
      </c>
      <c r="Q225" s="578" t="str">
        <f>IFERROR(_xlfn.XLOOKUP(F225,'[5]By Model'!$A:$A,'[5]By Model'!$B:$B),"")</f>
        <v/>
      </c>
      <c r="R225" s="579" t="str">
        <f>IFERROR(_xlfn.XLOOKUP(F225,'[4]By Model'!$A:$A,'[4]By Model'!$I:$I),"")</f>
        <v/>
      </c>
      <c r="S225" s="578" t="str">
        <f>IFERROR(_xlfn.XLOOKUP(F225,[6]Sum!$G:$G,[6]Sum!$AM:$AM),"")</f>
        <v/>
      </c>
      <c r="T225" s="576">
        <v>1749</v>
      </c>
      <c r="U225" s="576">
        <f t="shared" si="49"/>
        <v>104940</v>
      </c>
      <c r="V225" s="580">
        <v>0</v>
      </c>
      <c r="W225" s="576">
        <f t="shared" si="50"/>
        <v>0</v>
      </c>
      <c r="X225" s="576">
        <f t="shared" si="51"/>
        <v>104940</v>
      </c>
      <c r="Y225" s="581">
        <f t="shared" si="52"/>
        <v>0</v>
      </c>
      <c r="Z225" s="577" t="str">
        <f t="shared" si="59"/>
        <v/>
      </c>
      <c r="AA225" s="577">
        <v>0.13232140691328076</v>
      </c>
      <c r="AB225" s="582"/>
      <c r="AC225" s="576">
        <v>1849</v>
      </c>
      <c r="AD225" s="576">
        <f t="shared" si="53"/>
        <v>110940</v>
      </c>
      <c r="AE225" s="711"/>
      <c r="AF225" s="583">
        <v>0</v>
      </c>
      <c r="AG225" s="576">
        <f t="shared" si="54"/>
        <v>0</v>
      </c>
      <c r="AH225" s="709">
        <f t="shared" si="55"/>
        <v>110940</v>
      </c>
      <c r="AI225" s="709">
        <f t="shared" si="56"/>
        <v>6000</v>
      </c>
      <c r="AJ225" s="577">
        <f t="shared" si="57"/>
        <v>5.7175528873642079E-2</v>
      </c>
      <c r="AK225" s="582" t="str">
        <f t="shared" si="60"/>
        <v/>
      </c>
      <c r="AL225" s="582" t="e">
        <f>#REF!</f>
        <v>#REF!</v>
      </c>
      <c r="AM225" s="580" t="e">
        <f>VLOOKUP(F225,[7]PRM!E:R,14,FALSE)</f>
        <v>#N/A</v>
      </c>
      <c r="AN225" s="576" t="e">
        <f>T225-#REF!</f>
        <v>#REF!</v>
      </c>
      <c r="AO225" s="580"/>
    </row>
    <row r="226" spans="2:41" s="436" customFormat="1" ht="14" hidden="1">
      <c r="B226" s="799">
        <v>2605</v>
      </c>
      <c r="C226" s="1391" t="str">
        <f t="shared" ref="C226" si="88">C227</f>
        <v>Styler</v>
      </c>
      <c r="D226" s="1391"/>
      <c r="E226" s="1391"/>
      <c r="F226" s="1391" t="s">
        <v>255</v>
      </c>
      <c r="G226" s="566"/>
      <c r="H226" s="566"/>
      <c r="I226" s="566" t="s">
        <v>305</v>
      </c>
      <c r="J226" s="566">
        <v>3</v>
      </c>
      <c r="K226" s="566" t="s">
        <v>288</v>
      </c>
      <c r="L226" s="566">
        <f t="shared" ref="L226:O226" si="89">L227</f>
        <v>12</v>
      </c>
      <c r="M226" s="576">
        <v>1399</v>
      </c>
      <c r="N226" s="576">
        <f t="shared" si="63"/>
        <v>50364</v>
      </c>
      <c r="O226" s="566">
        <f t="shared" si="89"/>
        <v>12</v>
      </c>
      <c r="P226" s="577">
        <f>IFERROR(_xlfn.XLOOKUP($F$226,'[4]By Model'!$A:$A,'[4]By Model'!$K:$K),"")</f>
        <v>0.1270508936607275</v>
      </c>
      <c r="Q226" s="578">
        <f>IFERROR(_xlfn.XLOOKUP(F226,'[5]By Model'!$A:$A,'[5]By Model'!$B:$B),"")</f>
        <v>8</v>
      </c>
      <c r="R226" s="579">
        <f>IFERROR(_xlfn.XLOOKUP(F226,'[4]By Model'!$A:$A,'[4]By Model'!$I:$I),"")</f>
        <v>1093.2257286666666</v>
      </c>
      <c r="S226" s="578" t="str">
        <f>IFERROR(_xlfn.XLOOKUP(F226,[6]Sum!$G:$G,[6]Sum!$AM:$AM),"")</f>
        <v/>
      </c>
      <c r="T226" s="576">
        <v>1299</v>
      </c>
      <c r="U226" s="576">
        <f t="shared" si="49"/>
        <v>46764</v>
      </c>
      <c r="V226" s="580">
        <v>0</v>
      </c>
      <c r="W226" s="576">
        <f t="shared" si="50"/>
        <v>0</v>
      </c>
      <c r="X226" s="576">
        <f t="shared" si="51"/>
        <v>46764</v>
      </c>
      <c r="Y226" s="581">
        <f t="shared" si="52"/>
        <v>-7.1479628305932796E-2</v>
      </c>
      <c r="Z226" s="577">
        <f t="shared" si="59"/>
        <v>9.13110795077611E-2</v>
      </c>
      <c r="AA226" s="577">
        <f t="shared" ref="AA226:AB232" si="90">AA227</f>
        <v>0.20056738068298957</v>
      </c>
      <c r="AB226" s="582" t="str">
        <f t="shared" si="90"/>
        <v> </v>
      </c>
      <c r="AC226" s="576">
        <v>1299</v>
      </c>
      <c r="AD226" s="576">
        <f t="shared" si="53"/>
        <v>46764</v>
      </c>
      <c r="AE226" s="711">
        <f>AD226/AD227</f>
        <v>0.86696329254727478</v>
      </c>
      <c r="AF226" s="580">
        <v>0</v>
      </c>
      <c r="AG226" s="576">
        <f t="shared" si="54"/>
        <v>0</v>
      </c>
      <c r="AH226" s="709">
        <f t="shared" si="55"/>
        <v>46764</v>
      </c>
      <c r="AI226" s="709">
        <f t="shared" si="56"/>
        <v>0</v>
      </c>
      <c r="AJ226" s="577">
        <f t="shared" si="57"/>
        <v>0</v>
      </c>
      <c r="AK226" s="582">
        <f t="shared" si="60"/>
        <v>9.13110795077611E-2</v>
      </c>
      <c r="AL226" s="582" t="str">
        <f t="shared" si="58"/>
        <v> </v>
      </c>
      <c r="AM226" s="580"/>
      <c r="AN226" s="576"/>
      <c r="AO226" s="580"/>
    </row>
    <row r="227" spans="2:41" s="436" customFormat="1" ht="14" hidden="1">
      <c r="B227" s="800">
        <v>2605</v>
      </c>
      <c r="C227" s="1392" t="s">
        <v>472</v>
      </c>
      <c r="D227" s="1392"/>
      <c r="E227" s="1392"/>
      <c r="F227" s="1392"/>
      <c r="G227" s="566" t="s">
        <v>389</v>
      </c>
      <c r="H227" s="566"/>
      <c r="I227" s="566" t="s">
        <v>305</v>
      </c>
      <c r="J227" s="566">
        <v>5</v>
      </c>
      <c r="K227" s="566" t="s">
        <v>288</v>
      </c>
      <c r="L227" s="566">
        <v>12</v>
      </c>
      <c r="M227" s="576">
        <v>899</v>
      </c>
      <c r="N227" s="576">
        <f t="shared" si="63"/>
        <v>53940</v>
      </c>
      <c r="O227" s="566">
        <v>12</v>
      </c>
      <c r="P227" s="577">
        <f>IFERROR(_xlfn.XLOOKUP($F$226,'[4]By Model'!$A:$A,'[4]By Model'!$K:$K),"")</f>
        <v>0.1270508936607275</v>
      </c>
      <c r="Q227" s="578" t="str">
        <f>IFERROR(_xlfn.XLOOKUP(F227,'[5]By Model'!$A:$A,'[5]By Model'!$B:$B),"")</f>
        <v/>
      </c>
      <c r="R227" s="579" t="str">
        <f>IFERROR(_xlfn.XLOOKUP(F227,'[4]By Model'!$A:$A,'[4]By Model'!$I:$I),"")</f>
        <v/>
      </c>
      <c r="S227" s="578" t="str">
        <f>IFERROR(_xlfn.XLOOKUP(F227,[6]Sum!$G:$G,[6]Sum!$AM:$AM),"")</f>
        <v/>
      </c>
      <c r="T227" s="576">
        <v>899</v>
      </c>
      <c r="U227" s="576">
        <f t="shared" si="49"/>
        <v>53940</v>
      </c>
      <c r="V227" s="580">
        <v>12</v>
      </c>
      <c r="W227" s="576">
        <f t="shared" si="50"/>
        <v>5394</v>
      </c>
      <c r="X227" s="576">
        <f t="shared" si="51"/>
        <v>48546</v>
      </c>
      <c r="Y227" s="581">
        <f t="shared" si="52"/>
        <v>-9.9999999999999978E-2</v>
      </c>
      <c r="Z227" s="577">
        <f t="shared" si="59"/>
        <v>7.705089366072751E-2</v>
      </c>
      <c r="AA227" s="577">
        <f t="shared" si="90"/>
        <v>0.20056738068298957</v>
      </c>
      <c r="AB227" s="582" t="str">
        <f t="shared" si="90"/>
        <v> </v>
      </c>
      <c r="AC227" s="576">
        <v>899</v>
      </c>
      <c r="AD227" s="576">
        <f t="shared" si="53"/>
        <v>53940</v>
      </c>
      <c r="AE227" s="711"/>
      <c r="AF227" s="583">
        <v>6</v>
      </c>
      <c r="AG227" s="576">
        <f t="shared" si="54"/>
        <v>2697</v>
      </c>
      <c r="AH227" s="709">
        <f t="shared" si="55"/>
        <v>51243</v>
      </c>
      <c r="AI227" s="709">
        <f t="shared" si="56"/>
        <v>2697</v>
      </c>
      <c r="AJ227" s="577">
        <f t="shared" si="57"/>
        <v>5.5555555555555552E-2</v>
      </c>
      <c r="AK227" s="582">
        <f t="shared" si="60"/>
        <v>0.10482867143850529</v>
      </c>
      <c r="AL227" s="582" t="str">
        <f t="shared" si="58"/>
        <v> </v>
      </c>
      <c r="AM227" s="580"/>
      <c r="AN227" s="576"/>
      <c r="AO227" s="580"/>
    </row>
    <row r="228" spans="2:41" s="436" customFormat="1" ht="14" hidden="1">
      <c r="B228" s="801">
        <v>2605</v>
      </c>
      <c r="C228" s="1393" t="s">
        <v>472</v>
      </c>
      <c r="D228" s="1393"/>
      <c r="E228" s="1393"/>
      <c r="F228" s="1393"/>
      <c r="G228" s="566" t="s">
        <v>389</v>
      </c>
      <c r="H228" s="566"/>
      <c r="I228" s="566" t="s">
        <v>305</v>
      </c>
      <c r="J228" s="566">
        <v>6</v>
      </c>
      <c r="K228" s="566" t="s">
        <v>288</v>
      </c>
      <c r="L228" s="566">
        <v>12</v>
      </c>
      <c r="M228" s="576">
        <v>899</v>
      </c>
      <c r="N228" s="576">
        <f t="shared" si="63"/>
        <v>64728</v>
      </c>
      <c r="O228" s="566">
        <v>12</v>
      </c>
      <c r="P228" s="577">
        <f>IFERROR(_xlfn.XLOOKUP($F$226,'[4]By Model'!$A:$A,'[4]By Model'!$K:$K),"")</f>
        <v>0.1270508936607275</v>
      </c>
      <c r="Q228" s="578" t="str">
        <f>IFERROR(_xlfn.XLOOKUP(F228,'[5]By Model'!$A:$A,'[5]By Model'!$B:$B),"")</f>
        <v/>
      </c>
      <c r="R228" s="579" t="str">
        <f>IFERROR(_xlfn.XLOOKUP(F228,'[4]By Model'!$A:$A,'[4]By Model'!$I:$I),"")</f>
        <v/>
      </c>
      <c r="S228" s="578" t="str">
        <f>IFERROR(_xlfn.XLOOKUP(F228,[6]Sum!$G:$G,[6]Sum!$AM:$AM),"")</f>
        <v/>
      </c>
      <c r="T228" s="576">
        <v>799</v>
      </c>
      <c r="U228" s="576">
        <f t="shared" si="49"/>
        <v>57528</v>
      </c>
      <c r="V228" s="580">
        <v>12</v>
      </c>
      <c r="W228" s="576">
        <f t="shared" si="50"/>
        <v>4794</v>
      </c>
      <c r="X228" s="576">
        <f t="shared" si="51"/>
        <v>52734</v>
      </c>
      <c r="Y228" s="581">
        <f t="shared" si="52"/>
        <v>-0.18529847979236191</v>
      </c>
      <c r="Z228" s="577">
        <f t="shared" si="59"/>
        <v>3.4401653764546541E-2</v>
      </c>
      <c r="AA228" s="577">
        <f t="shared" si="90"/>
        <v>0.20056738068298957</v>
      </c>
      <c r="AB228" s="582" t="str">
        <f t="shared" si="90"/>
        <v> </v>
      </c>
      <c r="AC228" s="576">
        <v>799</v>
      </c>
      <c r="AD228" s="576">
        <f t="shared" si="53"/>
        <v>57528</v>
      </c>
      <c r="AE228" s="576"/>
      <c r="AF228" s="583">
        <v>6</v>
      </c>
      <c r="AG228" s="576">
        <f t="shared" si="54"/>
        <v>2397</v>
      </c>
      <c r="AH228" s="709">
        <f t="shared" si="55"/>
        <v>55131</v>
      </c>
      <c r="AI228" s="709">
        <f t="shared" si="56"/>
        <v>2397</v>
      </c>
      <c r="AJ228" s="577">
        <f t="shared" si="57"/>
        <v>4.5454545454545456E-2</v>
      </c>
      <c r="AK228" s="582">
        <f t="shared" si="60"/>
        <v>5.7128926491819269E-2</v>
      </c>
      <c r="AL228" s="582" t="str">
        <f t="shared" si="58"/>
        <v> </v>
      </c>
      <c r="AM228" s="580"/>
      <c r="AN228" s="576"/>
      <c r="AO228" s="580"/>
    </row>
    <row r="229" spans="2:41" s="436" customFormat="1" ht="14" hidden="1">
      <c r="B229" s="799">
        <v>2605</v>
      </c>
      <c r="C229" s="1391" t="str">
        <f t="shared" ref="C229" si="91">C230</f>
        <v>VCC</v>
      </c>
      <c r="D229" s="1391"/>
      <c r="E229" s="1391"/>
      <c r="F229" s="1391" t="s">
        <v>54</v>
      </c>
      <c r="G229" s="566" t="s">
        <v>389</v>
      </c>
      <c r="H229" s="566"/>
      <c r="I229" s="566" t="s">
        <v>305</v>
      </c>
      <c r="J229" s="566">
        <v>3</v>
      </c>
      <c r="K229" s="566" t="s">
        <v>288</v>
      </c>
      <c r="L229" s="566">
        <f t="shared" ref="L229:AA229" si="92">L230</f>
        <v>12</v>
      </c>
      <c r="M229" s="576">
        <v>1299</v>
      </c>
      <c r="N229" s="576">
        <f t="shared" si="63"/>
        <v>46764</v>
      </c>
      <c r="O229" s="566">
        <f t="shared" si="92"/>
        <v>12</v>
      </c>
      <c r="P229" s="577">
        <f>IFERROR(_xlfn.XLOOKUP($F$229,'[4]By Model'!$A:$A,'[4]By Model'!$K:$K),"")</f>
        <v>8.2400291346352364E-2</v>
      </c>
      <c r="Q229" s="578">
        <f>IFERROR(_xlfn.XLOOKUP(F229,'[5]By Model'!$A:$A,'[5]By Model'!$B:$B),"")</f>
        <v>110</v>
      </c>
      <c r="R229" s="579">
        <f>IFERROR(_xlfn.XLOOKUP(F229,'[4]By Model'!$A:$A,'[4]By Model'!$I:$I),"")</f>
        <v>799.40527571443295</v>
      </c>
      <c r="S229" s="578" t="str">
        <f>IFERROR(_xlfn.XLOOKUP(F229,[6]Sum!$G:$G,[6]Sum!$AM:$AM),"")</f>
        <v/>
      </c>
      <c r="T229" s="576">
        <v>1099</v>
      </c>
      <c r="U229" s="576">
        <f t="shared" si="49"/>
        <v>39564</v>
      </c>
      <c r="V229" s="580">
        <v>0</v>
      </c>
      <c r="W229" s="576">
        <f t="shared" si="50"/>
        <v>0</v>
      </c>
      <c r="X229" s="576">
        <f t="shared" si="51"/>
        <v>39564</v>
      </c>
      <c r="Y229" s="581">
        <f t="shared" si="52"/>
        <v>-0.15396458814472669</v>
      </c>
      <c r="Z229" s="577">
        <f t="shared" si="59"/>
        <v>5.4179972739890198E-3</v>
      </c>
      <c r="AA229" s="577">
        <f t="shared" si="92"/>
        <v>0.20056738068298957</v>
      </c>
      <c r="AB229" s="582" t="str">
        <f t="shared" si="90"/>
        <v> </v>
      </c>
      <c r="AC229" s="576">
        <v>1099</v>
      </c>
      <c r="AD229" s="576">
        <f t="shared" si="53"/>
        <v>39564</v>
      </c>
      <c r="AE229" s="711">
        <f>AD229/AD230</f>
        <v>0.94334763948497857</v>
      </c>
      <c r="AF229" s="580">
        <v>0</v>
      </c>
      <c r="AG229" s="576">
        <f t="shared" si="54"/>
        <v>0</v>
      </c>
      <c r="AH229" s="709">
        <f t="shared" si="55"/>
        <v>39564</v>
      </c>
      <c r="AI229" s="709">
        <f t="shared" si="56"/>
        <v>0</v>
      </c>
      <c r="AJ229" s="577">
        <f t="shared" si="57"/>
        <v>0</v>
      </c>
      <c r="AK229" s="582">
        <f t="shared" si="60"/>
        <v>5.4179972739890198E-3</v>
      </c>
      <c r="AL229" s="582" t="str">
        <f t="shared" si="58"/>
        <v> </v>
      </c>
      <c r="AM229" s="580"/>
      <c r="AN229" s="576"/>
      <c r="AO229" s="580"/>
    </row>
    <row r="230" spans="2:41" s="436" customFormat="1" ht="14" hidden="1">
      <c r="B230" s="801">
        <v>2605</v>
      </c>
      <c r="C230" s="1393" t="s">
        <v>22</v>
      </c>
      <c r="D230" s="1393"/>
      <c r="E230" s="1393"/>
      <c r="F230" s="1393"/>
      <c r="G230" s="566" t="s">
        <v>389</v>
      </c>
      <c r="H230" s="566"/>
      <c r="I230" s="566" t="s">
        <v>305</v>
      </c>
      <c r="J230" s="566">
        <v>5</v>
      </c>
      <c r="K230" s="566" t="s">
        <v>288</v>
      </c>
      <c r="L230" s="566">
        <v>12</v>
      </c>
      <c r="M230" s="576">
        <v>699</v>
      </c>
      <c r="N230" s="576">
        <f t="shared" si="63"/>
        <v>41940</v>
      </c>
      <c r="O230" s="566">
        <v>12</v>
      </c>
      <c r="P230" s="577">
        <f>IFERROR(_xlfn.XLOOKUP($F$229,'[4]By Model'!$A:$A,'[4]By Model'!$K:$K),"")</f>
        <v>8.2400291346352364E-2</v>
      </c>
      <c r="Q230" s="578" t="str">
        <f>IFERROR(_xlfn.XLOOKUP(F230,'[5]By Model'!$A:$A,'[5]By Model'!$B:$B),"")</f>
        <v/>
      </c>
      <c r="R230" s="579" t="str">
        <f>IFERROR(_xlfn.XLOOKUP(F230,'[4]By Model'!$A:$A,'[4]By Model'!$I:$I),"")</f>
        <v/>
      </c>
      <c r="S230" s="578" t="str">
        <f>IFERROR(_xlfn.XLOOKUP(F230,[6]Sum!$G:$G,[6]Sum!$AM:$AM),"")</f>
        <v/>
      </c>
      <c r="T230" s="576">
        <v>699</v>
      </c>
      <c r="U230" s="576">
        <f t="shared" si="49"/>
        <v>41940</v>
      </c>
      <c r="V230" s="580">
        <v>3</v>
      </c>
      <c r="W230" s="576">
        <f t="shared" si="50"/>
        <v>1048.5</v>
      </c>
      <c r="X230" s="576">
        <f t="shared" si="51"/>
        <v>40891.5</v>
      </c>
      <c r="Y230" s="581">
        <f t="shared" si="52"/>
        <v>-2.5000000000000022E-2</v>
      </c>
      <c r="Z230" s="577">
        <f t="shared" si="59"/>
        <v>6.9900291346352353E-2</v>
      </c>
      <c r="AA230" s="577">
        <v>0.20056738068298957</v>
      </c>
      <c r="AB230" s="582" t="str">
        <f t="shared" si="90"/>
        <v> </v>
      </c>
      <c r="AC230" s="576">
        <v>699</v>
      </c>
      <c r="AD230" s="576">
        <f t="shared" si="53"/>
        <v>41940</v>
      </c>
      <c r="AE230" s="711"/>
      <c r="AF230" s="583">
        <v>3</v>
      </c>
      <c r="AG230" s="576">
        <f t="shared" si="54"/>
        <v>1048.5</v>
      </c>
      <c r="AH230" s="709">
        <f t="shared" si="55"/>
        <v>40891.5</v>
      </c>
      <c r="AI230" s="709">
        <f t="shared" si="56"/>
        <v>0</v>
      </c>
      <c r="AJ230" s="577">
        <f t="shared" si="57"/>
        <v>0</v>
      </c>
      <c r="AK230" s="582">
        <f t="shared" si="60"/>
        <v>6.9900291346352353E-2</v>
      </c>
      <c r="AL230" s="582" t="str">
        <f t="shared" si="58"/>
        <v> </v>
      </c>
      <c r="AM230" s="580" t="e">
        <f>VLOOKUP(F230,[7]PRM!E:R,14,FALSE)</f>
        <v>#N/A</v>
      </c>
      <c r="AN230" s="576" t="e">
        <f>T230-#REF!</f>
        <v>#REF!</v>
      </c>
      <c r="AO230" s="580"/>
    </row>
    <row r="231" spans="2:41" s="436" customFormat="1" ht="14" hidden="1">
      <c r="B231" s="799">
        <v>2605</v>
      </c>
      <c r="C231" s="1391" t="str">
        <f t="shared" ref="C231" si="93">C232</f>
        <v>VCC</v>
      </c>
      <c r="D231" s="1391"/>
      <c r="E231" s="1391"/>
      <c r="F231" s="1391" t="s">
        <v>383</v>
      </c>
      <c r="G231" s="566" t="s">
        <v>389</v>
      </c>
      <c r="H231" s="566"/>
      <c r="I231" s="566" t="s">
        <v>305</v>
      </c>
      <c r="J231" s="566">
        <v>3</v>
      </c>
      <c r="K231" s="566" t="s">
        <v>288</v>
      </c>
      <c r="L231" s="566">
        <f t="shared" ref="L231:AA231" si="94">L232</f>
        <v>12</v>
      </c>
      <c r="M231" s="576">
        <v>1049</v>
      </c>
      <c r="N231" s="576">
        <f t="shared" si="63"/>
        <v>37764</v>
      </c>
      <c r="O231" s="566">
        <f t="shared" si="94"/>
        <v>12</v>
      </c>
      <c r="P231" s="577">
        <f>IFERROR(_xlfn.XLOOKUP(F231,'[4]By Model'!$A:$A,'[4]By Model'!$K:$K),"")</f>
        <v>0.10945655742891164</v>
      </c>
      <c r="Q231" s="578">
        <f>IFERROR(_xlfn.XLOOKUP(F231,'[5]By Model'!$A:$A,'[5]By Model'!$B:$B),"")</f>
        <v>7</v>
      </c>
      <c r="R231" s="579">
        <f>IFERROR(_xlfn.XLOOKUP(F231,'[4]By Model'!$A:$A,'[4]By Model'!$I:$I),"")</f>
        <v>728.42144122857155</v>
      </c>
      <c r="S231" s="578" t="str">
        <f>IFERROR(_xlfn.XLOOKUP(F231,[6]Sum!$G:$G,[6]Sum!$AM:$AM),"")</f>
        <v/>
      </c>
      <c r="T231" s="576">
        <v>949</v>
      </c>
      <c r="U231" s="576">
        <f t="shared" si="49"/>
        <v>34164</v>
      </c>
      <c r="V231" s="580">
        <v>0</v>
      </c>
      <c r="W231" s="576">
        <f t="shared" si="50"/>
        <v>0</v>
      </c>
      <c r="X231" s="576">
        <f t="shared" si="51"/>
        <v>34164</v>
      </c>
      <c r="Y231" s="581">
        <f t="shared" si="52"/>
        <v>-9.5328884652049584E-2</v>
      </c>
      <c r="Z231" s="577">
        <f t="shared" si="59"/>
        <v>6.1792115102886847E-2</v>
      </c>
      <c r="AA231" s="577">
        <f t="shared" si="94"/>
        <v>0.17268065187010875</v>
      </c>
      <c r="AB231" s="582" t="str">
        <f t="shared" si="90"/>
        <v> </v>
      </c>
      <c r="AC231" s="576">
        <v>949</v>
      </c>
      <c r="AD231" s="576">
        <f t="shared" si="53"/>
        <v>34164</v>
      </c>
      <c r="AE231" s="711">
        <f>AD231/AD232</f>
        <v>0.95058430717863107</v>
      </c>
      <c r="AF231" s="580">
        <v>0</v>
      </c>
      <c r="AG231" s="576">
        <f t="shared" si="54"/>
        <v>0</v>
      </c>
      <c r="AH231" s="709">
        <f t="shared" si="55"/>
        <v>34164</v>
      </c>
      <c r="AI231" s="709">
        <f t="shared" si="56"/>
        <v>0</v>
      </c>
      <c r="AJ231" s="577">
        <f t="shared" si="57"/>
        <v>0</v>
      </c>
      <c r="AK231" s="582">
        <f t="shared" si="60"/>
        <v>6.1792115102886847E-2</v>
      </c>
      <c r="AL231" s="582" t="str">
        <f t="shared" si="58"/>
        <v> </v>
      </c>
      <c r="AM231" s="580"/>
      <c r="AN231" s="576"/>
      <c r="AO231" s="580"/>
    </row>
    <row r="232" spans="2:41" s="436" customFormat="1" ht="14" hidden="1">
      <c r="B232" s="801">
        <v>2605</v>
      </c>
      <c r="C232" s="1393" t="s">
        <v>22</v>
      </c>
      <c r="D232" s="1393"/>
      <c r="E232" s="1393"/>
      <c r="F232" s="1393" t="s">
        <v>383</v>
      </c>
      <c r="G232" s="566" t="s">
        <v>389</v>
      </c>
      <c r="H232" s="566"/>
      <c r="I232" s="566" t="s">
        <v>305</v>
      </c>
      <c r="J232" s="566">
        <v>5</v>
      </c>
      <c r="K232" s="566" t="s">
        <v>288</v>
      </c>
      <c r="L232" s="566">
        <v>12</v>
      </c>
      <c r="M232" s="576">
        <v>599</v>
      </c>
      <c r="N232" s="576">
        <f t="shared" si="63"/>
        <v>35940</v>
      </c>
      <c r="O232" s="566">
        <v>12</v>
      </c>
      <c r="P232" s="577">
        <f>IFERROR(_xlfn.XLOOKUP(F232,'[4]By Model'!$A:$A,'[4]By Model'!$K:$K),"")</f>
        <v>0.10945655742891164</v>
      </c>
      <c r="Q232" s="578">
        <f>IFERROR(_xlfn.XLOOKUP(F232,'[5]By Model'!$A:$A,'[5]By Model'!$B:$B),"")</f>
        <v>7</v>
      </c>
      <c r="R232" s="579">
        <f>IFERROR(_xlfn.XLOOKUP(F232,'[4]By Model'!$A:$A,'[4]By Model'!$I:$I),"")</f>
        <v>728.42144122857155</v>
      </c>
      <c r="S232" s="578" t="str">
        <f>IFERROR(_xlfn.XLOOKUP(F232,[6]Sum!$G:$G,[6]Sum!$AM:$AM),"")</f>
        <v/>
      </c>
      <c r="T232" s="576">
        <v>599</v>
      </c>
      <c r="U232" s="576">
        <f t="shared" si="49"/>
        <v>35940</v>
      </c>
      <c r="V232" s="580">
        <v>0</v>
      </c>
      <c r="W232" s="576">
        <f t="shared" si="50"/>
        <v>0</v>
      </c>
      <c r="X232" s="576">
        <f t="shared" si="51"/>
        <v>35940</v>
      </c>
      <c r="Y232" s="581">
        <f t="shared" si="52"/>
        <v>0</v>
      </c>
      <c r="Z232" s="577">
        <f t="shared" si="59"/>
        <v>0.10945655742891164</v>
      </c>
      <c r="AA232" s="577">
        <v>0.17268065187010875</v>
      </c>
      <c r="AB232" s="582" t="str">
        <f t="shared" si="90"/>
        <v> </v>
      </c>
      <c r="AC232" s="576">
        <v>599</v>
      </c>
      <c r="AD232" s="576">
        <f t="shared" si="53"/>
        <v>35940</v>
      </c>
      <c r="AE232" s="711"/>
      <c r="AF232" s="583">
        <v>0</v>
      </c>
      <c r="AG232" s="576">
        <f t="shared" si="54"/>
        <v>0</v>
      </c>
      <c r="AH232" s="709">
        <f t="shared" si="55"/>
        <v>35940</v>
      </c>
      <c r="AI232" s="709">
        <f t="shared" si="56"/>
        <v>0</v>
      </c>
      <c r="AJ232" s="577">
        <f t="shared" si="57"/>
        <v>0</v>
      </c>
      <c r="AK232" s="582">
        <f t="shared" si="60"/>
        <v>0.10945655742891164</v>
      </c>
      <c r="AL232" s="582" t="str">
        <f t="shared" si="58"/>
        <v> </v>
      </c>
      <c r="AM232" s="580" t="e">
        <f>VLOOKUP(F232,[7]PRM!E:R,14,FALSE)</f>
        <v>#N/A</v>
      </c>
      <c r="AN232" s="576" t="e">
        <f>T232-#REF!</f>
        <v>#REF!</v>
      </c>
      <c r="AO232" s="580"/>
    </row>
    <row r="233" spans="2:41" s="436" customFormat="1" ht="14" hidden="1">
      <c r="B233" s="799">
        <v>2605</v>
      </c>
      <c r="C233" s="1391" t="str">
        <f t="shared" ref="C233" si="95">C234</f>
        <v>VCC</v>
      </c>
      <c r="D233" s="1391"/>
      <c r="E233" s="1391"/>
      <c r="F233" s="1391" t="s">
        <v>384</v>
      </c>
      <c r="G233" s="566" t="s">
        <v>389</v>
      </c>
      <c r="H233" s="566"/>
      <c r="I233" s="566" t="s">
        <v>305</v>
      </c>
      <c r="J233" s="566">
        <v>3</v>
      </c>
      <c r="K233" s="566" t="s">
        <v>288</v>
      </c>
      <c r="L233" s="566">
        <f t="shared" ref="L233:AB233" si="96">L234</f>
        <v>12</v>
      </c>
      <c r="M233" s="576">
        <v>949</v>
      </c>
      <c r="N233" s="576">
        <f t="shared" si="63"/>
        <v>34164</v>
      </c>
      <c r="O233" s="566">
        <f t="shared" si="96"/>
        <v>12</v>
      </c>
      <c r="P233" s="577">
        <f>IFERROR(_xlfn.XLOOKUP(F233,'[4]By Model'!$A:$A,'[4]By Model'!$K:$K),"")</f>
        <v>-3.4095904285130776E-2</v>
      </c>
      <c r="Q233" s="578">
        <f>IFERROR(_xlfn.XLOOKUP(F233,'[5]By Model'!$A:$A,'[5]By Model'!$B:$B),"")</f>
        <v>2</v>
      </c>
      <c r="R233" s="579">
        <f>IFERROR(_xlfn.XLOOKUP(F233,'[4]By Model'!$A:$A,'[4]By Model'!$I:$I),"")</f>
        <v>357.34168826000001</v>
      </c>
      <c r="S233" s="578">
        <f>IFERROR(_xlfn.XLOOKUP(F233,[6]Sum!$G:$G,[6]Sum!$AM:$AM),"")</f>
        <v>47</v>
      </c>
      <c r="T233" s="576">
        <v>549</v>
      </c>
      <c r="U233" s="576">
        <f t="shared" si="49"/>
        <v>19764</v>
      </c>
      <c r="V233" s="580">
        <v>0</v>
      </c>
      <c r="W233" s="576">
        <f t="shared" si="50"/>
        <v>0</v>
      </c>
      <c r="X233" s="576">
        <f t="shared" si="51"/>
        <v>19764</v>
      </c>
      <c r="Y233" s="581">
        <f t="shared" si="52"/>
        <v>-0.42149631190727077</v>
      </c>
      <c r="Z233" s="577">
        <f t="shared" si="59"/>
        <v>-0.24484406023876615</v>
      </c>
      <c r="AA233" s="577">
        <f t="shared" si="96"/>
        <v>0.28000000000000003</v>
      </c>
      <c r="AB233" s="582" t="str">
        <f t="shared" si="96"/>
        <v> </v>
      </c>
      <c r="AC233" s="576">
        <v>549</v>
      </c>
      <c r="AD233" s="576">
        <f t="shared" si="53"/>
        <v>19764</v>
      </c>
      <c r="AE233" s="711">
        <f>AD233/AD234</f>
        <v>0.66012024048096196</v>
      </c>
      <c r="AF233" s="580">
        <v>0</v>
      </c>
      <c r="AG233" s="576">
        <f t="shared" si="54"/>
        <v>0</v>
      </c>
      <c r="AH233" s="709">
        <f t="shared" si="55"/>
        <v>19764</v>
      </c>
      <c r="AI233" s="709">
        <f t="shared" si="56"/>
        <v>0</v>
      </c>
      <c r="AJ233" s="577">
        <f t="shared" si="57"/>
        <v>0</v>
      </c>
      <c r="AK233" s="582">
        <f t="shared" si="60"/>
        <v>-0.24484406023876615</v>
      </c>
      <c r="AL233" s="582" t="str">
        <f t="shared" si="58"/>
        <v> </v>
      </c>
      <c r="AM233" s="580"/>
      <c r="AN233" s="576"/>
      <c r="AO233" s="580"/>
    </row>
    <row r="234" spans="2:41" s="436" customFormat="1" ht="14" hidden="1">
      <c r="B234" s="801">
        <v>2605</v>
      </c>
      <c r="C234" s="1393" t="s">
        <v>22</v>
      </c>
      <c r="D234" s="1393"/>
      <c r="E234" s="1393"/>
      <c r="F234" s="1393" t="s">
        <v>384</v>
      </c>
      <c r="G234" s="566" t="s">
        <v>389</v>
      </c>
      <c r="H234" s="566"/>
      <c r="I234" s="566" t="s">
        <v>305</v>
      </c>
      <c r="J234" s="566">
        <v>5</v>
      </c>
      <c r="K234" s="566" t="s">
        <v>288</v>
      </c>
      <c r="L234" s="566">
        <v>12</v>
      </c>
      <c r="M234" s="576">
        <v>499</v>
      </c>
      <c r="N234" s="576">
        <f t="shared" si="63"/>
        <v>29940</v>
      </c>
      <c r="O234" s="566">
        <v>12</v>
      </c>
      <c r="P234" s="577">
        <f>IFERROR(_xlfn.XLOOKUP(F234,'[4]By Model'!$A:$A,'[4]By Model'!$K:$K),"")</f>
        <v>-3.4095904285130776E-2</v>
      </c>
      <c r="Q234" s="578">
        <f>IFERROR(_xlfn.XLOOKUP(F234,'[5]By Model'!$A:$A,'[5]By Model'!$B:$B),"")</f>
        <v>2</v>
      </c>
      <c r="R234" s="579">
        <f>IFERROR(_xlfn.XLOOKUP(F234,'[4]By Model'!$A:$A,'[4]By Model'!$I:$I),"")</f>
        <v>357.34168826000001</v>
      </c>
      <c r="S234" s="578">
        <f>IFERROR(_xlfn.XLOOKUP(F234,[6]Sum!$G:$G,[6]Sum!$AM:$AM),"")</f>
        <v>47</v>
      </c>
      <c r="T234" s="576">
        <v>399</v>
      </c>
      <c r="U234" s="576">
        <f t="shared" si="49"/>
        <v>23940</v>
      </c>
      <c r="V234" s="580">
        <v>0</v>
      </c>
      <c r="W234" s="576">
        <f t="shared" si="50"/>
        <v>0</v>
      </c>
      <c r="X234" s="576">
        <f t="shared" si="51"/>
        <v>23940</v>
      </c>
      <c r="Y234" s="581">
        <f t="shared" si="52"/>
        <v>-0.20040080160320639</v>
      </c>
      <c r="Z234" s="577">
        <f t="shared" si="59"/>
        <v>-0.13429630508673396</v>
      </c>
      <c r="AA234" s="577">
        <f>AA300</f>
        <v>0.28000000000000003</v>
      </c>
      <c r="AB234" s="582" t="str">
        <f>AB300</f>
        <v> </v>
      </c>
      <c r="AC234" s="576">
        <v>499</v>
      </c>
      <c r="AD234" s="576">
        <f t="shared" si="53"/>
        <v>29940</v>
      </c>
      <c r="AE234" s="711"/>
      <c r="AF234" s="583">
        <v>0</v>
      </c>
      <c r="AG234" s="576">
        <f t="shared" si="54"/>
        <v>0</v>
      </c>
      <c r="AH234" s="709">
        <f t="shared" si="55"/>
        <v>29940</v>
      </c>
      <c r="AI234" s="709">
        <f t="shared" si="56"/>
        <v>6000</v>
      </c>
      <c r="AJ234" s="577">
        <f t="shared" si="57"/>
        <v>0.25062656641604009</v>
      </c>
      <c r="AK234" s="582">
        <f t="shared" si="60"/>
        <v>-8.9830218787139149E-3</v>
      </c>
      <c r="AL234" s="582" t="str">
        <f>AL300</f>
        <v> </v>
      </c>
      <c r="AM234" s="580"/>
      <c r="AN234" s="576"/>
      <c r="AO234" s="580"/>
    </row>
    <row r="235" spans="2:41" s="436" customFormat="1" ht="14" hidden="1">
      <c r="B235" s="799">
        <v>2605</v>
      </c>
      <c r="C235" s="1391" t="str">
        <f t="shared" ref="C235" si="97">C236</f>
        <v>W/M</v>
      </c>
      <c r="D235" s="1391"/>
      <c r="E235" s="1391"/>
      <c r="F235" s="1391" t="s">
        <v>212</v>
      </c>
      <c r="G235" s="566" t="s">
        <v>389</v>
      </c>
      <c r="H235" s="566"/>
      <c r="I235" s="566" t="s">
        <v>305</v>
      </c>
      <c r="J235" s="566">
        <v>3</v>
      </c>
      <c r="K235" s="566" t="s">
        <v>286</v>
      </c>
      <c r="L235" s="566">
        <f t="shared" ref="L235:O235" si="98">L236</f>
        <v>12</v>
      </c>
      <c r="M235" s="576">
        <v>1699</v>
      </c>
      <c r="N235" s="576">
        <f t="shared" si="63"/>
        <v>61164</v>
      </c>
      <c r="O235" s="566">
        <f t="shared" si="98"/>
        <v>12</v>
      </c>
      <c r="P235" s="577">
        <f>IFERROR(_xlfn.XLOOKUP(F235,'[4]By Model'!$A:$A,'[4]By Model'!$K:$K),"")</f>
        <v>0.26506692630300871</v>
      </c>
      <c r="Q235" s="578">
        <f>IFERROR(_xlfn.XLOOKUP(F235,'[5]By Model'!$A:$A,'[5]By Model'!$B:$B),"")</f>
        <v>85</v>
      </c>
      <c r="R235" s="579">
        <f>IFERROR(_xlfn.XLOOKUP(F235,'[4]By Model'!$A:$A,'[4]By Model'!$I:$I),"")</f>
        <v>1117.017555412963</v>
      </c>
      <c r="S235" s="578" t="str">
        <f>IFERROR(_xlfn.XLOOKUP(F235,[6]Sum!$G:$G,[6]Sum!$AM:$AM),"")</f>
        <v/>
      </c>
      <c r="T235" s="576">
        <v>1399</v>
      </c>
      <c r="U235" s="576">
        <f t="shared" si="49"/>
        <v>50364</v>
      </c>
      <c r="V235" s="580">
        <v>0</v>
      </c>
      <c r="W235" s="576">
        <f t="shared" si="50"/>
        <v>0</v>
      </c>
      <c r="X235" s="576">
        <f t="shared" si="51"/>
        <v>50364</v>
      </c>
      <c r="Y235" s="581">
        <f t="shared" si="52"/>
        <v>-0.17657445556209539</v>
      </c>
      <c r="Z235" s="577">
        <f t="shared" si="59"/>
        <v>0.17677969852196102</v>
      </c>
      <c r="AA235" s="577">
        <f t="shared" ref="AA235:AA247" si="99">AA236</f>
        <v>0.32327783713663871</v>
      </c>
      <c r="AB235" s="582"/>
      <c r="AC235" s="576">
        <v>1399</v>
      </c>
      <c r="AD235" s="576">
        <f t="shared" si="53"/>
        <v>50364</v>
      </c>
      <c r="AE235" s="711">
        <f>AD235/AD237</f>
        <v>0.93370411568409339</v>
      </c>
      <c r="AF235" s="580">
        <v>0</v>
      </c>
      <c r="AG235" s="576">
        <f t="shared" si="54"/>
        <v>0</v>
      </c>
      <c r="AH235" s="709">
        <f t="shared" si="55"/>
        <v>50364</v>
      </c>
      <c r="AI235" s="709">
        <f t="shared" si="56"/>
        <v>0</v>
      </c>
      <c r="AJ235" s="577">
        <f t="shared" si="57"/>
        <v>0</v>
      </c>
      <c r="AK235" s="582">
        <f t="shared" si="60"/>
        <v>0.17677969852196102</v>
      </c>
      <c r="AL235" s="582" t="e">
        <f t="shared" ref="AL235:AL262" si="100">AL236</f>
        <v>#REF!</v>
      </c>
      <c r="AM235" s="580"/>
      <c r="AN235" s="576"/>
      <c r="AO235" s="580"/>
    </row>
    <row r="236" spans="2:41" s="436" customFormat="1" ht="14" hidden="1">
      <c r="B236" s="800">
        <v>2605</v>
      </c>
      <c r="C236" s="1392" t="s">
        <v>211</v>
      </c>
      <c r="D236" s="1392"/>
      <c r="E236" s="1392"/>
      <c r="F236" s="1392" t="s">
        <v>212</v>
      </c>
      <c r="G236" s="566" t="s">
        <v>389</v>
      </c>
      <c r="H236" s="566"/>
      <c r="I236" s="566" t="s">
        <v>305</v>
      </c>
      <c r="J236" s="566">
        <v>3</v>
      </c>
      <c r="K236" s="566" t="s">
        <v>288</v>
      </c>
      <c r="L236" s="566">
        <v>12</v>
      </c>
      <c r="M236" s="576">
        <v>1449</v>
      </c>
      <c r="N236" s="576">
        <f t="shared" si="63"/>
        <v>52164</v>
      </c>
      <c r="O236" s="566">
        <v>12</v>
      </c>
      <c r="P236" s="577">
        <f>IFERROR(_xlfn.XLOOKUP(F236,'[4]By Model'!$A:$A,'[4]By Model'!$K:$K),"")</f>
        <v>0.26506692630300871</v>
      </c>
      <c r="Q236" s="578">
        <f>IFERROR(_xlfn.XLOOKUP(F236,'[5]By Model'!$A:$A,'[5]By Model'!$B:$B),"")</f>
        <v>85</v>
      </c>
      <c r="R236" s="579">
        <f>IFERROR(_xlfn.XLOOKUP(F236,'[4]By Model'!$A:$A,'[4]By Model'!$I:$I),"")</f>
        <v>1117.017555412963</v>
      </c>
      <c r="S236" s="578" t="str">
        <f>IFERROR(_xlfn.XLOOKUP(F236,[6]Sum!$G:$G,[6]Sum!$AM:$AM),"")</f>
        <v/>
      </c>
      <c r="T236" s="576">
        <v>1249</v>
      </c>
      <c r="U236" s="576">
        <f t="shared" si="49"/>
        <v>44964</v>
      </c>
      <c r="V236" s="580">
        <v>0</v>
      </c>
      <c r="W236" s="576">
        <f t="shared" si="50"/>
        <v>0</v>
      </c>
      <c r="X236" s="576">
        <f t="shared" si="51"/>
        <v>44964</v>
      </c>
      <c r="Y236" s="581">
        <f t="shared" si="52"/>
        <v>-0.13802622498274675</v>
      </c>
      <c r="Z236" s="577">
        <f t="shared" si="59"/>
        <v>0.19605381381163534</v>
      </c>
      <c r="AA236" s="577">
        <f t="shared" si="99"/>
        <v>0.32327783713663871</v>
      </c>
      <c r="AB236" s="582"/>
      <c r="AC236" s="576">
        <v>1249</v>
      </c>
      <c r="AD236" s="576">
        <f t="shared" si="53"/>
        <v>44964</v>
      </c>
      <c r="AE236" s="711">
        <f>AD236/AD238</f>
        <v>0.88268551236749115</v>
      </c>
      <c r="AF236" s="580">
        <v>0</v>
      </c>
      <c r="AG236" s="576">
        <f t="shared" si="54"/>
        <v>0</v>
      </c>
      <c r="AH236" s="709">
        <f t="shared" si="55"/>
        <v>44964</v>
      </c>
      <c r="AI236" s="709">
        <f t="shared" si="56"/>
        <v>0</v>
      </c>
      <c r="AJ236" s="577">
        <f t="shared" si="57"/>
        <v>0</v>
      </c>
      <c r="AK236" s="582">
        <f t="shared" si="60"/>
        <v>0.19605381381163534</v>
      </c>
      <c r="AL236" s="582" t="e">
        <f t="shared" si="100"/>
        <v>#REF!</v>
      </c>
      <c r="AM236" s="580"/>
      <c r="AN236" s="576"/>
      <c r="AO236" s="580"/>
    </row>
    <row r="237" spans="2:41" s="436" customFormat="1" ht="14">
      <c r="B237" s="800">
        <v>2605</v>
      </c>
      <c r="C237" s="1392" t="s">
        <v>211</v>
      </c>
      <c r="D237" s="1392"/>
      <c r="E237" s="1392"/>
      <c r="F237" s="1392" t="s">
        <v>212</v>
      </c>
      <c r="G237" s="566" t="s">
        <v>389</v>
      </c>
      <c r="H237" s="566"/>
      <c r="I237" s="566" t="s">
        <v>305</v>
      </c>
      <c r="J237" s="566">
        <v>5</v>
      </c>
      <c r="K237" s="566" t="s">
        <v>286</v>
      </c>
      <c r="L237" s="566">
        <v>12</v>
      </c>
      <c r="M237" s="576">
        <v>899</v>
      </c>
      <c r="N237" s="576">
        <f t="shared" si="63"/>
        <v>53940</v>
      </c>
      <c r="O237" s="566">
        <v>12</v>
      </c>
      <c r="P237" s="577">
        <f>IFERROR(_xlfn.XLOOKUP(F237,'[4]By Model'!$A:$A,'[4]By Model'!$K:$K),"")</f>
        <v>0.26506692630300871</v>
      </c>
      <c r="Q237" s="578">
        <f>IFERROR(_xlfn.XLOOKUP(F237,'[5]By Model'!$A:$A,'[5]By Model'!$B:$B),"")</f>
        <v>85</v>
      </c>
      <c r="R237" s="579">
        <f>IFERROR(_xlfn.XLOOKUP(F237,'[4]By Model'!$A:$A,'[4]By Model'!$I:$I),"")</f>
        <v>1117.017555412963</v>
      </c>
      <c r="S237" s="578" t="str">
        <f>IFERROR(_xlfn.XLOOKUP(F237,[6]Sum!$G:$G,[6]Sum!$AM:$AM),"")</f>
        <v/>
      </c>
      <c r="T237" s="576">
        <v>899</v>
      </c>
      <c r="U237" s="576">
        <f t="shared" si="49"/>
        <v>53940</v>
      </c>
      <c r="V237" s="580">
        <v>6</v>
      </c>
      <c r="W237" s="576">
        <f t="shared" si="50"/>
        <v>2697</v>
      </c>
      <c r="X237" s="576">
        <f t="shared" si="51"/>
        <v>51243</v>
      </c>
      <c r="Y237" s="581">
        <f t="shared" si="52"/>
        <v>-5.0000000000000044E-2</v>
      </c>
      <c r="Z237" s="577">
        <f t="shared" si="59"/>
        <v>0.24006692630300869</v>
      </c>
      <c r="AA237" s="577">
        <f t="shared" si="99"/>
        <v>0.32327783713663871</v>
      </c>
      <c r="AB237" s="582"/>
      <c r="AC237" s="576">
        <v>899</v>
      </c>
      <c r="AD237" s="576">
        <f t="shared" si="53"/>
        <v>53940</v>
      </c>
      <c r="AE237" s="711"/>
      <c r="AF237" s="583">
        <v>0</v>
      </c>
      <c r="AG237" s="576">
        <v>6</v>
      </c>
      <c r="AH237" s="709">
        <f t="shared" si="55"/>
        <v>53934</v>
      </c>
      <c r="AI237" s="709">
        <f t="shared" si="56"/>
        <v>2691</v>
      </c>
      <c r="AJ237" s="577">
        <f t="shared" si="57"/>
        <v>5.251448978397049E-2</v>
      </c>
      <c r="AK237" s="582">
        <f t="shared" si="60"/>
        <v>0.26632417119499391</v>
      </c>
      <c r="AL237" s="582" t="e">
        <f t="shared" si="100"/>
        <v>#REF!</v>
      </c>
      <c r="AM237" s="580"/>
      <c r="AN237" s="576"/>
      <c r="AO237" s="580"/>
    </row>
    <row r="238" spans="2:41" s="436" customFormat="1" ht="14">
      <c r="B238" s="800">
        <v>2605</v>
      </c>
      <c r="C238" s="1392" t="s">
        <v>211</v>
      </c>
      <c r="D238" s="1392"/>
      <c r="E238" s="1392"/>
      <c r="F238" s="1392" t="s">
        <v>212</v>
      </c>
      <c r="G238" s="566" t="s">
        <v>389</v>
      </c>
      <c r="H238" s="566"/>
      <c r="I238" s="566" t="s">
        <v>305</v>
      </c>
      <c r="J238" s="566">
        <v>5</v>
      </c>
      <c r="K238" s="566" t="s">
        <v>288</v>
      </c>
      <c r="L238" s="566">
        <v>12</v>
      </c>
      <c r="M238" s="576">
        <v>849</v>
      </c>
      <c r="N238" s="576">
        <f t="shared" si="63"/>
        <v>50940</v>
      </c>
      <c r="O238" s="566">
        <v>12</v>
      </c>
      <c r="P238" s="577">
        <f>IFERROR(_xlfn.XLOOKUP(F238,'[4]By Model'!$A:$A,'[4]By Model'!$K:$K),"")</f>
        <v>0.26506692630300871</v>
      </c>
      <c r="Q238" s="578">
        <f>IFERROR(_xlfn.XLOOKUP(F238,'[5]By Model'!$A:$A,'[5]By Model'!$B:$B),"")</f>
        <v>85</v>
      </c>
      <c r="R238" s="579">
        <f>IFERROR(_xlfn.XLOOKUP(F238,'[4]By Model'!$A:$A,'[4]By Model'!$I:$I),"")</f>
        <v>1117.017555412963</v>
      </c>
      <c r="S238" s="578" t="str">
        <f>IFERROR(_xlfn.XLOOKUP(F238,[6]Sum!$G:$G,[6]Sum!$AM:$AM),"")</f>
        <v/>
      </c>
      <c r="T238" s="576">
        <v>849</v>
      </c>
      <c r="U238" s="576">
        <f t="shared" si="49"/>
        <v>50940</v>
      </c>
      <c r="V238" s="580">
        <v>6</v>
      </c>
      <c r="W238" s="576">
        <f t="shared" si="50"/>
        <v>2547</v>
      </c>
      <c r="X238" s="576">
        <f t="shared" si="51"/>
        <v>48393</v>
      </c>
      <c r="Y238" s="581">
        <f t="shared" si="52"/>
        <v>-5.0000000000000044E-2</v>
      </c>
      <c r="Z238" s="577">
        <f t="shared" si="59"/>
        <v>0.24006692630300869</v>
      </c>
      <c r="AA238" s="577">
        <f t="shared" si="99"/>
        <v>0.32327783713663871</v>
      </c>
      <c r="AB238" s="582"/>
      <c r="AC238" s="576">
        <v>849</v>
      </c>
      <c r="AD238" s="576">
        <f t="shared" si="53"/>
        <v>50940</v>
      </c>
      <c r="AE238" s="711"/>
      <c r="AF238" s="583">
        <v>0</v>
      </c>
      <c r="AG238" s="576">
        <v>6</v>
      </c>
      <c r="AH238" s="709">
        <f t="shared" si="55"/>
        <v>50934</v>
      </c>
      <c r="AI238" s="709">
        <f t="shared" si="56"/>
        <v>2541</v>
      </c>
      <c r="AJ238" s="577">
        <f t="shared" si="57"/>
        <v>5.2507594073523033E-2</v>
      </c>
      <c r="AK238" s="582">
        <f t="shared" si="60"/>
        <v>0.26632072333977019</v>
      </c>
      <c r="AL238" s="582" t="e">
        <f t="shared" si="100"/>
        <v>#REF!</v>
      </c>
      <c r="AM238" s="580"/>
      <c r="AN238" s="576"/>
      <c r="AO238" s="580"/>
    </row>
    <row r="239" spans="2:41" s="436" customFormat="1" ht="14">
      <c r="B239" s="800">
        <v>2605</v>
      </c>
      <c r="C239" s="1392" t="s">
        <v>211</v>
      </c>
      <c r="D239" s="1392"/>
      <c r="E239" s="1392"/>
      <c r="F239" s="1392" t="s">
        <v>212</v>
      </c>
      <c r="G239" s="566" t="s">
        <v>389</v>
      </c>
      <c r="H239" s="566"/>
      <c r="I239" s="566" t="s">
        <v>305</v>
      </c>
      <c r="J239" s="566">
        <v>6</v>
      </c>
      <c r="K239" s="566" t="s">
        <v>286</v>
      </c>
      <c r="L239" s="566">
        <v>12</v>
      </c>
      <c r="M239" s="576">
        <v>849</v>
      </c>
      <c r="N239" s="576">
        <f t="shared" si="63"/>
        <v>61128</v>
      </c>
      <c r="O239" s="566">
        <v>12</v>
      </c>
      <c r="P239" s="577">
        <f>IFERROR(_xlfn.XLOOKUP(F239,'[4]By Model'!$A:$A,'[4]By Model'!$K:$K),"")</f>
        <v>0.26506692630300871</v>
      </c>
      <c r="Q239" s="578">
        <f>IFERROR(_xlfn.XLOOKUP(F239,'[5]By Model'!$A:$A,'[5]By Model'!$B:$B),"")</f>
        <v>85</v>
      </c>
      <c r="R239" s="579">
        <f>IFERROR(_xlfn.XLOOKUP(F239,'[4]By Model'!$A:$A,'[4]By Model'!$I:$I),"")</f>
        <v>1117.017555412963</v>
      </c>
      <c r="S239" s="578" t="str">
        <f>IFERROR(_xlfn.XLOOKUP(F239,[6]Sum!$G:$G,[6]Sum!$AM:$AM),"")</f>
        <v/>
      </c>
      <c r="T239" s="576">
        <v>849</v>
      </c>
      <c r="U239" s="576">
        <f t="shared" si="49"/>
        <v>61128</v>
      </c>
      <c r="V239" s="580">
        <v>6</v>
      </c>
      <c r="W239" s="576">
        <f t="shared" si="50"/>
        <v>2547</v>
      </c>
      <c r="X239" s="576">
        <f t="shared" si="51"/>
        <v>58581</v>
      </c>
      <c r="Y239" s="581">
        <f t="shared" si="52"/>
        <v>-4.166666666666663E-2</v>
      </c>
      <c r="Z239" s="577">
        <f t="shared" si="59"/>
        <v>0.24423359296967539</v>
      </c>
      <c r="AA239" s="577">
        <f t="shared" si="99"/>
        <v>0.32327783713663871</v>
      </c>
      <c r="AB239" s="582"/>
      <c r="AC239" s="576">
        <v>849</v>
      </c>
      <c r="AD239" s="576">
        <f t="shared" si="53"/>
        <v>61128</v>
      </c>
      <c r="AE239" s="576"/>
      <c r="AF239" s="583">
        <v>0</v>
      </c>
      <c r="AG239" s="576">
        <v>6</v>
      </c>
      <c r="AH239" s="709">
        <f t="shared" si="55"/>
        <v>61122</v>
      </c>
      <c r="AI239" s="709">
        <f t="shared" si="56"/>
        <v>2541</v>
      </c>
      <c r="AJ239" s="577">
        <f t="shared" si="57"/>
        <v>4.3375838582475547E-2</v>
      </c>
      <c r="AK239" s="582">
        <f t="shared" si="60"/>
        <v>0.26592151226091315</v>
      </c>
      <c r="AL239" s="582" t="e">
        <f t="shared" si="100"/>
        <v>#REF!</v>
      </c>
      <c r="AM239" s="580"/>
      <c r="AN239" s="576"/>
      <c r="AO239" s="580"/>
    </row>
    <row r="240" spans="2:41" s="436" customFormat="1" ht="14">
      <c r="B240" s="801">
        <v>2605</v>
      </c>
      <c r="C240" s="1393" t="s">
        <v>211</v>
      </c>
      <c r="D240" s="1393"/>
      <c r="E240" s="1393"/>
      <c r="F240" s="1393" t="s">
        <v>212</v>
      </c>
      <c r="G240" s="566" t="s">
        <v>389</v>
      </c>
      <c r="H240" s="566"/>
      <c r="I240" s="566" t="s">
        <v>305</v>
      </c>
      <c r="J240" s="566">
        <v>6</v>
      </c>
      <c r="K240" s="566" t="s">
        <v>288</v>
      </c>
      <c r="L240" s="566">
        <v>12</v>
      </c>
      <c r="M240" s="576">
        <v>799</v>
      </c>
      <c r="N240" s="576">
        <f t="shared" si="63"/>
        <v>57528</v>
      </c>
      <c r="O240" s="566">
        <v>12</v>
      </c>
      <c r="P240" s="577">
        <f>IFERROR(_xlfn.XLOOKUP(F240,'[4]By Model'!$A:$A,'[4]By Model'!$K:$K),"")</f>
        <v>0.26506692630300871</v>
      </c>
      <c r="Q240" s="578">
        <f>IFERROR(_xlfn.XLOOKUP(F240,'[5]By Model'!$A:$A,'[5]By Model'!$B:$B),"")</f>
        <v>85</v>
      </c>
      <c r="R240" s="579">
        <f>IFERROR(_xlfn.XLOOKUP(F240,'[4]By Model'!$A:$A,'[4]By Model'!$I:$I),"")</f>
        <v>1117.017555412963</v>
      </c>
      <c r="S240" s="578" t="str">
        <f>IFERROR(_xlfn.XLOOKUP(F240,[6]Sum!$G:$G,[6]Sum!$AM:$AM),"")</f>
        <v/>
      </c>
      <c r="T240" s="576">
        <v>799</v>
      </c>
      <c r="U240" s="576">
        <f t="shared" si="49"/>
        <v>57528</v>
      </c>
      <c r="V240" s="580">
        <v>6</v>
      </c>
      <c r="W240" s="576">
        <f t="shared" si="50"/>
        <v>2397</v>
      </c>
      <c r="X240" s="576">
        <f t="shared" si="51"/>
        <v>55131</v>
      </c>
      <c r="Y240" s="581">
        <f t="shared" si="52"/>
        <v>-4.166666666666663E-2</v>
      </c>
      <c r="Z240" s="577">
        <f t="shared" si="59"/>
        <v>0.24423359296967539</v>
      </c>
      <c r="AA240" s="577">
        <f t="shared" si="99"/>
        <v>0.32327783713663871</v>
      </c>
      <c r="AB240" s="582"/>
      <c r="AC240" s="576">
        <v>799</v>
      </c>
      <c r="AD240" s="576">
        <f t="shared" si="53"/>
        <v>57528</v>
      </c>
      <c r="AE240" s="576"/>
      <c r="AF240" s="583">
        <v>0</v>
      </c>
      <c r="AG240" s="576">
        <v>6</v>
      </c>
      <c r="AH240" s="709">
        <f t="shared" si="55"/>
        <v>57522</v>
      </c>
      <c r="AI240" s="709">
        <f t="shared" si="56"/>
        <v>2391</v>
      </c>
      <c r="AJ240" s="577">
        <f t="shared" si="57"/>
        <v>4.3369429177776565E-2</v>
      </c>
      <c r="AK240" s="582">
        <f t="shared" si="60"/>
        <v>0.26591830755856366</v>
      </c>
      <c r="AL240" s="582" t="e">
        <f t="shared" si="100"/>
        <v>#REF!</v>
      </c>
      <c r="AM240" s="580"/>
      <c r="AN240" s="576"/>
      <c r="AO240" s="580"/>
    </row>
    <row r="241" spans="2:41" s="436" customFormat="1" ht="14" hidden="1">
      <c r="B241" s="799">
        <v>2605</v>
      </c>
      <c r="C241" s="1391" t="str">
        <f t="shared" ref="C241" si="101">C242</f>
        <v>W/M</v>
      </c>
      <c r="D241" s="1391"/>
      <c r="E241" s="1391"/>
      <c r="F241" s="1391" t="s">
        <v>213</v>
      </c>
      <c r="G241" s="566" t="s">
        <v>389</v>
      </c>
      <c r="H241" s="566"/>
      <c r="I241" s="566" t="s">
        <v>305</v>
      </c>
      <c r="J241" s="566">
        <v>3</v>
      </c>
      <c r="K241" s="566" t="s">
        <v>286</v>
      </c>
      <c r="L241" s="566">
        <f t="shared" ref="L241:O241" si="102">L242</f>
        <v>12</v>
      </c>
      <c r="M241" s="576">
        <v>399</v>
      </c>
      <c r="N241" s="576">
        <f t="shared" si="63"/>
        <v>14364</v>
      </c>
      <c r="O241" s="566">
        <f t="shared" si="102"/>
        <v>12</v>
      </c>
      <c r="P241" s="577">
        <f>IFERROR(_xlfn.XLOOKUP(F241,'[4]By Model'!$A:$A,'[4]By Model'!$K:$K),"")</f>
        <v>0.21248189544216278</v>
      </c>
      <c r="Q241" s="578">
        <f>IFERROR(_xlfn.XLOOKUP(F241,'[5]By Model'!$A:$A,'[5]By Model'!$B:$B),"")</f>
        <v>3</v>
      </c>
      <c r="R241" s="579">
        <f>IFERROR(_xlfn.XLOOKUP(F241,'[4]By Model'!$A:$A,'[4]By Model'!$I:$I),"")</f>
        <v>402.80897213333333</v>
      </c>
      <c r="S241" s="578" t="str">
        <f>IFERROR(_xlfn.XLOOKUP(F241,[6]Sum!$G:$G,[6]Sum!$AM:$AM),"")</f>
        <v/>
      </c>
      <c r="T241" s="576">
        <v>599</v>
      </c>
      <c r="U241" s="576">
        <f t="shared" si="49"/>
        <v>21564</v>
      </c>
      <c r="V241" s="580">
        <v>0</v>
      </c>
      <c r="W241" s="576">
        <f t="shared" si="50"/>
        <v>0</v>
      </c>
      <c r="X241" s="576">
        <f t="shared" si="51"/>
        <v>21564</v>
      </c>
      <c r="Y241" s="581">
        <f t="shared" si="52"/>
        <v>0.50125313283208017</v>
      </c>
      <c r="Z241" s="577">
        <f t="shared" si="59"/>
        <v>0.46310846185820287</v>
      </c>
      <c r="AA241" s="577">
        <f t="shared" si="99"/>
        <v>0.32327783713663871</v>
      </c>
      <c r="AB241" s="582"/>
      <c r="AC241" s="576">
        <v>599</v>
      </c>
      <c r="AD241" s="576">
        <f t="shared" si="53"/>
        <v>21564</v>
      </c>
      <c r="AE241" s="711">
        <f>AD241/AD243</f>
        <v>0.72024048096192383</v>
      </c>
      <c r="AF241" s="580">
        <v>0</v>
      </c>
      <c r="AG241" s="576">
        <f t="shared" si="54"/>
        <v>0</v>
      </c>
      <c r="AH241" s="709">
        <f t="shared" si="55"/>
        <v>21564</v>
      </c>
      <c r="AI241" s="709">
        <f t="shared" si="56"/>
        <v>0</v>
      </c>
      <c r="AJ241" s="577">
        <f t="shared" si="57"/>
        <v>0</v>
      </c>
      <c r="AK241" s="582">
        <f t="shared" si="60"/>
        <v>0.46310846185820287</v>
      </c>
      <c r="AL241" s="582" t="e">
        <f t="shared" si="100"/>
        <v>#REF!</v>
      </c>
      <c r="AM241" s="580"/>
      <c r="AN241" s="576"/>
      <c r="AO241" s="580"/>
    </row>
    <row r="242" spans="2:41" s="436" customFormat="1" ht="14" hidden="1">
      <c r="B242" s="800">
        <v>2605</v>
      </c>
      <c r="C242" s="1392" t="s">
        <v>211</v>
      </c>
      <c r="D242" s="1392"/>
      <c r="E242" s="1392"/>
      <c r="F242" s="1392" t="s">
        <v>213</v>
      </c>
      <c r="G242" s="566" t="s">
        <v>389</v>
      </c>
      <c r="H242" s="566"/>
      <c r="I242" s="566" t="s">
        <v>305</v>
      </c>
      <c r="J242" s="566">
        <v>3</v>
      </c>
      <c r="K242" s="566" t="s">
        <v>288</v>
      </c>
      <c r="L242" s="566">
        <v>12</v>
      </c>
      <c r="M242" s="576">
        <v>349</v>
      </c>
      <c r="N242" s="576">
        <f t="shared" si="63"/>
        <v>12564</v>
      </c>
      <c r="O242" s="566">
        <v>12</v>
      </c>
      <c r="P242" s="577">
        <f>IFERROR(_xlfn.XLOOKUP(F242,'[4]By Model'!$A:$A,'[4]By Model'!$K:$K),"")</f>
        <v>0.21248189544216278</v>
      </c>
      <c r="Q242" s="578">
        <f>IFERROR(_xlfn.XLOOKUP(F242,'[5]By Model'!$A:$A,'[5]By Model'!$B:$B),"")</f>
        <v>3</v>
      </c>
      <c r="R242" s="579">
        <f>IFERROR(_xlfn.XLOOKUP(F242,'[4]By Model'!$A:$A,'[4]By Model'!$I:$I),"")</f>
        <v>402.80897213333333</v>
      </c>
      <c r="S242" s="578" t="str">
        <f>IFERROR(_xlfn.XLOOKUP(F242,[6]Sum!$G:$G,[6]Sum!$AM:$AM),"")</f>
        <v/>
      </c>
      <c r="T242" s="576">
        <v>649</v>
      </c>
      <c r="U242" s="576">
        <f t="shared" si="49"/>
        <v>23364</v>
      </c>
      <c r="V242" s="580">
        <v>0</v>
      </c>
      <c r="W242" s="576">
        <f t="shared" si="50"/>
        <v>0</v>
      </c>
      <c r="X242" s="576">
        <f t="shared" si="51"/>
        <v>23364</v>
      </c>
      <c r="Y242" s="581">
        <f t="shared" si="52"/>
        <v>0.8595988538681949</v>
      </c>
      <c r="Z242" s="577">
        <f t="shared" si="59"/>
        <v>0.64228132237626023</v>
      </c>
      <c r="AA242" s="577">
        <f t="shared" si="99"/>
        <v>0.32327783713663871</v>
      </c>
      <c r="AB242" s="582"/>
      <c r="AC242" s="576">
        <v>649</v>
      </c>
      <c r="AD242" s="576">
        <f t="shared" si="53"/>
        <v>23364</v>
      </c>
      <c r="AE242" s="711">
        <f>AD242/AD244</f>
        <v>0.86726057906458798</v>
      </c>
      <c r="AF242" s="580">
        <v>0</v>
      </c>
      <c r="AG242" s="576">
        <f t="shared" si="54"/>
        <v>0</v>
      </c>
      <c r="AH242" s="709">
        <f t="shared" si="55"/>
        <v>23364</v>
      </c>
      <c r="AI242" s="709">
        <f t="shared" si="56"/>
        <v>0</v>
      </c>
      <c r="AJ242" s="577">
        <f t="shared" si="57"/>
        <v>0</v>
      </c>
      <c r="AK242" s="582">
        <f t="shared" si="60"/>
        <v>0.64228132237626023</v>
      </c>
      <c r="AL242" s="582" t="e">
        <f t="shared" si="100"/>
        <v>#REF!</v>
      </c>
      <c r="AM242" s="580"/>
      <c r="AN242" s="576"/>
      <c r="AO242" s="580"/>
    </row>
    <row r="243" spans="2:41" s="436" customFormat="1" ht="14">
      <c r="B243" s="800">
        <v>2605</v>
      </c>
      <c r="C243" s="1392" t="s">
        <v>211</v>
      </c>
      <c r="D243" s="1392"/>
      <c r="E243" s="1392"/>
      <c r="F243" s="1392" t="s">
        <v>213</v>
      </c>
      <c r="G243" s="566" t="s">
        <v>389</v>
      </c>
      <c r="H243" s="566"/>
      <c r="I243" s="566" t="s">
        <v>305</v>
      </c>
      <c r="J243" s="566">
        <v>5</v>
      </c>
      <c r="K243" s="566" t="s">
        <v>286</v>
      </c>
      <c r="L243" s="566">
        <v>12</v>
      </c>
      <c r="M243" s="576">
        <v>349</v>
      </c>
      <c r="N243" s="576">
        <f t="shared" si="63"/>
        <v>20940</v>
      </c>
      <c r="O243" s="566">
        <v>12</v>
      </c>
      <c r="P243" s="577">
        <f>IFERROR(_xlfn.XLOOKUP(F243,'[4]By Model'!$A:$A,'[4]By Model'!$K:$K),"")</f>
        <v>0.21248189544216278</v>
      </c>
      <c r="Q243" s="578">
        <f>IFERROR(_xlfn.XLOOKUP(F243,'[5]By Model'!$A:$A,'[5]By Model'!$B:$B),"")</f>
        <v>3</v>
      </c>
      <c r="R243" s="579">
        <f>IFERROR(_xlfn.XLOOKUP(F243,'[4]By Model'!$A:$A,'[4]By Model'!$I:$I),"")</f>
        <v>402.80897213333333</v>
      </c>
      <c r="S243" s="578" t="str">
        <f>IFERROR(_xlfn.XLOOKUP(F243,[6]Sum!$G:$G,[6]Sum!$AM:$AM),"")</f>
        <v/>
      </c>
      <c r="T243" s="576">
        <v>399</v>
      </c>
      <c r="U243" s="576">
        <f t="shared" si="49"/>
        <v>23940</v>
      </c>
      <c r="V243" s="580">
        <v>0</v>
      </c>
      <c r="W243" s="576">
        <f t="shared" si="50"/>
        <v>0</v>
      </c>
      <c r="X243" s="576">
        <f t="shared" si="51"/>
        <v>23940</v>
      </c>
      <c r="Y243" s="581">
        <f t="shared" si="52"/>
        <v>0.14326647564469908</v>
      </c>
      <c r="Z243" s="577">
        <f t="shared" si="59"/>
        <v>0.28411513326451232</v>
      </c>
      <c r="AA243" s="577">
        <f t="shared" si="99"/>
        <v>0.32327783713663871</v>
      </c>
      <c r="AB243" s="582"/>
      <c r="AC243" s="576">
        <v>499</v>
      </c>
      <c r="AD243" s="576">
        <f t="shared" si="53"/>
        <v>29940</v>
      </c>
      <c r="AE243" s="711"/>
      <c r="AF243" s="583">
        <v>0</v>
      </c>
      <c r="AG243" s="576">
        <f t="shared" si="54"/>
        <v>0</v>
      </c>
      <c r="AH243" s="709">
        <f t="shared" si="55"/>
        <v>29940</v>
      </c>
      <c r="AI243" s="709">
        <f t="shared" si="56"/>
        <v>6000</v>
      </c>
      <c r="AJ243" s="577">
        <f t="shared" si="57"/>
        <v>0.25062656641604009</v>
      </c>
      <c r="AK243" s="582">
        <f t="shared" si="60"/>
        <v>0.40942841647253236</v>
      </c>
      <c r="AL243" s="582" t="e">
        <f t="shared" si="100"/>
        <v>#REF!</v>
      </c>
      <c r="AM243" s="580"/>
      <c r="AN243" s="576"/>
      <c r="AO243" s="580"/>
    </row>
    <row r="244" spans="2:41" s="436" customFormat="1" ht="14">
      <c r="B244" s="800">
        <v>2605</v>
      </c>
      <c r="C244" s="1392" t="s">
        <v>211</v>
      </c>
      <c r="D244" s="1392"/>
      <c r="E244" s="1392"/>
      <c r="F244" s="1392" t="s">
        <v>213</v>
      </c>
      <c r="G244" s="566" t="s">
        <v>389</v>
      </c>
      <c r="H244" s="566"/>
      <c r="I244" s="566" t="s">
        <v>305</v>
      </c>
      <c r="J244" s="566">
        <v>5</v>
      </c>
      <c r="K244" s="566" t="s">
        <v>288</v>
      </c>
      <c r="L244" s="566">
        <v>12</v>
      </c>
      <c r="M244" s="576">
        <v>299</v>
      </c>
      <c r="N244" s="576">
        <f t="shared" si="63"/>
        <v>17940</v>
      </c>
      <c r="O244" s="566">
        <v>12</v>
      </c>
      <c r="P244" s="577">
        <f>IFERROR(_xlfn.XLOOKUP(F244,'[4]By Model'!$A:$A,'[4]By Model'!$K:$K),"")</f>
        <v>0.21248189544216278</v>
      </c>
      <c r="Q244" s="578">
        <f>IFERROR(_xlfn.XLOOKUP(F244,'[5]By Model'!$A:$A,'[5]By Model'!$B:$B),"")</f>
        <v>3</v>
      </c>
      <c r="R244" s="579">
        <f>IFERROR(_xlfn.XLOOKUP(F244,'[4]By Model'!$A:$A,'[4]By Model'!$I:$I),"")</f>
        <v>402.80897213333333</v>
      </c>
      <c r="S244" s="578" t="str">
        <f>IFERROR(_xlfn.XLOOKUP(F244,[6]Sum!$G:$G,[6]Sum!$AM:$AM),"")</f>
        <v/>
      </c>
      <c r="T244" s="576">
        <v>349</v>
      </c>
      <c r="U244" s="576">
        <f t="shared" si="49"/>
        <v>20940</v>
      </c>
      <c r="V244" s="580">
        <v>0</v>
      </c>
      <c r="W244" s="576">
        <f t="shared" si="50"/>
        <v>0</v>
      </c>
      <c r="X244" s="576">
        <f t="shared" si="51"/>
        <v>20940</v>
      </c>
      <c r="Y244" s="581">
        <f t="shared" si="52"/>
        <v>0.16722408026755864</v>
      </c>
      <c r="Z244" s="577">
        <f t="shared" si="59"/>
        <v>0.2960939355759421</v>
      </c>
      <c r="AA244" s="577">
        <f t="shared" si="99"/>
        <v>0.32327783713663871</v>
      </c>
      <c r="AB244" s="582"/>
      <c r="AC244" s="576">
        <v>449</v>
      </c>
      <c r="AD244" s="576">
        <f t="shared" si="53"/>
        <v>26940</v>
      </c>
      <c r="AE244" s="711"/>
      <c r="AF244" s="583">
        <v>0</v>
      </c>
      <c r="AG244" s="576">
        <f t="shared" si="54"/>
        <v>0</v>
      </c>
      <c r="AH244" s="709">
        <f t="shared" si="55"/>
        <v>26940</v>
      </c>
      <c r="AI244" s="709">
        <f t="shared" si="56"/>
        <v>6000</v>
      </c>
      <c r="AJ244" s="577">
        <f t="shared" si="57"/>
        <v>0.28653295128939826</v>
      </c>
      <c r="AK244" s="582">
        <f t="shared" si="60"/>
        <v>0.43936041122064123</v>
      </c>
      <c r="AL244" s="582" t="e">
        <f t="shared" si="100"/>
        <v>#REF!</v>
      </c>
      <c r="AM244" s="580"/>
      <c r="AN244" s="576"/>
      <c r="AO244" s="580"/>
    </row>
    <row r="245" spans="2:41" s="436" customFormat="1" ht="14">
      <c r="B245" s="800">
        <v>2605</v>
      </c>
      <c r="C245" s="1392" t="s">
        <v>211</v>
      </c>
      <c r="D245" s="1392"/>
      <c r="E245" s="1392"/>
      <c r="F245" s="1392" t="s">
        <v>213</v>
      </c>
      <c r="G245" s="566" t="s">
        <v>389</v>
      </c>
      <c r="H245" s="566"/>
      <c r="I245" s="566" t="s">
        <v>305</v>
      </c>
      <c r="J245" s="566">
        <v>6</v>
      </c>
      <c r="K245" s="566" t="s">
        <v>286</v>
      </c>
      <c r="L245" s="566">
        <v>12</v>
      </c>
      <c r="M245" s="576">
        <v>749</v>
      </c>
      <c r="N245" s="576">
        <f t="shared" si="63"/>
        <v>53928</v>
      </c>
      <c r="O245" s="566">
        <v>12</v>
      </c>
      <c r="P245" s="577">
        <f>IFERROR(_xlfn.XLOOKUP(F245,'[4]By Model'!$A:$A,'[4]By Model'!$K:$K),"")</f>
        <v>0.21248189544216278</v>
      </c>
      <c r="Q245" s="578">
        <f>IFERROR(_xlfn.XLOOKUP(F245,'[5]By Model'!$A:$A,'[5]By Model'!$B:$B),"")</f>
        <v>3</v>
      </c>
      <c r="R245" s="579">
        <f>IFERROR(_xlfn.XLOOKUP(F245,'[4]By Model'!$A:$A,'[4]By Model'!$I:$I),"")</f>
        <v>402.80897213333333</v>
      </c>
      <c r="S245" s="578" t="str">
        <f>IFERROR(_xlfn.XLOOKUP(F245,[6]Sum!$G:$G,[6]Sum!$AM:$AM),"")</f>
        <v/>
      </c>
      <c r="T245" s="576">
        <v>349</v>
      </c>
      <c r="U245" s="576">
        <f t="shared" si="49"/>
        <v>25128</v>
      </c>
      <c r="V245" s="580">
        <v>0</v>
      </c>
      <c r="W245" s="576">
        <f t="shared" si="50"/>
        <v>0</v>
      </c>
      <c r="X245" s="576">
        <f t="shared" si="51"/>
        <v>25128</v>
      </c>
      <c r="Y245" s="581">
        <f t="shared" si="52"/>
        <v>-0.53404539385847793</v>
      </c>
      <c r="Z245" s="577">
        <f t="shared" si="59"/>
        <v>-5.4540801487076185E-2</v>
      </c>
      <c r="AA245" s="577">
        <f t="shared" si="99"/>
        <v>0.32327783713663871</v>
      </c>
      <c r="AB245" s="582"/>
      <c r="AC245" s="576">
        <v>449</v>
      </c>
      <c r="AD245" s="576">
        <f t="shared" si="53"/>
        <v>32328</v>
      </c>
      <c r="AE245" s="576"/>
      <c r="AF245" s="583">
        <v>0</v>
      </c>
      <c r="AG245" s="576">
        <f t="shared" si="54"/>
        <v>0</v>
      </c>
      <c r="AH245" s="709">
        <f t="shared" si="55"/>
        <v>32328</v>
      </c>
      <c r="AI245" s="709">
        <f t="shared" si="56"/>
        <v>7200</v>
      </c>
      <c r="AJ245" s="577">
        <f t="shared" si="57"/>
        <v>0.28653295128939826</v>
      </c>
      <c r="AK245" s="582">
        <f t="shared" si="60"/>
        <v>8.8725674157622947E-2</v>
      </c>
      <c r="AL245" s="582" t="e">
        <f t="shared" si="100"/>
        <v>#REF!</v>
      </c>
      <c r="AM245" s="580"/>
      <c r="AN245" s="576"/>
      <c r="AO245" s="580"/>
    </row>
    <row r="246" spans="2:41" s="436" customFormat="1" ht="14">
      <c r="B246" s="801">
        <v>2605</v>
      </c>
      <c r="C246" s="1393" t="s">
        <v>211</v>
      </c>
      <c r="D246" s="1393"/>
      <c r="E246" s="1393"/>
      <c r="F246" s="1393" t="s">
        <v>213</v>
      </c>
      <c r="G246" s="566" t="s">
        <v>389</v>
      </c>
      <c r="H246" s="566"/>
      <c r="I246" s="566" t="s">
        <v>305</v>
      </c>
      <c r="J246" s="566">
        <v>6</v>
      </c>
      <c r="K246" s="566" t="s">
        <v>288</v>
      </c>
      <c r="L246" s="566">
        <v>12</v>
      </c>
      <c r="M246" s="576">
        <v>649</v>
      </c>
      <c r="N246" s="576">
        <f t="shared" si="63"/>
        <v>46728</v>
      </c>
      <c r="O246" s="566">
        <v>12</v>
      </c>
      <c r="P246" s="577">
        <f>IFERROR(_xlfn.XLOOKUP(F246,'[4]By Model'!$A:$A,'[4]By Model'!$K:$K),"")</f>
        <v>0.21248189544216278</v>
      </c>
      <c r="Q246" s="578">
        <f>IFERROR(_xlfn.XLOOKUP(F246,'[5]By Model'!$A:$A,'[5]By Model'!$B:$B),"")</f>
        <v>3</v>
      </c>
      <c r="R246" s="579">
        <f>IFERROR(_xlfn.XLOOKUP(F246,'[4]By Model'!$A:$A,'[4]By Model'!$I:$I),"")</f>
        <v>402.80897213333333</v>
      </c>
      <c r="S246" s="578" t="str">
        <f>IFERROR(_xlfn.XLOOKUP(F246,[6]Sum!$G:$G,[6]Sum!$AM:$AM),"")</f>
        <v/>
      </c>
      <c r="T246" s="576">
        <v>299</v>
      </c>
      <c r="U246" s="576">
        <f t="shared" si="49"/>
        <v>21528</v>
      </c>
      <c r="V246" s="580">
        <v>0</v>
      </c>
      <c r="W246" s="576">
        <f t="shared" si="50"/>
        <v>0</v>
      </c>
      <c r="X246" s="576">
        <f t="shared" si="51"/>
        <v>21528</v>
      </c>
      <c r="Y246" s="581">
        <f t="shared" si="52"/>
        <v>-0.53929121725731899</v>
      </c>
      <c r="Z246" s="577">
        <f t="shared" si="59"/>
        <v>-5.7163713186496712E-2</v>
      </c>
      <c r="AA246" s="577">
        <f t="shared" si="99"/>
        <v>0.32327783713663871</v>
      </c>
      <c r="AB246" s="582"/>
      <c r="AC246" s="576">
        <v>399</v>
      </c>
      <c r="AD246" s="576">
        <f t="shared" si="53"/>
        <v>28728</v>
      </c>
      <c r="AE246" s="576"/>
      <c r="AF246" s="583">
        <v>0</v>
      </c>
      <c r="AG246" s="576">
        <f t="shared" si="54"/>
        <v>0</v>
      </c>
      <c r="AH246" s="709">
        <f t="shared" si="55"/>
        <v>28728</v>
      </c>
      <c r="AI246" s="709">
        <f t="shared" si="56"/>
        <v>7200</v>
      </c>
      <c r="AJ246" s="577">
        <f t="shared" si="57"/>
        <v>0.33444816053511706</v>
      </c>
      <c r="AK246" s="582">
        <f t="shared" si="60"/>
        <v>0.11006036708106182</v>
      </c>
      <c r="AL246" s="582" t="e">
        <f t="shared" si="100"/>
        <v>#REF!</v>
      </c>
      <c r="AM246" s="580"/>
      <c r="AN246" s="576"/>
      <c r="AO246" s="580"/>
    </row>
    <row r="247" spans="2:41" s="436" customFormat="1" ht="14" hidden="1">
      <c r="B247" s="799">
        <v>2605</v>
      </c>
      <c r="C247" s="1391" t="str">
        <f t="shared" ref="C247" si="103">C248</f>
        <v>W/M</v>
      </c>
      <c r="D247" s="1391"/>
      <c r="E247" s="1391"/>
      <c r="F247" s="1391" t="s">
        <v>53</v>
      </c>
      <c r="G247" s="566" t="s">
        <v>389</v>
      </c>
      <c r="H247" s="566"/>
      <c r="I247" s="566" t="s">
        <v>389</v>
      </c>
      <c r="J247" s="566">
        <v>3</v>
      </c>
      <c r="K247" s="566" t="s">
        <v>286</v>
      </c>
      <c r="L247" s="566">
        <f t="shared" ref="L247:O247" si="104">L248</f>
        <v>12</v>
      </c>
      <c r="M247" s="576">
        <v>599</v>
      </c>
      <c r="N247" s="576">
        <f t="shared" si="63"/>
        <v>21564</v>
      </c>
      <c r="O247" s="566">
        <f t="shared" si="104"/>
        <v>12</v>
      </c>
      <c r="P247" s="577">
        <f>IFERROR(_xlfn.XLOOKUP(F247,'[4]By Model'!$A:$A,'[4]By Model'!$K:$K),"")</f>
        <v>0.27583953233396635</v>
      </c>
      <c r="Q247" s="578">
        <f>IFERROR(_xlfn.XLOOKUP(F247,'[5]By Model'!$A:$A,'[5]By Model'!$B:$B),"")</f>
        <v>30</v>
      </c>
      <c r="R247" s="579">
        <f>IFERROR(_xlfn.XLOOKUP(F247,'[4]By Model'!$A:$A,'[4]By Model'!$I:$I),"")</f>
        <v>901.65253635862075</v>
      </c>
      <c r="S247" s="578" t="str">
        <f>IFERROR(_xlfn.XLOOKUP(F247,[6]Sum!$G:$G,[6]Sum!$AM:$AM),"")</f>
        <v/>
      </c>
      <c r="T247" s="576">
        <v>1149</v>
      </c>
      <c r="U247" s="576">
        <f t="shared" si="49"/>
        <v>41364</v>
      </c>
      <c r="V247" s="580">
        <v>0</v>
      </c>
      <c r="W247" s="576">
        <f t="shared" si="50"/>
        <v>0</v>
      </c>
      <c r="X247" s="576">
        <f t="shared" si="51"/>
        <v>41364</v>
      </c>
      <c r="Y247" s="581">
        <f t="shared" si="52"/>
        <v>0.91819699499165286</v>
      </c>
      <c r="Z247" s="577">
        <f t="shared" si="59"/>
        <v>0.73493802982979273</v>
      </c>
      <c r="AA247" s="577">
        <f t="shared" si="99"/>
        <v>0.32327783713663871</v>
      </c>
      <c r="AB247" s="582"/>
      <c r="AC247" s="576">
        <v>1149</v>
      </c>
      <c r="AD247" s="576">
        <f t="shared" si="53"/>
        <v>41364</v>
      </c>
      <c r="AE247" s="711">
        <f>AD247/AD249</f>
        <v>1.0226969292389854</v>
      </c>
      <c r="AF247" s="580">
        <v>0</v>
      </c>
      <c r="AG247" s="576">
        <f t="shared" si="54"/>
        <v>0</v>
      </c>
      <c r="AH247" s="709">
        <f t="shared" si="55"/>
        <v>41364</v>
      </c>
      <c r="AI247" s="709">
        <f t="shared" si="56"/>
        <v>0</v>
      </c>
      <c r="AJ247" s="577">
        <f t="shared" si="57"/>
        <v>0</v>
      </c>
      <c r="AK247" s="582">
        <f t="shared" si="60"/>
        <v>0.73493802982979273</v>
      </c>
      <c r="AL247" s="582" t="e">
        <f t="shared" si="100"/>
        <v>#REF!</v>
      </c>
      <c r="AM247" s="580"/>
      <c r="AN247" s="576"/>
      <c r="AO247" s="580"/>
    </row>
    <row r="248" spans="2:41" s="599" customFormat="1" ht="14" hidden="1">
      <c r="B248" s="800">
        <v>2605</v>
      </c>
      <c r="C248" s="1392" t="s">
        <v>211</v>
      </c>
      <c r="D248" s="1392"/>
      <c r="E248" s="1392"/>
      <c r="F248" s="1392" t="s">
        <v>53</v>
      </c>
      <c r="G248" s="566" t="s">
        <v>389</v>
      </c>
      <c r="H248" s="566"/>
      <c r="I248" s="566" t="s">
        <v>389</v>
      </c>
      <c r="J248" s="566">
        <v>3</v>
      </c>
      <c r="K248" s="566" t="s">
        <v>288</v>
      </c>
      <c r="L248" s="566">
        <v>12</v>
      </c>
      <c r="M248" s="576">
        <v>649</v>
      </c>
      <c r="N248" s="576">
        <f t="shared" si="63"/>
        <v>23364</v>
      </c>
      <c r="O248" s="566">
        <v>12</v>
      </c>
      <c r="P248" s="577">
        <f>IFERROR(_xlfn.XLOOKUP(F248,'[4]By Model'!$A:$A,'[4]By Model'!$K:$K),"")</f>
        <v>0.27583953233396635</v>
      </c>
      <c r="Q248" s="578">
        <f>IFERROR(_xlfn.XLOOKUP(F248,'[5]By Model'!$A:$A,'[5]By Model'!$B:$B),"")</f>
        <v>30</v>
      </c>
      <c r="R248" s="579">
        <f>IFERROR(_xlfn.XLOOKUP(F248,'[4]By Model'!$A:$A,'[4]By Model'!$I:$I),"")</f>
        <v>901.65253635862075</v>
      </c>
      <c r="S248" s="578" t="str">
        <f>IFERROR(_xlfn.XLOOKUP(F248,[6]Sum!$G:$G,[6]Sum!$AM:$AM),"")</f>
        <v/>
      </c>
      <c r="T248" s="576">
        <v>949</v>
      </c>
      <c r="U248" s="576">
        <f t="shared" si="49"/>
        <v>34164</v>
      </c>
      <c r="V248" s="580">
        <v>0</v>
      </c>
      <c r="W248" s="576">
        <f t="shared" si="50"/>
        <v>0</v>
      </c>
      <c r="X248" s="576">
        <f t="shared" si="51"/>
        <v>34164</v>
      </c>
      <c r="Y248" s="581">
        <f t="shared" si="52"/>
        <v>0.46224961479198767</v>
      </c>
      <c r="Z248" s="577">
        <f t="shared" si="59"/>
        <v>0.50696433972996013</v>
      </c>
      <c r="AA248" s="577">
        <v>0.32327783713663871</v>
      </c>
      <c r="AB248" s="582"/>
      <c r="AC248" s="576">
        <v>949</v>
      </c>
      <c r="AD248" s="576">
        <f t="shared" si="53"/>
        <v>34164</v>
      </c>
      <c r="AE248" s="711">
        <f>AD248/AD250</f>
        <v>0.97483307652799178</v>
      </c>
      <c r="AF248" s="580">
        <v>0</v>
      </c>
      <c r="AG248" s="576">
        <f t="shared" si="54"/>
        <v>0</v>
      </c>
      <c r="AH248" s="709">
        <f t="shared" si="55"/>
        <v>34164</v>
      </c>
      <c r="AI248" s="709">
        <f t="shared" si="56"/>
        <v>0</v>
      </c>
      <c r="AJ248" s="577">
        <f t="shared" si="57"/>
        <v>0</v>
      </c>
      <c r="AK248" s="582">
        <f t="shared" si="60"/>
        <v>0.50696433972996013</v>
      </c>
      <c r="AL248" s="582" t="e">
        <f t="shared" si="100"/>
        <v>#REF!</v>
      </c>
      <c r="AM248" s="580" t="e">
        <f>VLOOKUP(F248,[7]PRM!E:R,14,FALSE)</f>
        <v>#N/A</v>
      </c>
      <c r="AN248" s="576" t="e">
        <f>T248-#REF!</f>
        <v>#REF!</v>
      </c>
      <c r="AO248" s="580"/>
    </row>
    <row r="249" spans="2:41" s="599" customFormat="1" ht="14">
      <c r="B249" s="800">
        <v>2605</v>
      </c>
      <c r="C249" s="1392" t="s">
        <v>211</v>
      </c>
      <c r="D249" s="1392"/>
      <c r="E249" s="1392"/>
      <c r="F249" s="1392" t="s">
        <v>53</v>
      </c>
      <c r="G249" s="566" t="s">
        <v>389</v>
      </c>
      <c r="H249" s="566"/>
      <c r="I249" s="566" t="s">
        <v>389</v>
      </c>
      <c r="J249" s="566">
        <v>5</v>
      </c>
      <c r="K249" s="566" t="s">
        <v>286</v>
      </c>
      <c r="L249" s="566">
        <v>12</v>
      </c>
      <c r="M249" s="576">
        <v>699</v>
      </c>
      <c r="N249" s="576">
        <f t="shared" si="63"/>
        <v>41940</v>
      </c>
      <c r="O249" s="566">
        <v>12</v>
      </c>
      <c r="P249" s="577">
        <f>IFERROR(_xlfn.XLOOKUP(F249,'[4]By Model'!$A:$A,'[4]By Model'!$K:$K),"")</f>
        <v>0.27583953233396635</v>
      </c>
      <c r="Q249" s="578">
        <f>IFERROR(_xlfn.XLOOKUP(F249,'[5]By Model'!$A:$A,'[5]By Model'!$B:$B),"")</f>
        <v>30</v>
      </c>
      <c r="R249" s="579">
        <f>IFERROR(_xlfn.XLOOKUP(F249,'[4]By Model'!$A:$A,'[4]By Model'!$I:$I),"")</f>
        <v>901.65253635862075</v>
      </c>
      <c r="S249" s="578" t="str">
        <f>IFERROR(_xlfn.XLOOKUP(F249,[6]Sum!$G:$G,[6]Sum!$AM:$AM),"")</f>
        <v/>
      </c>
      <c r="T249" s="576">
        <v>749</v>
      </c>
      <c r="U249" s="576">
        <f t="shared" si="49"/>
        <v>44940</v>
      </c>
      <c r="V249" s="580">
        <v>6</v>
      </c>
      <c r="W249" s="576">
        <f t="shared" si="50"/>
        <v>2247</v>
      </c>
      <c r="X249" s="576">
        <f t="shared" si="51"/>
        <v>42693</v>
      </c>
      <c r="Y249" s="581">
        <f t="shared" si="52"/>
        <v>1.795422031473537E-2</v>
      </c>
      <c r="Z249" s="577">
        <f t="shared" si="59"/>
        <v>0.28481664249133404</v>
      </c>
      <c r="AA249" s="577">
        <v>0.32327783713663871</v>
      </c>
      <c r="AB249" s="582"/>
      <c r="AC249" s="576">
        <v>749</v>
      </c>
      <c r="AD249" s="576">
        <f>(T249*((J249*12)-AF249))</f>
        <v>40446</v>
      </c>
      <c r="AE249" s="580">
        <v>149</v>
      </c>
      <c r="AF249" s="583">
        <v>6</v>
      </c>
      <c r="AG249" s="576">
        <f>AE249*AF249</f>
        <v>894</v>
      </c>
      <c r="AH249" s="709">
        <f>AD249+AG249</f>
        <v>41340</v>
      </c>
      <c r="AI249" s="709">
        <f t="shared" si="56"/>
        <v>-1353</v>
      </c>
      <c r="AJ249" s="577">
        <f t="shared" si="57"/>
        <v>-3.1691377977654415E-2</v>
      </c>
      <c r="AK249" s="582">
        <f t="shared" si="60"/>
        <v>0.26897095350250683</v>
      </c>
      <c r="AL249" s="582" t="e">
        <f t="shared" si="100"/>
        <v>#REF!</v>
      </c>
      <c r="AM249" s="580" t="e">
        <f>VLOOKUP(F249,[7]PRM!E:R,14,FALSE)</f>
        <v>#N/A</v>
      </c>
      <c r="AN249" s="576" t="e">
        <f>T249-#REF!</f>
        <v>#REF!</v>
      </c>
      <c r="AO249" s="580"/>
    </row>
    <row r="250" spans="2:41" s="599" customFormat="1" ht="14">
      <c r="B250" s="800">
        <v>2605</v>
      </c>
      <c r="C250" s="1392" t="s">
        <v>211</v>
      </c>
      <c r="D250" s="1392"/>
      <c r="E250" s="1392"/>
      <c r="F250" s="1392" t="s">
        <v>53</v>
      </c>
      <c r="G250" s="566" t="s">
        <v>389</v>
      </c>
      <c r="H250" s="566"/>
      <c r="I250" s="566" t="s">
        <v>389</v>
      </c>
      <c r="J250" s="566">
        <v>5</v>
      </c>
      <c r="K250" s="566" t="s">
        <v>288</v>
      </c>
      <c r="L250" s="566">
        <v>12</v>
      </c>
      <c r="M250" s="576">
        <v>599</v>
      </c>
      <c r="N250" s="576">
        <f t="shared" si="63"/>
        <v>35940</v>
      </c>
      <c r="O250" s="566">
        <v>12</v>
      </c>
      <c r="P250" s="577">
        <f>IFERROR(_xlfn.XLOOKUP(F250,'[4]By Model'!$A:$A,'[4]By Model'!$K:$K),"")</f>
        <v>0.27583953233396635</v>
      </c>
      <c r="Q250" s="578">
        <f>IFERROR(_xlfn.XLOOKUP(F250,'[5]By Model'!$A:$A,'[5]By Model'!$B:$B),"")</f>
        <v>30</v>
      </c>
      <c r="R250" s="579">
        <f>IFERROR(_xlfn.XLOOKUP(F250,'[4]By Model'!$A:$A,'[4]By Model'!$I:$I),"")</f>
        <v>901.65253635862075</v>
      </c>
      <c r="S250" s="578" t="str">
        <f>IFERROR(_xlfn.XLOOKUP(F250,[6]Sum!$G:$G,[6]Sum!$AM:$AM),"")</f>
        <v/>
      </c>
      <c r="T250" s="576">
        <v>649</v>
      </c>
      <c r="U250" s="576">
        <f t="shared" si="49"/>
        <v>38940</v>
      </c>
      <c r="V250" s="580">
        <v>6</v>
      </c>
      <c r="W250" s="576">
        <f t="shared" si="50"/>
        <v>1947</v>
      </c>
      <c r="X250" s="576">
        <f t="shared" si="51"/>
        <v>36993</v>
      </c>
      <c r="Y250" s="581">
        <f t="shared" si="52"/>
        <v>2.9298831385642821E-2</v>
      </c>
      <c r="Z250" s="577">
        <f t="shared" si="59"/>
        <v>0.29048894802678776</v>
      </c>
      <c r="AA250" s="577">
        <v>0.32327783713663871</v>
      </c>
      <c r="AB250" s="582"/>
      <c r="AC250" s="576">
        <v>649</v>
      </c>
      <c r="AD250" s="576">
        <f t="shared" ref="AD250:AD252" si="105">(T250*((J250*12)-AF250))</f>
        <v>35046</v>
      </c>
      <c r="AE250" s="580">
        <v>149</v>
      </c>
      <c r="AF250" s="583">
        <v>6</v>
      </c>
      <c r="AG250" s="576">
        <f t="shared" ref="AG250:AG252" si="106">AE250*AF250</f>
        <v>894</v>
      </c>
      <c r="AH250" s="709">
        <f t="shared" ref="AH250:AH252" si="107">AD250+AG250</f>
        <v>35940</v>
      </c>
      <c r="AI250" s="709">
        <f t="shared" si="56"/>
        <v>-1053</v>
      </c>
      <c r="AJ250" s="577">
        <f t="shared" si="57"/>
        <v>-2.8464844700348716E-2</v>
      </c>
      <c r="AK250" s="582">
        <f t="shared" si="60"/>
        <v>0.27625652567661341</v>
      </c>
      <c r="AL250" s="582" t="e">
        <f t="shared" si="100"/>
        <v>#REF!</v>
      </c>
      <c r="AM250" s="580" t="e">
        <f>VLOOKUP(F250,[7]PRM!E:R,14,FALSE)</f>
        <v>#N/A</v>
      </c>
      <c r="AN250" s="576" t="e">
        <f>T250-#REF!</f>
        <v>#REF!</v>
      </c>
      <c r="AO250" s="580"/>
    </row>
    <row r="251" spans="2:41" s="599" customFormat="1" ht="14">
      <c r="B251" s="800">
        <v>2605</v>
      </c>
      <c r="C251" s="1392" t="s">
        <v>211</v>
      </c>
      <c r="D251" s="1392"/>
      <c r="E251" s="1392"/>
      <c r="F251" s="1392" t="s">
        <v>53</v>
      </c>
      <c r="G251" s="566" t="s">
        <v>389</v>
      </c>
      <c r="H251" s="566"/>
      <c r="I251" s="566" t="s">
        <v>389</v>
      </c>
      <c r="J251" s="566">
        <v>6</v>
      </c>
      <c r="K251" s="566" t="s">
        <v>288</v>
      </c>
      <c r="L251" s="566">
        <v>12</v>
      </c>
      <c r="M251" s="576">
        <v>549</v>
      </c>
      <c r="N251" s="576">
        <f t="shared" si="63"/>
        <v>39528</v>
      </c>
      <c r="O251" s="566">
        <v>12</v>
      </c>
      <c r="P251" s="577">
        <f>IFERROR(_xlfn.XLOOKUP(F251,'[4]By Model'!$A:$A,'[4]By Model'!$K:$K),"")</f>
        <v>0.27583953233396635</v>
      </c>
      <c r="Q251" s="578">
        <f>IFERROR(_xlfn.XLOOKUP(F251,'[5]By Model'!$A:$A,'[5]By Model'!$B:$B),"")</f>
        <v>30</v>
      </c>
      <c r="R251" s="579">
        <f>IFERROR(_xlfn.XLOOKUP(F251,'[4]By Model'!$A:$A,'[4]By Model'!$I:$I),"")</f>
        <v>901.65253635862075</v>
      </c>
      <c r="S251" s="578" t="str">
        <f>IFERROR(_xlfn.XLOOKUP(F251,[6]Sum!$G:$G,[6]Sum!$AM:$AM),"")</f>
        <v/>
      </c>
      <c r="T251" s="576">
        <v>599</v>
      </c>
      <c r="U251" s="576">
        <f t="shared" si="49"/>
        <v>43128</v>
      </c>
      <c r="V251" s="580">
        <v>6</v>
      </c>
      <c r="W251" s="576">
        <f t="shared" si="50"/>
        <v>1797</v>
      </c>
      <c r="X251" s="576">
        <f t="shared" si="51"/>
        <v>41331</v>
      </c>
      <c r="Y251" s="581">
        <f t="shared" si="52"/>
        <v>4.5613236187006745E-2</v>
      </c>
      <c r="Z251" s="577">
        <f t="shared" si="59"/>
        <v>0.29864615042746973</v>
      </c>
      <c r="AA251" s="577">
        <v>0.32032217211200809</v>
      </c>
      <c r="AB251" s="582"/>
      <c r="AC251" s="576">
        <v>599</v>
      </c>
      <c r="AD251" s="576">
        <f t="shared" si="105"/>
        <v>39534</v>
      </c>
      <c r="AE251" s="580">
        <v>149</v>
      </c>
      <c r="AF251" s="583">
        <v>6</v>
      </c>
      <c r="AG251" s="576">
        <f t="shared" si="106"/>
        <v>894</v>
      </c>
      <c r="AH251" s="709">
        <f t="shared" si="107"/>
        <v>40428</v>
      </c>
      <c r="AI251" s="709">
        <f t="shared" si="56"/>
        <v>-903</v>
      </c>
      <c r="AJ251" s="577">
        <f t="shared" si="57"/>
        <v>-2.1848007548813241E-2</v>
      </c>
      <c r="AK251" s="582">
        <f t="shared" si="60"/>
        <v>0.28772214665306312</v>
      </c>
      <c r="AL251" s="582" t="e">
        <f t="shared" si="100"/>
        <v>#REF!</v>
      </c>
      <c r="AM251" s="580" t="e">
        <f>VLOOKUP(F251,[7]PRM!E:R,14,FALSE)</f>
        <v>#N/A</v>
      </c>
      <c r="AN251" s="576" t="e">
        <f>T251-#REF!</f>
        <v>#REF!</v>
      </c>
      <c r="AO251" s="580"/>
    </row>
    <row r="252" spans="2:41" s="599" customFormat="1" ht="14">
      <c r="B252" s="801">
        <v>2605</v>
      </c>
      <c r="C252" s="1393" t="s">
        <v>211</v>
      </c>
      <c r="D252" s="1393"/>
      <c r="E252" s="1393"/>
      <c r="F252" s="1393" t="s">
        <v>53</v>
      </c>
      <c r="G252" s="566" t="s">
        <v>389</v>
      </c>
      <c r="H252" s="566"/>
      <c r="I252" s="566" t="s">
        <v>389</v>
      </c>
      <c r="J252" s="566">
        <v>6</v>
      </c>
      <c r="K252" s="566" t="s">
        <v>286</v>
      </c>
      <c r="L252" s="566">
        <v>12</v>
      </c>
      <c r="M252" s="576">
        <v>599</v>
      </c>
      <c r="N252" s="576">
        <f t="shared" si="63"/>
        <v>43128</v>
      </c>
      <c r="O252" s="566">
        <v>12</v>
      </c>
      <c r="P252" s="577">
        <f>IFERROR(_xlfn.XLOOKUP(F252,'[4]By Model'!$A:$A,'[4]By Model'!$K:$K),"")</f>
        <v>0.27583953233396635</v>
      </c>
      <c r="Q252" s="578">
        <f>IFERROR(_xlfn.XLOOKUP(F252,'[5]By Model'!$A:$A,'[5]By Model'!$B:$B),"")</f>
        <v>30</v>
      </c>
      <c r="R252" s="579">
        <f>IFERROR(_xlfn.XLOOKUP(F252,'[4]By Model'!$A:$A,'[4]By Model'!$I:$I),"")</f>
        <v>901.65253635862075</v>
      </c>
      <c r="S252" s="578" t="str">
        <f>IFERROR(_xlfn.XLOOKUP(F252,[6]Sum!$G:$G,[6]Sum!$AM:$AM),"")</f>
        <v/>
      </c>
      <c r="T252" s="576">
        <v>649</v>
      </c>
      <c r="U252" s="576">
        <f t="shared" si="49"/>
        <v>46728</v>
      </c>
      <c r="V252" s="580">
        <v>6</v>
      </c>
      <c r="W252" s="576">
        <f t="shared" si="50"/>
        <v>1947</v>
      </c>
      <c r="X252" s="576">
        <f t="shared" si="51"/>
        <v>44781</v>
      </c>
      <c r="Y252" s="581">
        <f t="shared" si="52"/>
        <v>3.8327768503060744E-2</v>
      </c>
      <c r="Z252" s="577">
        <f t="shared" si="59"/>
        <v>0.29500341658549672</v>
      </c>
      <c r="AA252" s="577">
        <v>0.32032217211200809</v>
      </c>
      <c r="AB252" s="582"/>
      <c r="AC252" s="576">
        <v>649</v>
      </c>
      <c r="AD252" s="576">
        <f t="shared" si="105"/>
        <v>42834</v>
      </c>
      <c r="AE252" s="580">
        <v>149</v>
      </c>
      <c r="AF252" s="583">
        <v>6</v>
      </c>
      <c r="AG252" s="576">
        <f t="shared" si="106"/>
        <v>894</v>
      </c>
      <c r="AH252" s="709">
        <f t="shared" si="107"/>
        <v>43728</v>
      </c>
      <c r="AI252" s="709">
        <f t="shared" si="56"/>
        <v>-1053</v>
      </c>
      <c r="AJ252" s="577">
        <f t="shared" si="57"/>
        <v>-2.3514436926375025E-2</v>
      </c>
      <c r="AK252" s="582">
        <f t="shared" si="60"/>
        <v>0.28324619812230922</v>
      </c>
      <c r="AL252" s="582" t="e">
        <f>AL253</f>
        <v>#REF!</v>
      </c>
      <c r="AM252" s="580" t="e">
        <f>VLOOKUP(F252,[7]PRM!E:R,14,FALSE)</f>
        <v>#N/A</v>
      </c>
      <c r="AN252" s="576" t="e">
        <f>T252-#REF!</f>
        <v>#REF!</v>
      </c>
      <c r="AO252" s="580"/>
    </row>
    <row r="253" spans="2:41" s="599" customFormat="1" ht="14" hidden="1">
      <c r="B253" s="799">
        <v>2605</v>
      </c>
      <c r="C253" s="1391" t="str">
        <f t="shared" ref="C253" si="108">C254</f>
        <v>W/M</v>
      </c>
      <c r="D253" s="1391"/>
      <c r="E253" s="1391"/>
      <c r="F253" s="1391" t="s">
        <v>19</v>
      </c>
      <c r="G253" s="566" t="s">
        <v>389</v>
      </c>
      <c r="H253" s="566"/>
      <c r="I253" s="566" t="s">
        <v>389</v>
      </c>
      <c r="J253" s="566">
        <v>3</v>
      </c>
      <c r="K253" s="566" t="s">
        <v>286</v>
      </c>
      <c r="L253" s="566">
        <f t="shared" ref="L253:O253" si="109">L254</f>
        <v>12</v>
      </c>
      <c r="M253" s="576">
        <v>849</v>
      </c>
      <c r="N253" s="576">
        <f t="shared" si="63"/>
        <v>30564</v>
      </c>
      <c r="O253" s="566">
        <f t="shared" si="109"/>
        <v>12</v>
      </c>
      <c r="P253" s="577">
        <f>IFERROR(_xlfn.XLOOKUP(F253,'[4]By Model'!$A:$A,'[4]By Model'!$K:$K),"")</f>
        <v>0.27695219605209348</v>
      </c>
      <c r="Q253" s="578">
        <f>IFERROR(_xlfn.XLOOKUP(F253,'[5]By Model'!$A:$A,'[5]By Model'!$B:$B),"")</f>
        <v>64</v>
      </c>
      <c r="R253" s="579">
        <f>IFERROR(_xlfn.XLOOKUP(F253,'[4]By Model'!$A:$A,'[4]By Model'!$I:$I),"")</f>
        <v>862.91333788695647</v>
      </c>
      <c r="S253" s="578" t="str">
        <f>IFERROR(_xlfn.XLOOKUP(F253,[6]Sum!$G:$G,[6]Sum!$AM:$AM),"")</f>
        <v/>
      </c>
      <c r="T253" s="576">
        <v>1049</v>
      </c>
      <c r="U253" s="576">
        <f t="shared" si="49"/>
        <v>37764</v>
      </c>
      <c r="V253" s="580">
        <v>0</v>
      </c>
      <c r="W253" s="576">
        <f t="shared" si="50"/>
        <v>0</v>
      </c>
      <c r="X253" s="576">
        <f t="shared" si="51"/>
        <v>37764</v>
      </c>
      <c r="Y253" s="581">
        <f t="shared" si="52"/>
        <v>0.23557126030624254</v>
      </c>
      <c r="Z253" s="577">
        <f t="shared" si="59"/>
        <v>0.39473782620521475</v>
      </c>
      <c r="AA253" s="577">
        <f t="shared" ref="AA253" si="110">AA254</f>
        <v>0.3730515315895841</v>
      </c>
      <c r="AB253" s="582"/>
      <c r="AC253" s="576">
        <v>1049</v>
      </c>
      <c r="AD253" s="576">
        <f t="shared" si="53"/>
        <v>37764</v>
      </c>
      <c r="AE253" s="711">
        <f>AD253/AD255</f>
        <v>0.90042918454935628</v>
      </c>
      <c r="AF253" s="580">
        <v>0</v>
      </c>
      <c r="AG253" s="576">
        <f t="shared" si="54"/>
        <v>0</v>
      </c>
      <c r="AH253" s="709">
        <f t="shared" si="55"/>
        <v>37764</v>
      </c>
      <c r="AI253" s="709">
        <f t="shared" si="56"/>
        <v>0</v>
      </c>
      <c r="AJ253" s="577">
        <f t="shared" si="57"/>
        <v>0</v>
      </c>
      <c r="AK253" s="582">
        <f t="shared" si="60"/>
        <v>0.39473782620521475</v>
      </c>
      <c r="AL253" s="582" t="e">
        <f t="shared" si="100"/>
        <v>#REF!</v>
      </c>
      <c r="AM253" s="580"/>
      <c r="AN253" s="576"/>
      <c r="AO253" s="580"/>
    </row>
    <row r="254" spans="2:41" s="599" customFormat="1" ht="14" hidden="1">
      <c r="B254" s="800">
        <v>2605</v>
      </c>
      <c r="C254" s="1392" t="s">
        <v>211</v>
      </c>
      <c r="D254" s="1392"/>
      <c r="E254" s="1392"/>
      <c r="F254" s="1392" t="s">
        <v>19</v>
      </c>
      <c r="G254" s="566" t="s">
        <v>389</v>
      </c>
      <c r="H254" s="566"/>
      <c r="I254" s="566" t="s">
        <v>389</v>
      </c>
      <c r="J254" s="566">
        <v>3</v>
      </c>
      <c r="K254" s="566" t="s">
        <v>288</v>
      </c>
      <c r="L254" s="566">
        <v>12</v>
      </c>
      <c r="M254" s="576">
        <v>749</v>
      </c>
      <c r="N254" s="576">
        <f t="shared" si="63"/>
        <v>26964</v>
      </c>
      <c r="O254" s="566">
        <v>12</v>
      </c>
      <c r="P254" s="577">
        <f>IFERROR(_xlfn.XLOOKUP(F254,'[4]By Model'!$A:$A,'[4]By Model'!$K:$K),"")</f>
        <v>0.27695219605209348</v>
      </c>
      <c r="Q254" s="578">
        <f>IFERROR(_xlfn.XLOOKUP(F254,'[5]By Model'!$A:$A,'[5]By Model'!$B:$B),"")</f>
        <v>64</v>
      </c>
      <c r="R254" s="579">
        <f>IFERROR(_xlfn.XLOOKUP(F254,'[4]By Model'!$A:$A,'[4]By Model'!$I:$I),"")</f>
        <v>862.91333788695647</v>
      </c>
      <c r="S254" s="578" t="str">
        <f>IFERROR(_xlfn.XLOOKUP(F254,[6]Sum!$G:$G,[6]Sum!$AM:$AM),"")</f>
        <v/>
      </c>
      <c r="T254" s="576">
        <v>899</v>
      </c>
      <c r="U254" s="576">
        <f t="shared" si="49"/>
        <v>32364</v>
      </c>
      <c r="V254" s="580">
        <v>0</v>
      </c>
      <c r="W254" s="576">
        <f t="shared" si="50"/>
        <v>0</v>
      </c>
      <c r="X254" s="576">
        <f t="shared" si="51"/>
        <v>32364</v>
      </c>
      <c r="Y254" s="581">
        <f t="shared" si="52"/>
        <v>0.2002670226969292</v>
      </c>
      <c r="Z254" s="577">
        <f t="shared" si="59"/>
        <v>0.37708570740055808</v>
      </c>
      <c r="AA254" s="577">
        <v>0.3730515315895841</v>
      </c>
      <c r="AB254" s="582"/>
      <c r="AC254" s="576">
        <v>899</v>
      </c>
      <c r="AD254" s="576">
        <f t="shared" si="53"/>
        <v>32364</v>
      </c>
      <c r="AE254" s="711">
        <f>AD254/AD256</f>
        <v>0.9005008347245409</v>
      </c>
      <c r="AF254" s="580">
        <v>0</v>
      </c>
      <c r="AG254" s="576">
        <f t="shared" si="54"/>
        <v>0</v>
      </c>
      <c r="AH254" s="709">
        <f t="shared" si="55"/>
        <v>32364</v>
      </c>
      <c r="AI254" s="709">
        <f t="shared" si="56"/>
        <v>0</v>
      </c>
      <c r="AJ254" s="577">
        <f t="shared" si="57"/>
        <v>0</v>
      </c>
      <c r="AK254" s="582">
        <f t="shared" si="60"/>
        <v>0.37708570740055808</v>
      </c>
      <c r="AL254" s="582" t="e">
        <f t="shared" si="100"/>
        <v>#REF!</v>
      </c>
      <c r="AM254" s="580" t="e">
        <f>VLOOKUP(F254,[7]PRM!E:R,14,FALSE)</f>
        <v>#N/A</v>
      </c>
      <c r="AN254" s="576" t="e">
        <f>T254-#REF!</f>
        <v>#REF!</v>
      </c>
      <c r="AO254" s="580"/>
    </row>
    <row r="255" spans="2:41" s="599" customFormat="1" ht="14">
      <c r="B255" s="800">
        <v>2605</v>
      </c>
      <c r="C255" s="1392" t="s">
        <v>211</v>
      </c>
      <c r="D255" s="1392"/>
      <c r="E255" s="1392"/>
      <c r="F255" s="1392" t="s">
        <v>19</v>
      </c>
      <c r="G255" s="566" t="s">
        <v>389</v>
      </c>
      <c r="H255" s="566"/>
      <c r="I255" s="566" t="s">
        <v>389</v>
      </c>
      <c r="J255" s="566">
        <v>5</v>
      </c>
      <c r="K255" s="566" t="s">
        <v>286</v>
      </c>
      <c r="L255" s="566">
        <v>12</v>
      </c>
      <c r="M255" s="576">
        <v>749</v>
      </c>
      <c r="N255" s="576">
        <f t="shared" si="63"/>
        <v>44940</v>
      </c>
      <c r="O255" s="566">
        <v>12</v>
      </c>
      <c r="P255" s="577">
        <f>IFERROR(_xlfn.XLOOKUP(F255,'[4]By Model'!$A:$A,'[4]By Model'!$K:$K),"")</f>
        <v>0.27695219605209348</v>
      </c>
      <c r="Q255" s="578">
        <f>IFERROR(_xlfn.XLOOKUP(F255,'[5]By Model'!$A:$A,'[5]By Model'!$B:$B),"")</f>
        <v>64</v>
      </c>
      <c r="R255" s="579">
        <f>IFERROR(_xlfn.XLOOKUP(F255,'[4]By Model'!$A:$A,'[4]By Model'!$I:$I),"")</f>
        <v>862.91333788695647</v>
      </c>
      <c r="S255" s="578" t="str">
        <f>IFERROR(_xlfn.XLOOKUP(F255,[6]Sum!$G:$G,[6]Sum!$AM:$AM),"")</f>
        <v/>
      </c>
      <c r="T255" s="576">
        <v>699</v>
      </c>
      <c r="U255" s="576">
        <f t="shared" si="49"/>
        <v>41940</v>
      </c>
      <c r="V255" s="580">
        <v>6</v>
      </c>
      <c r="W255" s="576">
        <f t="shared" si="50"/>
        <v>2097</v>
      </c>
      <c r="X255" s="576">
        <f t="shared" si="51"/>
        <v>39843</v>
      </c>
      <c r="Y255" s="581">
        <f t="shared" si="52"/>
        <v>-0.11341789052069429</v>
      </c>
      <c r="Z255" s="577">
        <f t="shared" si="59"/>
        <v>0.22024325079174634</v>
      </c>
      <c r="AA255" s="577">
        <v>0.35632358487813115</v>
      </c>
      <c r="AB255" s="582"/>
      <c r="AC255" s="576">
        <v>699</v>
      </c>
      <c r="AD255" s="576">
        <f t="shared" si="53"/>
        <v>41940</v>
      </c>
      <c r="AE255" s="711"/>
      <c r="AF255" s="583">
        <v>6</v>
      </c>
      <c r="AG255" s="576">
        <f t="shared" si="54"/>
        <v>2097</v>
      </c>
      <c r="AH255" s="709">
        <f t="shared" si="55"/>
        <v>39843</v>
      </c>
      <c r="AI255" s="709">
        <f t="shared" si="56"/>
        <v>0</v>
      </c>
      <c r="AJ255" s="577">
        <f t="shared" si="57"/>
        <v>0</v>
      </c>
      <c r="AK255" s="582">
        <f t="shared" si="60"/>
        <v>0.22024325079174634</v>
      </c>
      <c r="AL255" s="582" t="e">
        <f t="shared" si="100"/>
        <v>#REF!</v>
      </c>
      <c r="AM255" s="580" t="e">
        <f>VLOOKUP(F255,[7]PRM!E:R,14,FALSE)</f>
        <v>#N/A</v>
      </c>
      <c r="AN255" s="576" t="e">
        <f>T255-#REF!</f>
        <v>#REF!</v>
      </c>
      <c r="AO255" s="580"/>
    </row>
    <row r="256" spans="2:41" s="599" customFormat="1" ht="14">
      <c r="B256" s="800">
        <v>2605</v>
      </c>
      <c r="C256" s="1392" t="s">
        <v>211</v>
      </c>
      <c r="D256" s="1392"/>
      <c r="E256" s="1392"/>
      <c r="F256" s="1392" t="s">
        <v>19</v>
      </c>
      <c r="G256" s="566" t="s">
        <v>389</v>
      </c>
      <c r="H256" s="566"/>
      <c r="I256" s="566" t="s">
        <v>389</v>
      </c>
      <c r="J256" s="566">
        <v>5</v>
      </c>
      <c r="K256" s="566" t="s">
        <v>288</v>
      </c>
      <c r="L256" s="566">
        <v>12</v>
      </c>
      <c r="M256" s="576">
        <v>649</v>
      </c>
      <c r="N256" s="576">
        <f t="shared" si="63"/>
        <v>38940</v>
      </c>
      <c r="O256" s="566">
        <v>12</v>
      </c>
      <c r="P256" s="577">
        <f>IFERROR(_xlfn.XLOOKUP(F256,'[4]By Model'!$A:$A,'[4]By Model'!$K:$K),"")</f>
        <v>0.27695219605209348</v>
      </c>
      <c r="Q256" s="578">
        <f>IFERROR(_xlfn.XLOOKUP(F256,'[5]By Model'!$A:$A,'[5]By Model'!$B:$B),"")</f>
        <v>64</v>
      </c>
      <c r="R256" s="579">
        <f>IFERROR(_xlfn.XLOOKUP(F256,'[4]By Model'!$A:$A,'[4]By Model'!$I:$I),"")</f>
        <v>862.91333788695647</v>
      </c>
      <c r="S256" s="578" t="str">
        <f>IFERROR(_xlfn.XLOOKUP(F256,[6]Sum!$G:$G,[6]Sum!$AM:$AM),"")</f>
        <v/>
      </c>
      <c r="T256" s="576">
        <v>599</v>
      </c>
      <c r="U256" s="576">
        <f t="shared" si="49"/>
        <v>35940</v>
      </c>
      <c r="V256" s="580">
        <v>6</v>
      </c>
      <c r="W256" s="576">
        <f t="shared" si="50"/>
        <v>1797</v>
      </c>
      <c r="X256" s="576">
        <f t="shared" si="51"/>
        <v>34143</v>
      </c>
      <c r="Y256" s="581">
        <f t="shared" si="52"/>
        <v>-0.12318952234206471</v>
      </c>
      <c r="Z256" s="577">
        <f t="shared" si="59"/>
        <v>0.21535743488106113</v>
      </c>
      <c r="AA256" s="577">
        <v>0.3730515315895841</v>
      </c>
      <c r="AB256" s="582"/>
      <c r="AC256" s="576">
        <v>599</v>
      </c>
      <c r="AD256" s="576">
        <f t="shared" si="53"/>
        <v>35940</v>
      </c>
      <c r="AE256" s="711"/>
      <c r="AF256" s="583">
        <v>6</v>
      </c>
      <c r="AG256" s="576">
        <f t="shared" si="54"/>
        <v>1797</v>
      </c>
      <c r="AH256" s="709">
        <f t="shared" si="55"/>
        <v>34143</v>
      </c>
      <c r="AI256" s="709">
        <f t="shared" si="56"/>
        <v>0</v>
      </c>
      <c r="AJ256" s="577">
        <f t="shared" si="57"/>
        <v>0</v>
      </c>
      <c r="AK256" s="582">
        <f t="shared" si="60"/>
        <v>0.21535743488106113</v>
      </c>
      <c r="AL256" s="582" t="e">
        <f t="shared" si="100"/>
        <v>#REF!</v>
      </c>
      <c r="AM256" s="580" t="e">
        <f>VLOOKUP(F256,[7]PRM!E:R,14,FALSE)</f>
        <v>#N/A</v>
      </c>
      <c r="AN256" s="576" t="e">
        <f>T256-#REF!</f>
        <v>#REF!</v>
      </c>
      <c r="AO256" s="580"/>
    </row>
    <row r="257" spans="2:41" s="599" customFormat="1" ht="14">
      <c r="B257" s="800">
        <v>2605</v>
      </c>
      <c r="C257" s="1392" t="s">
        <v>211</v>
      </c>
      <c r="D257" s="1392"/>
      <c r="E257" s="1392"/>
      <c r="F257" s="1392" t="s">
        <v>19</v>
      </c>
      <c r="G257" s="566" t="s">
        <v>389</v>
      </c>
      <c r="H257" s="566"/>
      <c r="I257" s="566" t="s">
        <v>389</v>
      </c>
      <c r="J257" s="566">
        <v>6</v>
      </c>
      <c r="K257" s="566" t="s">
        <v>288</v>
      </c>
      <c r="L257" s="566">
        <v>12</v>
      </c>
      <c r="M257" s="576">
        <v>1249</v>
      </c>
      <c r="N257" s="576">
        <f t="shared" si="63"/>
        <v>89928</v>
      </c>
      <c r="O257" s="566">
        <v>12</v>
      </c>
      <c r="P257" s="577">
        <f>IFERROR(_xlfn.XLOOKUP(F257,'[4]By Model'!$A:$A,'[4]By Model'!$K:$K),"")</f>
        <v>0.27695219605209348</v>
      </c>
      <c r="Q257" s="578">
        <f>IFERROR(_xlfn.XLOOKUP(F257,'[5]By Model'!$A:$A,'[5]By Model'!$B:$B),"")</f>
        <v>64</v>
      </c>
      <c r="R257" s="579">
        <f>IFERROR(_xlfn.XLOOKUP(F257,'[4]By Model'!$A:$A,'[4]By Model'!$I:$I),"")</f>
        <v>862.91333788695647</v>
      </c>
      <c r="S257" s="578" t="str">
        <f>IFERROR(_xlfn.XLOOKUP(F257,[6]Sum!$G:$G,[6]Sum!$AM:$AM),"")</f>
        <v/>
      </c>
      <c r="T257" s="576">
        <v>549</v>
      </c>
      <c r="U257" s="576">
        <f t="shared" si="49"/>
        <v>39528</v>
      </c>
      <c r="V257" s="580">
        <v>6</v>
      </c>
      <c r="W257" s="576">
        <f t="shared" si="50"/>
        <v>1647</v>
      </c>
      <c r="X257" s="576">
        <f t="shared" si="51"/>
        <v>37881</v>
      </c>
      <c r="Y257" s="581">
        <f t="shared" si="52"/>
        <v>-0.57876301040832667</v>
      </c>
      <c r="Z257" s="577">
        <f t="shared" si="59"/>
        <v>-1.2429309152069856E-2</v>
      </c>
      <c r="AA257" s="577">
        <v>0.38420970539822591</v>
      </c>
      <c r="AB257" s="582"/>
      <c r="AC257" s="576">
        <v>549</v>
      </c>
      <c r="AD257" s="576">
        <f t="shared" si="53"/>
        <v>39528</v>
      </c>
      <c r="AE257" s="576"/>
      <c r="AF257" s="583">
        <v>6</v>
      </c>
      <c r="AG257" s="576">
        <f t="shared" si="54"/>
        <v>1647</v>
      </c>
      <c r="AH257" s="709">
        <f t="shared" si="55"/>
        <v>37881</v>
      </c>
      <c r="AI257" s="709">
        <f t="shared" si="56"/>
        <v>0</v>
      </c>
      <c r="AJ257" s="577">
        <f t="shared" si="57"/>
        <v>0</v>
      </c>
      <c r="AK257" s="582">
        <f t="shared" si="60"/>
        <v>-1.2429309152069856E-2</v>
      </c>
      <c r="AL257" s="582" t="e">
        <f t="shared" si="100"/>
        <v>#REF!</v>
      </c>
      <c r="AM257" s="580" t="e">
        <f>VLOOKUP(F257,[7]PRM!E:R,14,FALSE)</f>
        <v>#N/A</v>
      </c>
      <c r="AN257" s="576" t="e">
        <f>T257-#REF!</f>
        <v>#REF!</v>
      </c>
      <c r="AO257" s="580"/>
    </row>
    <row r="258" spans="2:41" s="599" customFormat="1" ht="14">
      <c r="B258" s="801">
        <v>2605</v>
      </c>
      <c r="C258" s="1393" t="s">
        <v>211</v>
      </c>
      <c r="D258" s="1393"/>
      <c r="E258" s="1393"/>
      <c r="F258" s="1393" t="s">
        <v>19</v>
      </c>
      <c r="G258" s="566" t="s">
        <v>389</v>
      </c>
      <c r="H258" s="566"/>
      <c r="I258" s="566" t="s">
        <v>389</v>
      </c>
      <c r="J258" s="566">
        <v>6</v>
      </c>
      <c r="K258" s="566" t="s">
        <v>286</v>
      </c>
      <c r="L258" s="566">
        <v>12</v>
      </c>
      <c r="M258" s="576">
        <v>1249</v>
      </c>
      <c r="N258" s="576">
        <f t="shared" si="63"/>
        <v>89928</v>
      </c>
      <c r="O258" s="566">
        <v>12</v>
      </c>
      <c r="P258" s="577">
        <f>IFERROR(_xlfn.XLOOKUP(F258,'[4]By Model'!$A:$A,'[4]By Model'!$K:$K),"")</f>
        <v>0.27695219605209348</v>
      </c>
      <c r="Q258" s="578">
        <f>IFERROR(_xlfn.XLOOKUP(F258,'[5]By Model'!$A:$A,'[5]By Model'!$B:$B),"")</f>
        <v>64</v>
      </c>
      <c r="R258" s="579">
        <f>IFERROR(_xlfn.XLOOKUP(F258,'[4]By Model'!$A:$A,'[4]By Model'!$I:$I),"")</f>
        <v>862.91333788695647</v>
      </c>
      <c r="S258" s="578" t="str">
        <f>IFERROR(_xlfn.XLOOKUP(F258,[6]Sum!$G:$G,[6]Sum!$AM:$AM),"")</f>
        <v/>
      </c>
      <c r="T258" s="576">
        <v>599</v>
      </c>
      <c r="U258" s="576">
        <f t="shared" si="49"/>
        <v>43128</v>
      </c>
      <c r="V258" s="580">
        <v>6</v>
      </c>
      <c r="W258" s="576">
        <f t="shared" si="50"/>
        <v>1797</v>
      </c>
      <c r="X258" s="576">
        <f t="shared" si="51"/>
        <v>41331</v>
      </c>
      <c r="Y258" s="581">
        <f t="shared" si="52"/>
        <v>-0.54039898585535096</v>
      </c>
      <c r="Z258" s="577">
        <f t="shared" si="59"/>
        <v>6.7527031244180025E-3</v>
      </c>
      <c r="AA258" s="577">
        <v>0.3730515315895841</v>
      </c>
      <c r="AB258" s="582"/>
      <c r="AC258" s="576">
        <v>599</v>
      </c>
      <c r="AD258" s="576">
        <f t="shared" si="53"/>
        <v>43128</v>
      </c>
      <c r="AE258" s="576"/>
      <c r="AF258" s="583">
        <v>6</v>
      </c>
      <c r="AG258" s="576">
        <f t="shared" si="54"/>
        <v>1797</v>
      </c>
      <c r="AH258" s="709">
        <f t="shared" si="55"/>
        <v>41331</v>
      </c>
      <c r="AI258" s="709">
        <f t="shared" si="56"/>
        <v>0</v>
      </c>
      <c r="AJ258" s="577">
        <f t="shared" si="57"/>
        <v>0</v>
      </c>
      <c r="AK258" s="582">
        <f t="shared" si="60"/>
        <v>6.7527031244180025E-3</v>
      </c>
      <c r="AL258" s="582" t="e">
        <f t="shared" si="100"/>
        <v>#REF!</v>
      </c>
      <c r="AM258" s="580" t="e">
        <f>VLOOKUP(F258,[7]PRM!E:R,14,FALSE)</f>
        <v>#N/A</v>
      </c>
      <c r="AN258" s="576" t="e">
        <f>T258-#REF!</f>
        <v>#REF!</v>
      </c>
      <c r="AO258" s="580"/>
    </row>
    <row r="259" spans="2:41" s="599" customFormat="1" ht="14" hidden="1">
      <c r="B259" s="799">
        <v>2605</v>
      </c>
      <c r="C259" s="1391" t="s">
        <v>211</v>
      </c>
      <c r="D259" s="1391"/>
      <c r="E259" s="1391"/>
      <c r="F259" s="1391" t="s">
        <v>52</v>
      </c>
      <c r="G259" s="566" t="s">
        <v>389</v>
      </c>
      <c r="H259" s="566"/>
      <c r="I259" s="566" t="s">
        <v>389</v>
      </c>
      <c r="J259" s="566">
        <v>3</v>
      </c>
      <c r="K259" s="566" t="s">
        <v>286</v>
      </c>
      <c r="L259" s="566">
        <v>12</v>
      </c>
      <c r="M259" s="576">
        <v>1349</v>
      </c>
      <c r="N259" s="576">
        <f t="shared" si="63"/>
        <v>48564</v>
      </c>
      <c r="O259" s="566">
        <v>12</v>
      </c>
      <c r="P259" s="577">
        <f>IFERROR(_xlfn.XLOOKUP(F259,'[4]By Model'!$A:$A,'[4]By Model'!$K:$K),"")</f>
        <v>0.26302262896079737</v>
      </c>
      <c r="Q259" s="578">
        <f>IFERROR(_xlfn.XLOOKUP(F259,'[5]By Model'!$A:$A,'[5]By Model'!$B:$B),"")</f>
        <v>63</v>
      </c>
      <c r="R259" s="579">
        <f>IFERROR(_xlfn.XLOOKUP(F259,'[4]By Model'!$A:$A,'[4]By Model'!$I:$I),"")</f>
        <v>1102.9617153055556</v>
      </c>
      <c r="S259" s="578" t="str">
        <f>IFERROR(_xlfn.XLOOKUP(F259,[6]Sum!$G:$G,[6]Sum!$AM:$AM),"")</f>
        <v/>
      </c>
      <c r="T259" s="576">
        <v>1299</v>
      </c>
      <c r="U259" s="576">
        <f t="shared" ref="U259:U322" si="111">T259*LEFT(J259,1)*12</f>
        <v>46764</v>
      </c>
      <c r="V259" s="580">
        <v>0</v>
      </c>
      <c r="W259" s="576">
        <f t="shared" ref="W259:W322" si="112">V259*T259*0.5</f>
        <v>0</v>
      </c>
      <c r="X259" s="576">
        <f t="shared" ref="X259:X322" si="113">U259-W259</f>
        <v>46764</v>
      </c>
      <c r="Y259" s="581">
        <f t="shared" ref="Y259:Y322" si="114">X259/N259-1</f>
        <v>-3.7064492216456579E-2</v>
      </c>
      <c r="Z259" s="577">
        <f t="shared" si="59"/>
        <v>0.24449038285256908</v>
      </c>
      <c r="AA259" s="577" t="e">
        <f>#REF!</f>
        <v>#REF!</v>
      </c>
      <c r="AB259" s="582"/>
      <c r="AC259" s="576">
        <v>1299</v>
      </c>
      <c r="AD259" s="576">
        <f t="shared" ref="AD259:AD319" si="115">AC259*LEFT(J259,1)*12</f>
        <v>46764</v>
      </c>
      <c r="AE259" s="711">
        <f>AD259/AD261</f>
        <v>1.0405874499332444</v>
      </c>
      <c r="AF259" s="580">
        <v>0</v>
      </c>
      <c r="AG259" s="576">
        <f t="shared" ref="AG259:AG319" si="116">AF259*AC259*0.5</f>
        <v>0</v>
      </c>
      <c r="AH259" s="709">
        <f t="shared" ref="AH259:AH319" si="117">AD259-AG259</f>
        <v>46764</v>
      </c>
      <c r="AI259" s="709">
        <f t="shared" ref="AI259:AI322" si="118">AH259-X259</f>
        <v>0</v>
      </c>
      <c r="AJ259" s="577">
        <f t="shared" ref="AJ259:AJ322" si="119">AI259/X259</f>
        <v>0</v>
      </c>
      <c r="AK259" s="582">
        <f t="shared" si="60"/>
        <v>0.24449038285256908</v>
      </c>
      <c r="AL259" s="582" t="e">
        <f>#REF!</f>
        <v>#REF!</v>
      </c>
      <c r="AM259" s="580"/>
      <c r="AN259" s="576"/>
      <c r="AO259" s="580"/>
    </row>
    <row r="260" spans="2:41" s="436" customFormat="1" ht="14">
      <c r="B260" s="800">
        <v>2605</v>
      </c>
      <c r="C260" s="1392" t="s">
        <v>211</v>
      </c>
      <c r="D260" s="1392"/>
      <c r="E260" s="1392"/>
      <c r="F260" s="1392" t="s">
        <v>52</v>
      </c>
      <c r="G260" s="566" t="s">
        <v>389</v>
      </c>
      <c r="H260" s="566"/>
      <c r="I260" s="566" t="s">
        <v>389</v>
      </c>
      <c r="J260" s="566">
        <v>5</v>
      </c>
      <c r="K260" s="566" t="s">
        <v>286</v>
      </c>
      <c r="L260" s="566">
        <v>12</v>
      </c>
      <c r="M260" s="576">
        <v>1349</v>
      </c>
      <c r="N260" s="576">
        <f t="shared" si="63"/>
        <v>80940</v>
      </c>
      <c r="O260" s="566">
        <v>12</v>
      </c>
      <c r="P260" s="577">
        <f>IFERROR(_xlfn.XLOOKUP(F260,'[4]By Model'!$A:$A,'[4]By Model'!$K:$K),"")</f>
        <v>0.26302262896079737</v>
      </c>
      <c r="Q260" s="578">
        <f>IFERROR(_xlfn.XLOOKUP(F260,'[5]By Model'!$A:$A,'[5]By Model'!$B:$B),"")</f>
        <v>63</v>
      </c>
      <c r="R260" s="579">
        <f>IFERROR(_xlfn.XLOOKUP(F260,'[4]By Model'!$A:$A,'[4]By Model'!$I:$I),"")</f>
        <v>1102.9617153055556</v>
      </c>
      <c r="S260" s="578" t="str">
        <f>IFERROR(_xlfn.XLOOKUP(F260,[6]Sum!$G:$G,[6]Sum!$AM:$AM),"")</f>
        <v/>
      </c>
      <c r="T260" s="576">
        <v>849</v>
      </c>
      <c r="U260" s="576">
        <f t="shared" si="111"/>
        <v>50940</v>
      </c>
      <c r="V260" s="580">
        <v>6</v>
      </c>
      <c r="W260" s="576">
        <f t="shared" si="112"/>
        <v>2547</v>
      </c>
      <c r="X260" s="576">
        <f t="shared" si="113"/>
        <v>48393</v>
      </c>
      <c r="Y260" s="581">
        <f t="shared" si="114"/>
        <v>-0.40211267605633805</v>
      </c>
      <c r="Z260" s="577">
        <f t="shared" ref="Z260:Z328" si="120">IFERROR(P260+Y260*0.5,"")</f>
        <v>6.1966290932628343E-2</v>
      </c>
      <c r="AA260" s="577">
        <v>0.19780379705639237</v>
      </c>
      <c r="AB260" s="582"/>
      <c r="AC260" s="576">
        <v>849</v>
      </c>
      <c r="AD260" s="576">
        <f t="shared" si="115"/>
        <v>50940</v>
      </c>
      <c r="AE260" s="711"/>
      <c r="AF260" s="583">
        <v>6</v>
      </c>
      <c r="AG260" s="576">
        <f t="shared" si="116"/>
        <v>2547</v>
      </c>
      <c r="AH260" s="709">
        <f t="shared" si="117"/>
        <v>48393</v>
      </c>
      <c r="AI260" s="709">
        <f t="shared" si="118"/>
        <v>0</v>
      </c>
      <c r="AJ260" s="577">
        <f t="shared" si="119"/>
        <v>0</v>
      </c>
      <c r="AK260" s="582">
        <f t="shared" ref="AK260:AK328" si="121">IFERROR(Z260+AJ260*0.5,"")</f>
        <v>6.1966290932628343E-2</v>
      </c>
      <c r="AL260" s="582" t="str">
        <f t="shared" si="100"/>
        <v> </v>
      </c>
      <c r="AM260" s="580" t="e">
        <f>VLOOKUP(F260,[7]PRM!E:R,14,FALSE)</f>
        <v>#N/A</v>
      </c>
      <c r="AN260" s="576" t="e">
        <f>T260-#REF!</f>
        <v>#REF!</v>
      </c>
      <c r="AO260" s="580"/>
    </row>
    <row r="261" spans="2:41" s="436" customFormat="1" ht="14">
      <c r="B261" s="800">
        <v>2605</v>
      </c>
      <c r="C261" s="1392" t="s">
        <v>211</v>
      </c>
      <c r="D261" s="1392"/>
      <c r="E261" s="1392"/>
      <c r="F261" s="1392" t="s">
        <v>52</v>
      </c>
      <c r="G261" s="566" t="s">
        <v>389</v>
      </c>
      <c r="H261" s="566"/>
      <c r="I261" s="566" t="s">
        <v>389</v>
      </c>
      <c r="J261" s="566">
        <v>5</v>
      </c>
      <c r="K261" s="566" t="s">
        <v>288</v>
      </c>
      <c r="L261" s="566">
        <v>12</v>
      </c>
      <c r="M261" s="576">
        <v>1349</v>
      </c>
      <c r="N261" s="576">
        <f t="shared" si="63"/>
        <v>80940</v>
      </c>
      <c r="O261" s="566">
        <v>12</v>
      </c>
      <c r="P261" s="577">
        <f>IFERROR(_xlfn.XLOOKUP(F261,'[4]By Model'!$A:$A,'[4]By Model'!$K:$K),"")</f>
        <v>0.26302262896079737</v>
      </c>
      <c r="Q261" s="578">
        <f>IFERROR(_xlfn.XLOOKUP(F261,'[5]By Model'!$A:$A,'[5]By Model'!$B:$B),"")</f>
        <v>63</v>
      </c>
      <c r="R261" s="579">
        <f>IFERROR(_xlfn.XLOOKUP(F261,'[4]By Model'!$A:$A,'[4]By Model'!$I:$I),"")</f>
        <v>1102.9617153055556</v>
      </c>
      <c r="S261" s="578" t="str">
        <f>IFERROR(_xlfn.XLOOKUP(F261,[6]Sum!$G:$G,[6]Sum!$AM:$AM),"")</f>
        <v/>
      </c>
      <c r="T261" s="576">
        <v>749</v>
      </c>
      <c r="U261" s="576">
        <f t="shared" si="111"/>
        <v>44940</v>
      </c>
      <c r="V261" s="580">
        <v>6</v>
      </c>
      <c r="W261" s="576">
        <f t="shared" si="112"/>
        <v>2247</v>
      </c>
      <c r="X261" s="576">
        <f t="shared" si="113"/>
        <v>42693</v>
      </c>
      <c r="Y261" s="581">
        <f t="shared" si="114"/>
        <v>-0.47253521126760567</v>
      </c>
      <c r="Z261" s="577">
        <f t="shared" si="120"/>
        <v>2.6755023326994531E-2</v>
      </c>
      <c r="AA261" s="577">
        <v>0.20228006478017443</v>
      </c>
      <c r="AB261" s="582"/>
      <c r="AC261" s="576">
        <v>749</v>
      </c>
      <c r="AD261" s="576">
        <f t="shared" si="115"/>
        <v>44940</v>
      </c>
      <c r="AE261" s="711"/>
      <c r="AF261" s="583">
        <v>6</v>
      </c>
      <c r="AG261" s="576">
        <f t="shared" si="116"/>
        <v>2247</v>
      </c>
      <c r="AH261" s="709">
        <f t="shared" si="117"/>
        <v>42693</v>
      </c>
      <c r="AI261" s="709">
        <f t="shared" si="118"/>
        <v>0</v>
      </c>
      <c r="AJ261" s="577">
        <f t="shared" si="119"/>
        <v>0</v>
      </c>
      <c r="AK261" s="582">
        <f t="shared" si="121"/>
        <v>2.6755023326994531E-2</v>
      </c>
      <c r="AL261" s="582" t="str">
        <f t="shared" si="100"/>
        <v> </v>
      </c>
      <c r="AM261" s="580" t="e">
        <f>VLOOKUP(F261,[7]PRM!E:R,14,FALSE)</f>
        <v>#N/A</v>
      </c>
      <c r="AN261" s="576" t="e">
        <f>T261-#REF!</f>
        <v>#REF!</v>
      </c>
      <c r="AO261" s="580"/>
    </row>
    <row r="262" spans="2:41" s="436" customFormat="1" ht="14">
      <c r="B262" s="800">
        <v>2605</v>
      </c>
      <c r="C262" s="1392" t="s">
        <v>211</v>
      </c>
      <c r="D262" s="1392"/>
      <c r="E262" s="1392"/>
      <c r="F262" s="1392" t="s">
        <v>52</v>
      </c>
      <c r="G262" s="566" t="s">
        <v>389</v>
      </c>
      <c r="H262" s="566"/>
      <c r="I262" s="566" t="s">
        <v>389</v>
      </c>
      <c r="J262" s="566">
        <v>6</v>
      </c>
      <c r="K262" s="566" t="s">
        <v>286</v>
      </c>
      <c r="L262" s="566">
        <v>12</v>
      </c>
      <c r="M262" s="576">
        <v>1349</v>
      </c>
      <c r="N262" s="576">
        <f t="shared" ref="N262:N330" si="122">M262*LEFT(J262,1)*12</f>
        <v>97128</v>
      </c>
      <c r="O262" s="566">
        <v>12</v>
      </c>
      <c r="P262" s="577">
        <f>IFERROR(_xlfn.XLOOKUP(F262,'[4]By Model'!$A:$A,'[4]By Model'!$K:$K),"")</f>
        <v>0.26302262896079737</v>
      </c>
      <c r="Q262" s="578">
        <f>IFERROR(_xlfn.XLOOKUP(F262,'[5]By Model'!$A:$A,'[5]By Model'!$B:$B),"")</f>
        <v>63</v>
      </c>
      <c r="R262" s="579">
        <f>IFERROR(_xlfn.XLOOKUP(F262,'[4]By Model'!$A:$A,'[4]By Model'!$I:$I),"")</f>
        <v>1102.9617153055556</v>
      </c>
      <c r="S262" s="578" t="str">
        <f>IFERROR(_xlfn.XLOOKUP(F262,[6]Sum!$G:$G,[6]Sum!$AM:$AM),"")</f>
        <v/>
      </c>
      <c r="T262" s="576">
        <v>749</v>
      </c>
      <c r="U262" s="576">
        <f t="shared" si="111"/>
        <v>53928</v>
      </c>
      <c r="V262" s="580">
        <v>6</v>
      </c>
      <c r="W262" s="576">
        <f t="shared" si="112"/>
        <v>2247</v>
      </c>
      <c r="X262" s="576">
        <f t="shared" si="113"/>
        <v>51681</v>
      </c>
      <c r="Y262" s="581">
        <f t="shared" si="114"/>
        <v>-0.46790832715591801</v>
      </c>
      <c r="Z262" s="577">
        <f t="shared" si="120"/>
        <v>2.906846538283836E-2</v>
      </c>
      <c r="AA262" s="577">
        <v>0.29172336680238131</v>
      </c>
      <c r="AB262" s="582"/>
      <c r="AC262" s="576">
        <v>749</v>
      </c>
      <c r="AD262" s="576">
        <f t="shared" si="115"/>
        <v>53928</v>
      </c>
      <c r="AE262" s="576"/>
      <c r="AF262" s="583">
        <v>6</v>
      </c>
      <c r="AG262" s="576">
        <f t="shared" si="116"/>
        <v>2247</v>
      </c>
      <c r="AH262" s="709">
        <f t="shared" si="117"/>
        <v>51681</v>
      </c>
      <c r="AI262" s="709">
        <f t="shared" si="118"/>
        <v>0</v>
      </c>
      <c r="AJ262" s="577">
        <f t="shared" si="119"/>
        <v>0</v>
      </c>
      <c r="AK262" s="582">
        <f t="shared" si="121"/>
        <v>2.906846538283836E-2</v>
      </c>
      <c r="AL262" s="582" t="str">
        <f t="shared" si="100"/>
        <v> </v>
      </c>
      <c r="AM262" s="580" t="e">
        <f>VLOOKUP(F262,[7]PRM!E:R,14,FALSE)</f>
        <v>#N/A</v>
      </c>
      <c r="AN262" s="576" t="e">
        <f>T262-#REF!</f>
        <v>#REF!</v>
      </c>
      <c r="AO262" s="580"/>
    </row>
    <row r="263" spans="2:41" s="436" customFormat="1" ht="14">
      <c r="B263" s="801">
        <v>2605</v>
      </c>
      <c r="C263" s="1393" t="s">
        <v>211</v>
      </c>
      <c r="D263" s="1393"/>
      <c r="E263" s="1393"/>
      <c r="F263" s="1393" t="s">
        <v>52</v>
      </c>
      <c r="G263" s="566" t="s">
        <v>389</v>
      </c>
      <c r="H263" s="566"/>
      <c r="I263" s="566" t="s">
        <v>389</v>
      </c>
      <c r="J263" s="566">
        <v>6</v>
      </c>
      <c r="K263" s="566" t="s">
        <v>288</v>
      </c>
      <c r="L263" s="566">
        <v>12</v>
      </c>
      <c r="M263" s="576">
        <v>1349</v>
      </c>
      <c r="N263" s="576">
        <f t="shared" si="122"/>
        <v>97128</v>
      </c>
      <c r="O263" s="566">
        <v>12</v>
      </c>
      <c r="P263" s="577">
        <f>IFERROR(_xlfn.XLOOKUP(F263,'[4]By Model'!$A:$A,'[4]By Model'!$K:$K),"")</f>
        <v>0.26302262896079737</v>
      </c>
      <c r="Q263" s="578">
        <f>IFERROR(_xlfn.XLOOKUP(F263,'[5]By Model'!$A:$A,'[5]By Model'!$B:$B),"")</f>
        <v>63</v>
      </c>
      <c r="R263" s="579">
        <f>IFERROR(_xlfn.XLOOKUP(F263,'[4]By Model'!$A:$A,'[4]By Model'!$I:$I),"")</f>
        <v>1102.9617153055556</v>
      </c>
      <c r="S263" s="578" t="str">
        <f>IFERROR(_xlfn.XLOOKUP(F263,[6]Sum!$G:$G,[6]Sum!$AM:$AM),"")</f>
        <v/>
      </c>
      <c r="T263" s="576">
        <v>649</v>
      </c>
      <c r="U263" s="576">
        <f t="shared" si="111"/>
        <v>46728</v>
      </c>
      <c r="V263" s="580">
        <v>6</v>
      </c>
      <c r="W263" s="576">
        <f t="shared" si="112"/>
        <v>1947</v>
      </c>
      <c r="X263" s="576">
        <f t="shared" si="113"/>
        <v>44781</v>
      </c>
      <c r="Y263" s="581">
        <f t="shared" si="114"/>
        <v>-0.53894860390412647</v>
      </c>
      <c r="Z263" s="577">
        <f t="shared" si="120"/>
        <v>-6.4516729912658666E-3</v>
      </c>
      <c r="AA263" s="577">
        <v>0.31681528686956073</v>
      </c>
      <c r="AB263" s="582"/>
      <c r="AC263" s="576">
        <v>649</v>
      </c>
      <c r="AD263" s="576">
        <f t="shared" si="115"/>
        <v>46728</v>
      </c>
      <c r="AE263" s="576"/>
      <c r="AF263" s="583">
        <v>6</v>
      </c>
      <c r="AG263" s="576">
        <f t="shared" si="116"/>
        <v>1947</v>
      </c>
      <c r="AH263" s="709">
        <f t="shared" si="117"/>
        <v>44781</v>
      </c>
      <c r="AI263" s="709">
        <f t="shared" si="118"/>
        <v>0</v>
      </c>
      <c r="AJ263" s="577">
        <f t="shared" si="119"/>
        <v>0</v>
      </c>
      <c r="AK263" s="582">
        <f t="shared" si="121"/>
        <v>-6.4516729912658666E-3</v>
      </c>
      <c r="AL263" s="582" t="str">
        <f>AL265</f>
        <v> </v>
      </c>
      <c r="AM263" s="580" t="e">
        <f>VLOOKUP(F263,[7]PRM!E:R,14,FALSE)</f>
        <v>#N/A</v>
      </c>
      <c r="AN263" s="576" t="e">
        <f>T263-#REF!</f>
        <v>#REF!</v>
      </c>
      <c r="AO263" s="580"/>
    </row>
    <row r="264" spans="2:41" s="436" customFormat="1" ht="14" hidden="1" customHeight="1">
      <c r="B264" s="799">
        <v>2605</v>
      </c>
      <c r="C264" s="1391" t="s">
        <v>211</v>
      </c>
      <c r="D264" s="1391"/>
      <c r="E264" s="1391"/>
      <c r="F264" s="1391" t="s">
        <v>366</v>
      </c>
      <c r="G264" s="566" t="s">
        <v>389</v>
      </c>
      <c r="H264" s="566"/>
      <c r="I264" s="566" t="s">
        <v>389</v>
      </c>
      <c r="J264" s="566">
        <v>3</v>
      </c>
      <c r="K264" s="566" t="s">
        <v>286</v>
      </c>
      <c r="L264" s="566">
        <v>12</v>
      </c>
      <c r="M264" s="576">
        <v>499</v>
      </c>
      <c r="N264" s="576">
        <f>M264*LEFT(J264,1)*12</f>
        <v>17964</v>
      </c>
      <c r="O264" s="566">
        <v>12</v>
      </c>
      <c r="P264" s="577">
        <f>IFERROR(_xlfn.XLOOKUP(F264,'[4]By Model'!$A:$A,'[4]By Model'!$K:$K),"")</f>
        <v>5.0866108538039516E-2</v>
      </c>
      <c r="Q264" s="578" t="str">
        <f>IFERROR(_xlfn.XLOOKUP(F264,'[5]By Model'!$A:$A,'[5]By Model'!$B:$B),"")</f>
        <v/>
      </c>
      <c r="R264" s="579">
        <f>IFERROR(_xlfn.XLOOKUP(F264,'[4]By Model'!$A:$A,'[4]By Model'!$I:$I),"")</f>
        <v>428.10156211428574</v>
      </c>
      <c r="S264" s="578" t="str">
        <f>IFERROR(_xlfn.XLOOKUP(F264,[6]Sum!$G:$G,[6]Sum!$AM:$AM),"")</f>
        <v/>
      </c>
      <c r="T264" s="576">
        <v>0</v>
      </c>
      <c r="U264" s="576">
        <f>T264*LEFT(J264,1)*12</f>
        <v>0</v>
      </c>
      <c r="V264" s="580">
        <v>0</v>
      </c>
      <c r="W264" s="576">
        <f>V264*T264*0.5</f>
        <v>0</v>
      </c>
      <c r="X264" s="576">
        <f>U264-W264</f>
        <v>0</v>
      </c>
      <c r="Y264" s="581">
        <f>X264/N264-1</f>
        <v>-1</v>
      </c>
      <c r="Z264" s="577">
        <f>IFERROR(P264+Y264*0.5,"")</f>
        <v>-0.44913389146196048</v>
      </c>
      <c r="AA264" s="577">
        <v>0.16</v>
      </c>
      <c r="AB264" s="582"/>
      <c r="AC264" s="576">
        <v>0</v>
      </c>
      <c r="AD264" s="576">
        <f>AC264*LEFT(J264,1)*12</f>
        <v>0</v>
      </c>
      <c r="AE264" s="711">
        <f>AD264/AD266</f>
        <v>0</v>
      </c>
      <c r="AF264" s="580">
        <v>0</v>
      </c>
      <c r="AG264" s="576">
        <f>AF264*AC264*0.5</f>
        <v>0</v>
      </c>
      <c r="AH264" s="709">
        <f>AD264-AG264</f>
        <v>0</v>
      </c>
      <c r="AI264" s="709">
        <f>AH264-X264</f>
        <v>0</v>
      </c>
      <c r="AJ264" s="577" t="e">
        <f>AI264/X264</f>
        <v>#DIV/0!</v>
      </c>
      <c r="AK264" s="582" t="str">
        <f>IFERROR(Z264+AJ264*0.5,"")</f>
        <v/>
      </c>
      <c r="AL264" s="582" t="s">
        <v>389</v>
      </c>
      <c r="AM264" s="580" t="s">
        <v>389</v>
      </c>
      <c r="AN264" s="576" t="s">
        <v>389</v>
      </c>
      <c r="AO264" s="580" t="s">
        <v>389</v>
      </c>
    </row>
    <row r="265" spans="2:41" s="436" customFormat="1" ht="14" hidden="1">
      <c r="B265" s="800">
        <v>2605</v>
      </c>
      <c r="C265" s="1392"/>
      <c r="D265" s="1392"/>
      <c r="E265" s="1392"/>
      <c r="F265" s="1392"/>
      <c r="G265" s="566" t="s">
        <v>389</v>
      </c>
      <c r="H265" s="566"/>
      <c r="I265" s="566" t="s">
        <v>389</v>
      </c>
      <c r="J265" s="566">
        <v>3</v>
      </c>
      <c r="K265" s="566" t="s">
        <v>288</v>
      </c>
      <c r="L265" s="566">
        <f>L264</f>
        <v>12</v>
      </c>
      <c r="M265" s="576">
        <v>499</v>
      </c>
      <c r="N265" s="576">
        <f t="shared" ref="N265" si="123">M265*LEFT(J265,1)*12</f>
        <v>17964</v>
      </c>
      <c r="O265" s="566">
        <f>O264</f>
        <v>12</v>
      </c>
      <c r="P265" s="577" t="str">
        <f>IFERROR(_xlfn.XLOOKUP(F265,'[4]By Model'!$A:$A,'[4]By Model'!$K:$K),"")</f>
        <v/>
      </c>
      <c r="Q265" s="578" t="str">
        <f>IFERROR(_xlfn.XLOOKUP(F265,'[5]By Model'!$A:$A,'[5]By Model'!$B:$B),"")</f>
        <v/>
      </c>
      <c r="R265" s="579" t="str">
        <f>IFERROR(_xlfn.XLOOKUP(F265,'[4]By Model'!$A:$A,'[4]By Model'!$I:$I),"")</f>
        <v/>
      </c>
      <c r="S265" s="578" t="str">
        <f>IFERROR(_xlfn.XLOOKUP(F265,[6]Sum!$G:$G,[6]Sum!$AM:$AM),"")</f>
        <v/>
      </c>
      <c r="T265" s="576"/>
      <c r="U265" s="576">
        <f t="shared" si="111"/>
        <v>0</v>
      </c>
      <c r="V265" s="580">
        <v>0</v>
      </c>
      <c r="W265" s="576">
        <f t="shared" si="112"/>
        <v>0</v>
      </c>
      <c r="X265" s="576">
        <f t="shared" si="113"/>
        <v>0</v>
      </c>
      <c r="Y265" s="581">
        <f t="shared" si="114"/>
        <v>-1</v>
      </c>
      <c r="Z265" s="577" t="str">
        <f t="shared" si="120"/>
        <v/>
      </c>
      <c r="AA265" s="577">
        <f>AA264</f>
        <v>0.16</v>
      </c>
      <c r="AB265" s="582"/>
      <c r="AC265" s="576"/>
      <c r="AD265" s="576">
        <f t="shared" si="115"/>
        <v>0</v>
      </c>
      <c r="AE265" s="711">
        <f>AD265/AD267</f>
        <v>0</v>
      </c>
      <c r="AF265" s="580">
        <v>0</v>
      </c>
      <c r="AG265" s="576">
        <f t="shared" si="116"/>
        <v>0</v>
      </c>
      <c r="AH265" s="709">
        <f t="shared" si="117"/>
        <v>0</v>
      </c>
      <c r="AI265" s="709">
        <f t="shared" si="118"/>
        <v>0</v>
      </c>
      <c r="AJ265" s="577" t="e">
        <f t="shared" si="119"/>
        <v>#DIV/0!</v>
      </c>
      <c r="AK265" s="582" t="str">
        <f t="shared" si="121"/>
        <v/>
      </c>
      <c r="AL265" s="582" t="str">
        <f>AL264</f>
        <v> </v>
      </c>
      <c r="AM265" s="580"/>
      <c r="AN265" s="576"/>
      <c r="AO265" s="580"/>
    </row>
    <row r="266" spans="2:41" s="436" customFormat="1" ht="14" hidden="1">
      <c r="B266" s="800">
        <v>2605</v>
      </c>
      <c r="C266" s="1392"/>
      <c r="D266" s="1392"/>
      <c r="E266" s="1392"/>
      <c r="F266" s="1392"/>
      <c r="G266" s="566" t="s">
        <v>389</v>
      </c>
      <c r="H266" s="566"/>
      <c r="I266" s="566" t="s">
        <v>389</v>
      </c>
      <c r="J266" s="566">
        <v>5</v>
      </c>
      <c r="K266" s="566" t="s">
        <v>286</v>
      </c>
      <c r="L266" s="566">
        <v>12</v>
      </c>
      <c r="M266" s="576">
        <v>499</v>
      </c>
      <c r="N266" s="576">
        <f>M266*LEFT(J266,1)*12</f>
        <v>29940</v>
      </c>
      <c r="O266" s="566">
        <v>12</v>
      </c>
      <c r="P266" s="577" t="str">
        <f>IFERROR(_xlfn.XLOOKUP(F266,'[4]By Model'!$A:$A,'[4]By Model'!$K:$K),"")</f>
        <v/>
      </c>
      <c r="Q266" s="578" t="str">
        <f>IFERROR(_xlfn.XLOOKUP(F266,'[5]By Model'!$A:$A,'[5]By Model'!$B:$B),"")</f>
        <v/>
      </c>
      <c r="R266" s="579" t="str">
        <f>IFERROR(_xlfn.XLOOKUP(F266,'[4]By Model'!$A:$A,'[4]By Model'!$I:$I),"")</f>
        <v/>
      </c>
      <c r="S266" s="578" t="str">
        <f>IFERROR(_xlfn.XLOOKUP(F266,[6]Sum!$G:$G,[6]Sum!$AM:$AM),"")</f>
        <v/>
      </c>
      <c r="T266" s="576">
        <v>499</v>
      </c>
      <c r="U266" s="576">
        <f>T266*LEFT(J266,1)*12</f>
        <v>29940</v>
      </c>
      <c r="V266" s="580">
        <v>0</v>
      </c>
      <c r="W266" s="576">
        <f>V266*T266*0.5</f>
        <v>0</v>
      </c>
      <c r="X266" s="576">
        <f>U266-W266</f>
        <v>29940</v>
      </c>
      <c r="Y266" s="581">
        <f>X266/N266-1</f>
        <v>0</v>
      </c>
      <c r="Z266" s="577" t="str">
        <f>IFERROR(P266+Y266*0.5,"")</f>
        <v/>
      </c>
      <c r="AA266" s="577">
        <v>0.16</v>
      </c>
      <c r="AB266" s="582"/>
      <c r="AC266" s="576">
        <v>549</v>
      </c>
      <c r="AD266" s="576">
        <f>AC266*LEFT(J266,1)*12</f>
        <v>32940</v>
      </c>
      <c r="AE266" s="711"/>
      <c r="AF266" s="583">
        <v>0</v>
      </c>
      <c r="AG266" s="576">
        <f>AF266*AC266*0.5</f>
        <v>0</v>
      </c>
      <c r="AH266" s="709">
        <f>AD266-AG266</f>
        <v>32940</v>
      </c>
      <c r="AI266" s="709">
        <f>AH266-X266</f>
        <v>3000</v>
      </c>
      <c r="AJ266" s="577">
        <f>AI266/X266</f>
        <v>0.10020040080160321</v>
      </c>
      <c r="AK266" s="582" t="str">
        <f>IFERROR(Z266+AJ266*0.5,"")</f>
        <v/>
      </c>
      <c r="AL266" s="582" t="s">
        <v>389</v>
      </c>
      <c r="AM266" s="580" t="s">
        <v>389</v>
      </c>
      <c r="AN266" s="576" t="s">
        <v>389</v>
      </c>
      <c r="AO266" s="580" t="s">
        <v>389</v>
      </c>
    </row>
    <row r="267" spans="2:41" s="436" customFormat="1" ht="14" hidden="1">
      <c r="B267" s="800">
        <v>2605</v>
      </c>
      <c r="C267" s="1392"/>
      <c r="D267" s="1392"/>
      <c r="E267" s="1392"/>
      <c r="F267" s="1392"/>
      <c r="G267" s="566" t="s">
        <v>389</v>
      </c>
      <c r="H267" s="566"/>
      <c r="I267" s="566" t="s">
        <v>389</v>
      </c>
      <c r="J267" s="566">
        <v>5</v>
      </c>
      <c r="K267" s="566" t="s">
        <v>288</v>
      </c>
      <c r="L267" s="566">
        <v>12</v>
      </c>
      <c r="M267" s="576">
        <v>399</v>
      </c>
      <c r="N267" s="576">
        <f t="shared" si="122"/>
        <v>23940</v>
      </c>
      <c r="O267" s="566">
        <v>12</v>
      </c>
      <c r="P267" s="577" t="str">
        <f>IFERROR(_xlfn.XLOOKUP(F267,'[4]By Model'!$A:$A,'[4]By Model'!$K:$K),"")</f>
        <v/>
      </c>
      <c r="Q267" s="578" t="str">
        <f>IFERROR(_xlfn.XLOOKUP(F267,'[5]By Model'!$A:$A,'[5]By Model'!$B:$B),"")</f>
        <v/>
      </c>
      <c r="R267" s="579" t="str">
        <f>IFERROR(_xlfn.XLOOKUP(F267,'[4]By Model'!$A:$A,'[4]By Model'!$I:$I),"")</f>
        <v/>
      </c>
      <c r="S267" s="578" t="str">
        <f>IFERROR(_xlfn.XLOOKUP(F267,[6]Sum!$G:$G,[6]Sum!$AM:$AM),"")</f>
        <v/>
      </c>
      <c r="T267" s="576">
        <v>399</v>
      </c>
      <c r="U267" s="576">
        <f t="shared" si="111"/>
        <v>23940</v>
      </c>
      <c r="V267" s="580">
        <v>0</v>
      </c>
      <c r="W267" s="576">
        <f t="shared" si="112"/>
        <v>0</v>
      </c>
      <c r="X267" s="576">
        <f t="shared" si="113"/>
        <v>23940</v>
      </c>
      <c r="Y267" s="581">
        <f t="shared" si="114"/>
        <v>0</v>
      </c>
      <c r="Z267" s="577" t="str">
        <f t="shared" si="120"/>
        <v/>
      </c>
      <c r="AA267" s="577">
        <v>0.17</v>
      </c>
      <c r="AB267" s="582"/>
      <c r="AC267" s="576">
        <v>449</v>
      </c>
      <c r="AD267" s="576">
        <f t="shared" si="115"/>
        <v>26940</v>
      </c>
      <c r="AE267" s="711"/>
      <c r="AF267" s="583">
        <v>0</v>
      </c>
      <c r="AG267" s="576">
        <f t="shared" si="116"/>
        <v>0</v>
      </c>
      <c r="AH267" s="709">
        <f t="shared" si="117"/>
        <v>26940</v>
      </c>
      <c r="AI267" s="709">
        <f t="shared" si="118"/>
        <v>3000</v>
      </c>
      <c r="AJ267" s="577">
        <f t="shared" si="119"/>
        <v>0.12531328320802004</v>
      </c>
      <c r="AK267" s="582" t="str">
        <f t="shared" si="121"/>
        <v/>
      </c>
      <c r="AL267" s="582" t="s">
        <v>389</v>
      </c>
      <c r="AM267" s="580" t="s">
        <v>389</v>
      </c>
      <c r="AN267" s="576" t="s">
        <v>389</v>
      </c>
      <c r="AO267" s="580" t="s">
        <v>389</v>
      </c>
    </row>
    <row r="268" spans="2:41" s="436" customFormat="1" ht="14" hidden="1">
      <c r="B268" s="800">
        <v>2605</v>
      </c>
      <c r="C268" s="1392"/>
      <c r="D268" s="1392"/>
      <c r="E268" s="1392"/>
      <c r="F268" s="1392"/>
      <c r="G268" s="566" t="s">
        <v>389</v>
      </c>
      <c r="H268" s="566"/>
      <c r="I268" s="566" t="s">
        <v>389</v>
      </c>
      <c r="J268" s="566">
        <v>6</v>
      </c>
      <c r="K268" s="566" t="s">
        <v>286</v>
      </c>
      <c r="L268" s="566">
        <v>12</v>
      </c>
      <c r="M268" s="576">
        <v>399</v>
      </c>
      <c r="N268" s="576">
        <f>M268*LEFT(J268,1)*12</f>
        <v>28728</v>
      </c>
      <c r="O268" s="566">
        <v>12</v>
      </c>
      <c r="P268" s="577" t="str">
        <f>IFERROR(_xlfn.XLOOKUP(F268,'[4]By Model'!$A:$A,'[4]By Model'!$K:$K),"")</f>
        <v/>
      </c>
      <c r="Q268" s="578" t="str">
        <f>IFERROR(_xlfn.XLOOKUP(F268,'[5]By Model'!$A:$A,'[5]By Model'!$B:$B),"")</f>
        <v/>
      </c>
      <c r="R268" s="579" t="str">
        <f>IFERROR(_xlfn.XLOOKUP(F268,'[4]By Model'!$A:$A,'[4]By Model'!$I:$I),"")</f>
        <v/>
      </c>
      <c r="S268" s="578" t="str">
        <f>IFERROR(_xlfn.XLOOKUP(F268,[6]Sum!$G:$G,[6]Sum!$AM:$AM),"")</f>
        <v/>
      </c>
      <c r="T268" s="576">
        <v>399</v>
      </c>
      <c r="U268" s="576">
        <f>T268*LEFT(J268,1)*12</f>
        <v>28728</v>
      </c>
      <c r="V268" s="580">
        <v>0</v>
      </c>
      <c r="W268" s="576">
        <f>V268*T268*0.5</f>
        <v>0</v>
      </c>
      <c r="X268" s="576">
        <f>U268-W268</f>
        <v>28728</v>
      </c>
      <c r="Y268" s="581">
        <f>X268/N268-1</f>
        <v>0</v>
      </c>
      <c r="Z268" s="577" t="str">
        <f>IFERROR(P268+Y268*0.5,"")</f>
        <v/>
      </c>
      <c r="AA268" s="577">
        <v>0.12</v>
      </c>
      <c r="AB268" s="582"/>
      <c r="AC268" s="576">
        <v>449</v>
      </c>
      <c r="AD268" s="576">
        <f>AC268*LEFT(J268,1)*12</f>
        <v>32328</v>
      </c>
      <c r="AE268" s="576"/>
      <c r="AF268" s="583">
        <v>0</v>
      </c>
      <c r="AG268" s="576">
        <f>AF268*AC268*0.5</f>
        <v>0</v>
      </c>
      <c r="AH268" s="709">
        <f>AD268-AG268</f>
        <v>32328</v>
      </c>
      <c r="AI268" s="709">
        <f>AH268-X268</f>
        <v>3600</v>
      </c>
      <c r="AJ268" s="577">
        <f>AI268/X268</f>
        <v>0.12531328320802004</v>
      </c>
      <c r="AK268" s="582" t="str">
        <f>IFERROR(Z268+AJ268*0.5,"")</f>
        <v/>
      </c>
      <c r="AL268" s="582" t="s">
        <v>389</v>
      </c>
      <c r="AM268" s="580" t="s">
        <v>389</v>
      </c>
      <c r="AN268" s="576" t="s">
        <v>389</v>
      </c>
      <c r="AO268" s="580" t="s">
        <v>389</v>
      </c>
    </row>
    <row r="269" spans="2:41" s="436" customFormat="1" ht="14" hidden="1">
      <c r="B269" s="801">
        <v>2605</v>
      </c>
      <c r="C269" s="1393"/>
      <c r="D269" s="1393"/>
      <c r="E269" s="1393"/>
      <c r="F269" s="1393"/>
      <c r="G269" s="566" t="s">
        <v>389</v>
      </c>
      <c r="H269" s="566"/>
      <c r="I269" s="566" t="s">
        <v>389</v>
      </c>
      <c r="J269" s="566">
        <v>6</v>
      </c>
      <c r="K269" s="566" t="s">
        <v>288</v>
      </c>
      <c r="L269" s="566">
        <v>12</v>
      </c>
      <c r="M269" s="576">
        <v>299</v>
      </c>
      <c r="N269" s="576">
        <f t="shared" si="122"/>
        <v>21528</v>
      </c>
      <c r="O269" s="566">
        <v>12</v>
      </c>
      <c r="P269" s="577" t="str">
        <f>IFERROR(_xlfn.XLOOKUP(F269,'[4]By Model'!$A:$A,'[4]By Model'!$K:$K),"")</f>
        <v/>
      </c>
      <c r="Q269" s="578" t="str">
        <f>IFERROR(_xlfn.XLOOKUP(F269,'[5]By Model'!$A:$A,'[5]By Model'!$B:$B),"")</f>
        <v/>
      </c>
      <c r="R269" s="579" t="str">
        <f>IFERROR(_xlfn.XLOOKUP(F269,'[4]By Model'!$A:$A,'[4]By Model'!$I:$I),"")</f>
        <v/>
      </c>
      <c r="S269" s="578" t="str">
        <f>IFERROR(_xlfn.XLOOKUP(F269,[6]Sum!$G:$G,[6]Sum!$AM:$AM),"")</f>
        <v/>
      </c>
      <c r="T269" s="576">
        <v>299</v>
      </c>
      <c r="U269" s="576">
        <f t="shared" si="111"/>
        <v>21528</v>
      </c>
      <c r="V269" s="580">
        <v>0</v>
      </c>
      <c r="W269" s="576">
        <f t="shared" si="112"/>
        <v>0</v>
      </c>
      <c r="X269" s="576">
        <f t="shared" si="113"/>
        <v>21528</v>
      </c>
      <c r="Y269" s="581">
        <f t="shared" si="114"/>
        <v>0</v>
      </c>
      <c r="Z269" s="577" t="str">
        <f t="shared" si="120"/>
        <v/>
      </c>
      <c r="AA269" s="577">
        <v>0.12</v>
      </c>
      <c r="AB269" s="582"/>
      <c r="AC269" s="576">
        <v>349</v>
      </c>
      <c r="AD269" s="576">
        <f t="shared" si="115"/>
        <v>25128</v>
      </c>
      <c r="AE269" s="576"/>
      <c r="AF269" s="583">
        <v>0</v>
      </c>
      <c r="AG269" s="576">
        <f t="shared" si="116"/>
        <v>0</v>
      </c>
      <c r="AH269" s="709">
        <f t="shared" si="117"/>
        <v>25128</v>
      </c>
      <c r="AI269" s="709">
        <f t="shared" si="118"/>
        <v>3600</v>
      </c>
      <c r="AJ269" s="577">
        <f t="shared" si="119"/>
        <v>0.16722408026755853</v>
      </c>
      <c r="AK269" s="582" t="str">
        <f t="shared" si="121"/>
        <v/>
      </c>
      <c r="AL269" s="582" t="s">
        <v>389</v>
      </c>
      <c r="AM269" s="580" t="s">
        <v>389</v>
      </c>
      <c r="AN269" s="576" t="s">
        <v>389</v>
      </c>
      <c r="AO269" s="580" t="s">
        <v>389</v>
      </c>
    </row>
    <row r="270" spans="2:41" s="436" customFormat="1" ht="14" hidden="1">
      <c r="B270" s="799">
        <v>2605</v>
      </c>
      <c r="C270" s="1391" t="str">
        <f t="shared" ref="C270" si="124">C271</f>
        <v>W/M</v>
      </c>
      <c r="D270" s="1391"/>
      <c r="E270" s="1391"/>
      <c r="F270" s="1391" t="s">
        <v>386</v>
      </c>
      <c r="G270" s="566" t="s">
        <v>389</v>
      </c>
      <c r="H270" s="566"/>
      <c r="I270" s="566" t="s">
        <v>389</v>
      </c>
      <c r="J270" s="566">
        <v>3</v>
      </c>
      <c r="K270" s="566" t="s">
        <v>286</v>
      </c>
      <c r="L270" s="566">
        <f t="shared" ref="L270:O270" si="125">L271</f>
        <v>12</v>
      </c>
      <c r="M270" s="576">
        <v>1149</v>
      </c>
      <c r="N270" s="576">
        <f t="shared" si="122"/>
        <v>41364</v>
      </c>
      <c r="O270" s="566">
        <f t="shared" si="125"/>
        <v>12</v>
      </c>
      <c r="P270" s="577">
        <f>IFERROR(_xlfn.XLOOKUP(F270,'[4]By Model'!$A:$A,'[4]By Model'!$K:$K),"")</f>
        <v>8.6855154166184209E-2</v>
      </c>
      <c r="Q270" s="578">
        <f>IFERROR(_xlfn.XLOOKUP(F270,'[5]By Model'!$A:$A,'[5]By Model'!$B:$B),"")</f>
        <v>34</v>
      </c>
      <c r="R270" s="579">
        <f>IFERROR(_xlfn.XLOOKUP(F270,'[4]By Model'!$A:$A,'[4]By Model'!$I:$I),"")</f>
        <v>710.08211071071423</v>
      </c>
      <c r="S270" s="578" t="str">
        <f>IFERROR(_xlfn.XLOOKUP(F270,[6]Sum!$G:$G,[6]Sum!$AM:$AM),"")</f>
        <v/>
      </c>
      <c r="T270" s="576">
        <v>899</v>
      </c>
      <c r="U270" s="576">
        <f t="shared" si="111"/>
        <v>32364</v>
      </c>
      <c r="V270" s="580">
        <v>0</v>
      </c>
      <c r="W270" s="576">
        <f t="shared" si="112"/>
        <v>0</v>
      </c>
      <c r="X270" s="576">
        <f t="shared" si="113"/>
        <v>32364</v>
      </c>
      <c r="Y270" s="581">
        <f t="shared" si="114"/>
        <v>-0.21758050478677116</v>
      </c>
      <c r="Z270" s="577">
        <f t="shared" si="120"/>
        <v>-2.1935098227201369E-2</v>
      </c>
      <c r="AA270" s="577">
        <f t="shared" ref="AA270" si="126">AA271</f>
        <v>0.16867193664233437</v>
      </c>
      <c r="AB270" s="582"/>
      <c r="AC270" s="576">
        <v>899</v>
      </c>
      <c r="AD270" s="576">
        <f t="shared" si="115"/>
        <v>32364</v>
      </c>
      <c r="AE270" s="711">
        <f>AD270/AD272</f>
        <v>0.83112480739599381</v>
      </c>
      <c r="AF270" s="580">
        <v>0</v>
      </c>
      <c r="AG270" s="576">
        <f t="shared" si="116"/>
        <v>0</v>
      </c>
      <c r="AH270" s="709">
        <f t="shared" si="117"/>
        <v>32364</v>
      </c>
      <c r="AI270" s="709">
        <f t="shared" si="118"/>
        <v>0</v>
      </c>
      <c r="AJ270" s="577">
        <f t="shared" si="119"/>
        <v>0</v>
      </c>
      <c r="AK270" s="582">
        <f t="shared" si="121"/>
        <v>-2.1935098227201369E-2</v>
      </c>
      <c r="AL270" s="582" t="e">
        <f t="shared" ref="AL270:AL298" si="127">AL271</f>
        <v>#REF!</v>
      </c>
      <c r="AM270" s="580"/>
      <c r="AN270" s="576"/>
      <c r="AO270" s="580"/>
    </row>
    <row r="271" spans="2:41" s="436" customFormat="1" ht="14" hidden="1">
      <c r="B271" s="800">
        <v>2605</v>
      </c>
      <c r="C271" s="1392" t="s">
        <v>211</v>
      </c>
      <c r="D271" s="1392"/>
      <c r="E271" s="1392"/>
      <c r="F271" s="1392" t="s">
        <v>386</v>
      </c>
      <c r="G271" s="566" t="s">
        <v>389</v>
      </c>
      <c r="H271" s="566"/>
      <c r="I271" s="566" t="s">
        <v>389</v>
      </c>
      <c r="J271" s="566">
        <v>3</v>
      </c>
      <c r="K271" s="566" t="s">
        <v>288</v>
      </c>
      <c r="L271" s="566">
        <v>12</v>
      </c>
      <c r="M271" s="576">
        <v>899</v>
      </c>
      <c r="N271" s="576">
        <f t="shared" si="122"/>
        <v>32364</v>
      </c>
      <c r="O271" s="566">
        <v>12</v>
      </c>
      <c r="P271" s="577">
        <f>IFERROR(_xlfn.XLOOKUP(F271,'[4]By Model'!$A:$A,'[4]By Model'!$K:$K),"")</f>
        <v>8.6855154166184209E-2</v>
      </c>
      <c r="Q271" s="578">
        <f>IFERROR(_xlfn.XLOOKUP(F271,'[5]By Model'!$A:$A,'[5]By Model'!$B:$B),"")</f>
        <v>34</v>
      </c>
      <c r="R271" s="579">
        <f>IFERROR(_xlfn.XLOOKUP(F271,'[4]By Model'!$A:$A,'[4]By Model'!$I:$I),"")</f>
        <v>710.08211071071423</v>
      </c>
      <c r="S271" s="578" t="str">
        <f>IFERROR(_xlfn.XLOOKUP(F271,[6]Sum!$G:$G,[6]Sum!$AM:$AM),"")</f>
        <v/>
      </c>
      <c r="T271" s="576">
        <v>849</v>
      </c>
      <c r="U271" s="576">
        <f t="shared" si="111"/>
        <v>30564</v>
      </c>
      <c r="V271" s="580">
        <v>0</v>
      </c>
      <c r="W271" s="576">
        <f t="shared" si="112"/>
        <v>0</v>
      </c>
      <c r="X271" s="576">
        <f t="shared" si="113"/>
        <v>30564</v>
      </c>
      <c r="Y271" s="581">
        <f t="shared" si="114"/>
        <v>-5.5617352614015569E-2</v>
      </c>
      <c r="Z271" s="577">
        <f t="shared" si="120"/>
        <v>5.9046477859176424E-2</v>
      </c>
      <c r="AA271" s="577">
        <v>0.16867193664233437</v>
      </c>
      <c r="AB271" s="582"/>
      <c r="AC271" s="576">
        <v>849</v>
      </c>
      <c r="AD271" s="576">
        <f t="shared" si="115"/>
        <v>30564</v>
      </c>
      <c r="AE271" s="711">
        <f>AD271/AD273</f>
        <v>0.85041736227045073</v>
      </c>
      <c r="AF271" s="580">
        <v>0</v>
      </c>
      <c r="AG271" s="576">
        <f t="shared" si="116"/>
        <v>0</v>
      </c>
      <c r="AH271" s="709">
        <f t="shared" si="117"/>
        <v>30564</v>
      </c>
      <c r="AI271" s="709">
        <f t="shared" si="118"/>
        <v>0</v>
      </c>
      <c r="AJ271" s="577">
        <f t="shared" si="119"/>
        <v>0</v>
      </c>
      <c r="AK271" s="582">
        <f t="shared" si="121"/>
        <v>5.9046477859176424E-2</v>
      </c>
      <c r="AL271" s="582" t="e">
        <f t="shared" si="127"/>
        <v>#REF!</v>
      </c>
      <c r="AM271" s="580" t="e">
        <f>VLOOKUP(F271,[7]PRM!E:R,14,FALSE)</f>
        <v>#N/A</v>
      </c>
      <c r="AN271" s="576" t="e">
        <f>T271-#REF!</f>
        <v>#REF!</v>
      </c>
      <c r="AO271" s="580"/>
    </row>
    <row r="272" spans="2:41" s="436" customFormat="1" ht="14">
      <c r="B272" s="800">
        <v>2605</v>
      </c>
      <c r="C272" s="1392" t="s">
        <v>211</v>
      </c>
      <c r="D272" s="1392"/>
      <c r="E272" s="1392"/>
      <c r="F272" s="1392" t="s">
        <v>386</v>
      </c>
      <c r="G272" s="566" t="s">
        <v>389</v>
      </c>
      <c r="H272" s="566"/>
      <c r="I272" s="566" t="s">
        <v>389</v>
      </c>
      <c r="J272" s="566">
        <v>5</v>
      </c>
      <c r="K272" s="566" t="s">
        <v>286</v>
      </c>
      <c r="L272" s="566">
        <v>12</v>
      </c>
      <c r="M272" s="576">
        <v>599</v>
      </c>
      <c r="N272" s="576">
        <f t="shared" si="122"/>
        <v>35940</v>
      </c>
      <c r="O272" s="566">
        <v>12</v>
      </c>
      <c r="P272" s="577">
        <f>IFERROR(_xlfn.XLOOKUP(F272,'[4]By Model'!$A:$A,'[4]By Model'!$K:$K),"")</f>
        <v>8.6855154166184209E-2</v>
      </c>
      <c r="Q272" s="578">
        <f>IFERROR(_xlfn.XLOOKUP(F272,'[5]By Model'!$A:$A,'[5]By Model'!$B:$B),"")</f>
        <v>34</v>
      </c>
      <c r="R272" s="579">
        <f>IFERROR(_xlfn.XLOOKUP(F272,'[4]By Model'!$A:$A,'[4]By Model'!$I:$I),"")</f>
        <v>710.08211071071423</v>
      </c>
      <c r="S272" s="578" t="str">
        <f>IFERROR(_xlfn.XLOOKUP(F272,[6]Sum!$G:$G,[6]Sum!$AM:$AM),"")</f>
        <v/>
      </c>
      <c r="T272" s="576">
        <v>599</v>
      </c>
      <c r="U272" s="576">
        <f t="shared" si="111"/>
        <v>35940</v>
      </c>
      <c r="V272" s="580">
        <v>0</v>
      </c>
      <c r="W272" s="576">
        <f t="shared" si="112"/>
        <v>0</v>
      </c>
      <c r="X272" s="576">
        <f t="shared" si="113"/>
        <v>35940</v>
      </c>
      <c r="Y272" s="581">
        <f t="shared" si="114"/>
        <v>0</v>
      </c>
      <c r="Z272" s="577">
        <f t="shared" si="120"/>
        <v>8.6855154166184209E-2</v>
      </c>
      <c r="AA272" s="577">
        <v>0.15751376283369256</v>
      </c>
      <c r="AB272" s="582"/>
      <c r="AC272" s="576">
        <v>649</v>
      </c>
      <c r="AD272" s="576">
        <f t="shared" si="115"/>
        <v>38940</v>
      </c>
      <c r="AE272" s="711"/>
      <c r="AF272" s="580">
        <v>0</v>
      </c>
      <c r="AG272" s="576">
        <f t="shared" si="116"/>
        <v>0</v>
      </c>
      <c r="AH272" s="709">
        <f t="shared" si="117"/>
        <v>38940</v>
      </c>
      <c r="AI272" s="709">
        <f t="shared" si="118"/>
        <v>3000</v>
      </c>
      <c r="AJ272" s="577">
        <f t="shared" si="119"/>
        <v>8.347245409015025E-2</v>
      </c>
      <c r="AK272" s="582">
        <f t="shared" si="121"/>
        <v>0.12859138121125935</v>
      </c>
      <c r="AL272" s="582" t="e">
        <f t="shared" si="127"/>
        <v>#REF!</v>
      </c>
      <c r="AM272" s="580" t="e">
        <f>VLOOKUP(F272,[7]PRM!E:R,14,FALSE)</f>
        <v>#N/A</v>
      </c>
      <c r="AN272" s="576" t="e">
        <f>T272-#REF!</f>
        <v>#REF!</v>
      </c>
      <c r="AO272" s="580"/>
    </row>
    <row r="273" spans="2:41" s="436" customFormat="1" ht="14">
      <c r="B273" s="800">
        <v>2605</v>
      </c>
      <c r="C273" s="1392" t="s">
        <v>211</v>
      </c>
      <c r="D273" s="1392"/>
      <c r="E273" s="1392"/>
      <c r="F273" s="1392" t="s">
        <v>386</v>
      </c>
      <c r="G273" s="566" t="s">
        <v>389</v>
      </c>
      <c r="H273" s="566"/>
      <c r="I273" s="566" t="s">
        <v>389</v>
      </c>
      <c r="J273" s="566">
        <v>5</v>
      </c>
      <c r="K273" s="566" t="s">
        <v>288</v>
      </c>
      <c r="L273" s="566">
        <v>12</v>
      </c>
      <c r="M273" s="576">
        <v>549</v>
      </c>
      <c r="N273" s="576">
        <f t="shared" si="122"/>
        <v>32940</v>
      </c>
      <c r="O273" s="566">
        <v>12</v>
      </c>
      <c r="P273" s="577">
        <f>IFERROR(_xlfn.XLOOKUP(F273,'[4]By Model'!$A:$A,'[4]By Model'!$K:$K),"")</f>
        <v>8.6855154166184209E-2</v>
      </c>
      <c r="Q273" s="578">
        <f>IFERROR(_xlfn.XLOOKUP(F273,'[5]By Model'!$A:$A,'[5]By Model'!$B:$B),"")</f>
        <v>34</v>
      </c>
      <c r="R273" s="579">
        <f>IFERROR(_xlfn.XLOOKUP(F273,'[4]By Model'!$A:$A,'[4]By Model'!$I:$I),"")</f>
        <v>710.08211071071423</v>
      </c>
      <c r="S273" s="578" t="str">
        <f>IFERROR(_xlfn.XLOOKUP(F273,[6]Sum!$G:$G,[6]Sum!$AM:$AM),"")</f>
        <v/>
      </c>
      <c r="T273" s="576">
        <v>549</v>
      </c>
      <c r="U273" s="576">
        <f t="shared" si="111"/>
        <v>32940</v>
      </c>
      <c r="V273" s="580">
        <v>0</v>
      </c>
      <c r="W273" s="576">
        <f t="shared" si="112"/>
        <v>0</v>
      </c>
      <c r="X273" s="576">
        <f t="shared" si="113"/>
        <v>32940</v>
      </c>
      <c r="Y273" s="581">
        <f t="shared" si="114"/>
        <v>0</v>
      </c>
      <c r="Z273" s="577">
        <f t="shared" si="120"/>
        <v>8.6855154166184209E-2</v>
      </c>
      <c r="AA273" s="577">
        <v>0.16867193664233437</v>
      </c>
      <c r="AB273" s="582"/>
      <c r="AC273" s="576">
        <v>599</v>
      </c>
      <c r="AD273" s="576">
        <f t="shared" si="115"/>
        <v>35940</v>
      </c>
      <c r="AE273" s="711"/>
      <c r="AF273" s="580">
        <v>0</v>
      </c>
      <c r="AG273" s="576">
        <f t="shared" si="116"/>
        <v>0</v>
      </c>
      <c r="AH273" s="709">
        <f t="shared" si="117"/>
        <v>35940</v>
      </c>
      <c r="AI273" s="709">
        <f t="shared" si="118"/>
        <v>3000</v>
      </c>
      <c r="AJ273" s="577">
        <f t="shared" si="119"/>
        <v>9.107468123861566E-2</v>
      </c>
      <c r="AK273" s="582">
        <f t="shared" si="121"/>
        <v>0.13239249478549203</v>
      </c>
      <c r="AL273" s="582" t="e">
        <f t="shared" si="127"/>
        <v>#REF!</v>
      </c>
      <c r="AM273" s="580" t="e">
        <f>VLOOKUP(F273,[7]PRM!E:R,14,FALSE)</f>
        <v>#N/A</v>
      </c>
      <c r="AN273" s="576" t="e">
        <f>T273-#REF!</f>
        <v>#REF!</v>
      </c>
      <c r="AO273" s="580"/>
    </row>
    <row r="274" spans="2:41" s="436" customFormat="1" ht="14">
      <c r="B274" s="800">
        <v>2605</v>
      </c>
      <c r="C274" s="1392" t="s">
        <v>211</v>
      </c>
      <c r="D274" s="1392"/>
      <c r="E274" s="1392"/>
      <c r="F274" s="1392" t="s">
        <v>386</v>
      </c>
      <c r="G274" s="566" t="s">
        <v>389</v>
      </c>
      <c r="H274" s="566"/>
      <c r="I274" s="566" t="s">
        <v>389</v>
      </c>
      <c r="J274" s="566">
        <v>6</v>
      </c>
      <c r="K274" s="566" t="s">
        <v>286</v>
      </c>
      <c r="L274" s="566">
        <v>12</v>
      </c>
      <c r="M274" s="576">
        <v>549</v>
      </c>
      <c r="N274" s="576">
        <f t="shared" si="122"/>
        <v>39528</v>
      </c>
      <c r="O274" s="566">
        <v>12</v>
      </c>
      <c r="P274" s="577">
        <f>IFERROR(_xlfn.XLOOKUP(F274,'[4]By Model'!$A:$A,'[4]By Model'!$K:$K),"")</f>
        <v>8.6855154166184209E-2</v>
      </c>
      <c r="Q274" s="578">
        <f>IFERROR(_xlfn.XLOOKUP(F274,'[5]By Model'!$A:$A,'[5]By Model'!$B:$B),"")</f>
        <v>34</v>
      </c>
      <c r="R274" s="579">
        <f>IFERROR(_xlfn.XLOOKUP(F274,'[4]By Model'!$A:$A,'[4]By Model'!$I:$I),"")</f>
        <v>710.08211071071423</v>
      </c>
      <c r="S274" s="578" t="str">
        <f>IFERROR(_xlfn.XLOOKUP(F274,[6]Sum!$G:$G,[6]Sum!$AM:$AM),"")</f>
        <v/>
      </c>
      <c r="T274" s="576">
        <v>549</v>
      </c>
      <c r="U274" s="576">
        <f t="shared" si="111"/>
        <v>39528</v>
      </c>
      <c r="V274" s="580">
        <v>0</v>
      </c>
      <c r="W274" s="576">
        <f t="shared" si="112"/>
        <v>0</v>
      </c>
      <c r="X274" s="576">
        <f t="shared" si="113"/>
        <v>39528</v>
      </c>
      <c r="Y274" s="581">
        <f t="shared" si="114"/>
        <v>0</v>
      </c>
      <c r="Z274" s="577">
        <f t="shared" si="120"/>
        <v>8.6855154166184209E-2</v>
      </c>
      <c r="AA274" s="577">
        <v>0.16867193664233437</v>
      </c>
      <c r="AB274" s="582"/>
      <c r="AC274" s="576">
        <v>599</v>
      </c>
      <c r="AD274" s="576">
        <f t="shared" si="115"/>
        <v>43128</v>
      </c>
      <c r="AE274" s="576"/>
      <c r="AF274" s="580">
        <v>0</v>
      </c>
      <c r="AG274" s="576">
        <f t="shared" si="116"/>
        <v>0</v>
      </c>
      <c r="AH274" s="709">
        <f t="shared" si="117"/>
        <v>43128</v>
      </c>
      <c r="AI274" s="709">
        <f t="shared" si="118"/>
        <v>3600</v>
      </c>
      <c r="AJ274" s="577">
        <f t="shared" si="119"/>
        <v>9.107468123861566E-2</v>
      </c>
      <c r="AK274" s="582">
        <f t="shared" si="121"/>
        <v>0.13239249478549203</v>
      </c>
      <c r="AL274" s="582" t="e">
        <f t="shared" si="127"/>
        <v>#REF!</v>
      </c>
      <c r="AM274" s="580" t="e">
        <f>VLOOKUP(F274,[7]PRM!E:R,14,FALSE)</f>
        <v>#N/A</v>
      </c>
      <c r="AN274" s="576" t="e">
        <f>T274-#REF!</f>
        <v>#REF!</v>
      </c>
      <c r="AO274" s="580"/>
    </row>
    <row r="275" spans="2:41" s="436" customFormat="1" ht="14">
      <c r="B275" s="801">
        <v>2605</v>
      </c>
      <c r="C275" s="1393" t="s">
        <v>211</v>
      </c>
      <c r="D275" s="1393"/>
      <c r="E275" s="1393"/>
      <c r="F275" s="1393" t="s">
        <v>386</v>
      </c>
      <c r="G275" s="566" t="s">
        <v>389</v>
      </c>
      <c r="H275" s="566"/>
      <c r="I275" s="566" t="s">
        <v>389</v>
      </c>
      <c r="J275" s="566">
        <v>6</v>
      </c>
      <c r="K275" s="566" t="s">
        <v>288</v>
      </c>
      <c r="L275" s="566">
        <v>12</v>
      </c>
      <c r="M275" s="576">
        <v>499</v>
      </c>
      <c r="N275" s="576">
        <f t="shared" si="122"/>
        <v>35928</v>
      </c>
      <c r="O275" s="566">
        <v>12</v>
      </c>
      <c r="P275" s="577">
        <f>IFERROR(_xlfn.XLOOKUP(F275,'[4]By Model'!$A:$A,'[4]By Model'!$K:$K),"")</f>
        <v>8.6855154166184209E-2</v>
      </c>
      <c r="Q275" s="578">
        <f>IFERROR(_xlfn.XLOOKUP(F275,'[5]By Model'!$A:$A,'[5]By Model'!$B:$B),"")</f>
        <v>34</v>
      </c>
      <c r="R275" s="579">
        <f>IFERROR(_xlfn.XLOOKUP(F275,'[4]By Model'!$A:$A,'[4]By Model'!$I:$I),"")</f>
        <v>710.08211071071423</v>
      </c>
      <c r="S275" s="578" t="str">
        <f>IFERROR(_xlfn.XLOOKUP(F275,[6]Sum!$G:$G,[6]Sum!$AM:$AM),"")</f>
        <v/>
      </c>
      <c r="T275" s="576">
        <v>499</v>
      </c>
      <c r="U275" s="576">
        <f t="shared" si="111"/>
        <v>35928</v>
      </c>
      <c r="V275" s="580">
        <v>0</v>
      </c>
      <c r="W275" s="576">
        <f t="shared" si="112"/>
        <v>0</v>
      </c>
      <c r="X275" s="576">
        <f t="shared" si="113"/>
        <v>35928</v>
      </c>
      <c r="Y275" s="581">
        <f t="shared" si="114"/>
        <v>0</v>
      </c>
      <c r="Z275" s="577">
        <f t="shared" si="120"/>
        <v>8.6855154166184209E-2</v>
      </c>
      <c r="AA275" s="577">
        <v>0.18262664524010941</v>
      </c>
      <c r="AB275" s="582"/>
      <c r="AC275" s="576">
        <v>549</v>
      </c>
      <c r="AD275" s="576">
        <f t="shared" si="115"/>
        <v>39528</v>
      </c>
      <c r="AE275" s="576"/>
      <c r="AF275" s="580">
        <v>0</v>
      </c>
      <c r="AG275" s="576">
        <f t="shared" si="116"/>
        <v>0</v>
      </c>
      <c r="AH275" s="709">
        <f t="shared" si="117"/>
        <v>39528</v>
      </c>
      <c r="AI275" s="709">
        <f t="shared" si="118"/>
        <v>3600</v>
      </c>
      <c r="AJ275" s="577">
        <f t="shared" si="119"/>
        <v>0.10020040080160321</v>
      </c>
      <c r="AK275" s="582">
        <f t="shared" si="121"/>
        <v>0.13695535456698582</v>
      </c>
      <c r="AL275" s="582" t="e">
        <f t="shared" si="127"/>
        <v>#REF!</v>
      </c>
      <c r="AM275" s="580" t="e">
        <f>VLOOKUP(F275,[7]PRM!E:R,14,FALSE)</f>
        <v>#N/A</v>
      </c>
      <c r="AN275" s="576" t="e">
        <f>T275-#REF!</f>
        <v>#REF!</v>
      </c>
      <c r="AO275" s="580"/>
    </row>
    <row r="276" spans="2:41" s="436" customFormat="1" ht="14" hidden="1">
      <c r="B276" s="799">
        <v>2605</v>
      </c>
      <c r="C276" s="1391" t="str">
        <f t="shared" ref="C276" si="128">C277</f>
        <v>W/M</v>
      </c>
      <c r="D276" s="1391"/>
      <c r="E276" s="1391"/>
      <c r="F276" s="1391" t="s">
        <v>87</v>
      </c>
      <c r="G276" s="566" t="s">
        <v>389</v>
      </c>
      <c r="H276" s="566"/>
      <c r="I276" s="566" t="s">
        <v>389</v>
      </c>
      <c r="J276" s="566">
        <v>3</v>
      </c>
      <c r="K276" s="566" t="s">
        <v>286</v>
      </c>
      <c r="L276" s="566">
        <f t="shared" ref="L276:O276" si="129">L277</f>
        <v>12</v>
      </c>
      <c r="M276" s="576">
        <v>1199</v>
      </c>
      <c r="N276" s="576">
        <f t="shared" si="122"/>
        <v>43164</v>
      </c>
      <c r="O276" s="566">
        <f t="shared" si="129"/>
        <v>12</v>
      </c>
      <c r="P276" s="577">
        <f>IFERROR(_xlfn.XLOOKUP(F276,'[4]By Model'!$A:$A,'[4]By Model'!$K:$K),"")</f>
        <v>6.3938670503866354E-2</v>
      </c>
      <c r="Q276" s="578">
        <f>IFERROR(_xlfn.XLOOKUP(F276,'[5]By Model'!$A:$A,'[5]By Model'!$B:$B),"")</f>
        <v>31</v>
      </c>
      <c r="R276" s="579">
        <f>IFERROR(_xlfn.XLOOKUP(F276,'[4]By Model'!$A:$A,'[4]By Model'!$I:$I),"")</f>
        <v>938.04413369411759</v>
      </c>
      <c r="S276" s="578" t="str">
        <f>IFERROR(_xlfn.XLOOKUP(F276,[6]Sum!$G:$G,[6]Sum!$AM:$AM),"")</f>
        <v/>
      </c>
      <c r="T276" s="576">
        <v>1099</v>
      </c>
      <c r="U276" s="576">
        <f t="shared" si="111"/>
        <v>39564</v>
      </c>
      <c r="V276" s="580">
        <v>0</v>
      </c>
      <c r="W276" s="576">
        <f t="shared" si="112"/>
        <v>0</v>
      </c>
      <c r="X276" s="576">
        <f t="shared" si="113"/>
        <v>39564</v>
      </c>
      <c r="Y276" s="581">
        <f t="shared" si="114"/>
        <v>-8.3402835696413713E-2</v>
      </c>
      <c r="Z276" s="577">
        <f t="shared" si="120"/>
        <v>2.2237252655659498E-2</v>
      </c>
      <c r="AA276" s="577">
        <f t="shared" ref="AA276" si="130">AA277</f>
        <v>0.2262397872228567</v>
      </c>
      <c r="AB276" s="582"/>
      <c r="AC276" s="576">
        <v>1099</v>
      </c>
      <c r="AD276" s="576">
        <f t="shared" si="115"/>
        <v>39564</v>
      </c>
      <c r="AE276" s="711">
        <f>AD276/AD278</f>
        <v>0.88037383177570094</v>
      </c>
      <c r="AF276" s="580">
        <v>0</v>
      </c>
      <c r="AG276" s="576">
        <f t="shared" si="116"/>
        <v>0</v>
      </c>
      <c r="AH276" s="709">
        <f t="shared" si="117"/>
        <v>39564</v>
      </c>
      <c r="AI276" s="709">
        <f t="shared" si="118"/>
        <v>0</v>
      </c>
      <c r="AJ276" s="577">
        <f t="shared" si="119"/>
        <v>0</v>
      </c>
      <c r="AK276" s="582">
        <f t="shared" si="121"/>
        <v>2.2237252655659498E-2</v>
      </c>
      <c r="AL276" s="582" t="e">
        <f t="shared" si="127"/>
        <v>#REF!</v>
      </c>
      <c r="AM276" s="580"/>
      <c r="AN276" s="576"/>
      <c r="AO276" s="580"/>
    </row>
    <row r="277" spans="2:41" s="436" customFormat="1" ht="14" hidden="1">
      <c r="B277" s="800">
        <v>2605</v>
      </c>
      <c r="C277" s="1392" t="s">
        <v>211</v>
      </c>
      <c r="D277" s="1392"/>
      <c r="E277" s="1392"/>
      <c r="F277" s="1392" t="s">
        <v>87</v>
      </c>
      <c r="G277" s="566" t="s">
        <v>389</v>
      </c>
      <c r="H277" s="566"/>
      <c r="I277" s="566" t="s">
        <v>389</v>
      </c>
      <c r="J277" s="566">
        <v>3</v>
      </c>
      <c r="K277" s="566" t="s">
        <v>288</v>
      </c>
      <c r="L277" s="566">
        <v>12</v>
      </c>
      <c r="M277" s="576">
        <v>999</v>
      </c>
      <c r="N277" s="576">
        <f t="shared" si="122"/>
        <v>35964</v>
      </c>
      <c r="O277" s="566">
        <v>12</v>
      </c>
      <c r="P277" s="577">
        <f>IFERROR(_xlfn.XLOOKUP(F277,'[4]By Model'!$A:$A,'[4]By Model'!$K:$K),"")</f>
        <v>6.3938670503866354E-2</v>
      </c>
      <c r="Q277" s="578">
        <f>IFERROR(_xlfn.XLOOKUP(F277,'[5]By Model'!$A:$A,'[5]By Model'!$B:$B),"")</f>
        <v>31</v>
      </c>
      <c r="R277" s="579">
        <f>IFERROR(_xlfn.XLOOKUP(F277,'[4]By Model'!$A:$A,'[4]By Model'!$I:$I),"")</f>
        <v>938.04413369411759</v>
      </c>
      <c r="S277" s="578" t="str">
        <f>IFERROR(_xlfn.XLOOKUP(F277,[6]Sum!$G:$G,[6]Sum!$AM:$AM),"")</f>
        <v/>
      </c>
      <c r="T277" s="576">
        <v>999</v>
      </c>
      <c r="U277" s="576">
        <f t="shared" si="111"/>
        <v>35964</v>
      </c>
      <c r="V277" s="580">
        <v>0</v>
      </c>
      <c r="W277" s="576">
        <f t="shared" si="112"/>
        <v>0</v>
      </c>
      <c r="X277" s="576">
        <f t="shared" si="113"/>
        <v>35964</v>
      </c>
      <c r="Y277" s="581">
        <f t="shared" si="114"/>
        <v>0</v>
      </c>
      <c r="Z277" s="577">
        <f t="shared" si="120"/>
        <v>6.3938670503866354E-2</v>
      </c>
      <c r="AA277" s="577">
        <v>0.2262397872228567</v>
      </c>
      <c r="AB277" s="582"/>
      <c r="AC277" s="576">
        <v>999</v>
      </c>
      <c r="AD277" s="576">
        <f t="shared" si="115"/>
        <v>35964</v>
      </c>
      <c r="AE277" s="711">
        <f>AD277/AD279</f>
        <v>0.85751072961373387</v>
      </c>
      <c r="AF277" s="580">
        <v>0</v>
      </c>
      <c r="AG277" s="576">
        <f t="shared" si="116"/>
        <v>0</v>
      </c>
      <c r="AH277" s="709">
        <f t="shared" si="117"/>
        <v>35964</v>
      </c>
      <c r="AI277" s="709">
        <f t="shared" si="118"/>
        <v>0</v>
      </c>
      <c r="AJ277" s="577">
        <f t="shared" si="119"/>
        <v>0</v>
      </c>
      <c r="AK277" s="582">
        <f t="shared" si="121"/>
        <v>6.3938670503866354E-2</v>
      </c>
      <c r="AL277" s="582" t="e">
        <f t="shared" si="127"/>
        <v>#REF!</v>
      </c>
      <c r="AM277" s="580" t="e">
        <f>VLOOKUP(F277,[7]PRM!E:R,14,FALSE)</f>
        <v>#N/A</v>
      </c>
      <c r="AN277" s="576" t="e">
        <f>T277-#REF!</f>
        <v>#REF!</v>
      </c>
      <c r="AO277" s="580"/>
    </row>
    <row r="278" spans="2:41" s="436" customFormat="1" ht="14">
      <c r="B278" s="800">
        <v>2605</v>
      </c>
      <c r="C278" s="1392" t="s">
        <v>211</v>
      </c>
      <c r="D278" s="1392"/>
      <c r="E278" s="1392"/>
      <c r="F278" s="1392" t="s">
        <v>87</v>
      </c>
      <c r="G278" s="566" t="s">
        <v>389</v>
      </c>
      <c r="H278" s="566"/>
      <c r="I278" s="566" t="s">
        <v>389</v>
      </c>
      <c r="J278" s="566">
        <v>5</v>
      </c>
      <c r="K278" s="566" t="s">
        <v>286</v>
      </c>
      <c r="L278" s="566">
        <v>12</v>
      </c>
      <c r="M278" s="576">
        <v>699</v>
      </c>
      <c r="N278" s="576">
        <f t="shared" si="122"/>
        <v>41940</v>
      </c>
      <c r="O278" s="566">
        <v>12</v>
      </c>
      <c r="P278" s="577">
        <f>IFERROR(_xlfn.XLOOKUP(F278,'[4]By Model'!$A:$A,'[4]By Model'!$K:$K),"")</f>
        <v>6.3938670503866354E-2</v>
      </c>
      <c r="Q278" s="578">
        <f>IFERROR(_xlfn.XLOOKUP(F278,'[5]By Model'!$A:$A,'[5]By Model'!$B:$B),"")</f>
        <v>31</v>
      </c>
      <c r="R278" s="579">
        <f>IFERROR(_xlfn.XLOOKUP(F278,'[4]By Model'!$A:$A,'[4]By Model'!$I:$I),"")</f>
        <v>938.04413369411759</v>
      </c>
      <c r="S278" s="578" t="str">
        <f>IFERROR(_xlfn.XLOOKUP(F278,[6]Sum!$G:$G,[6]Sum!$AM:$AM),"")</f>
        <v/>
      </c>
      <c r="T278" s="576">
        <v>699</v>
      </c>
      <c r="U278" s="576">
        <f t="shared" si="111"/>
        <v>41940</v>
      </c>
      <c r="V278" s="580">
        <v>0</v>
      </c>
      <c r="W278" s="576">
        <f t="shared" si="112"/>
        <v>0</v>
      </c>
      <c r="X278" s="576">
        <f t="shared" si="113"/>
        <v>41940</v>
      </c>
      <c r="Y278" s="581">
        <f t="shared" si="114"/>
        <v>0</v>
      </c>
      <c r="Z278" s="577">
        <f t="shared" si="120"/>
        <v>6.3938670503866354E-2</v>
      </c>
      <c r="AA278" s="577">
        <v>0.21863756007439133</v>
      </c>
      <c r="AB278" s="582"/>
      <c r="AC278" s="576">
        <v>749</v>
      </c>
      <c r="AD278" s="576">
        <f t="shared" si="115"/>
        <v>44940</v>
      </c>
      <c r="AE278" s="711"/>
      <c r="AF278" s="583">
        <v>0</v>
      </c>
      <c r="AG278" s="576">
        <f t="shared" si="116"/>
        <v>0</v>
      </c>
      <c r="AH278" s="709">
        <f t="shared" si="117"/>
        <v>44940</v>
      </c>
      <c r="AI278" s="709">
        <f t="shared" si="118"/>
        <v>3000</v>
      </c>
      <c r="AJ278" s="577">
        <f t="shared" si="119"/>
        <v>7.1530758226037203E-2</v>
      </c>
      <c r="AK278" s="582">
        <f t="shared" si="121"/>
        <v>9.9704049616884949E-2</v>
      </c>
      <c r="AL278" s="582" t="e">
        <f t="shared" si="127"/>
        <v>#REF!</v>
      </c>
      <c r="AM278" s="580" t="e">
        <f>VLOOKUP(F278,[7]PRM!E:R,14,FALSE)</f>
        <v>#N/A</v>
      </c>
      <c r="AN278" s="576" t="e">
        <f>T278-#REF!</f>
        <v>#REF!</v>
      </c>
      <c r="AO278" s="580"/>
    </row>
    <row r="279" spans="2:41" s="436" customFormat="1" ht="14">
      <c r="B279" s="800">
        <v>2605</v>
      </c>
      <c r="C279" s="1392" t="s">
        <v>211</v>
      </c>
      <c r="D279" s="1392"/>
      <c r="E279" s="1392"/>
      <c r="F279" s="1392" t="s">
        <v>87</v>
      </c>
      <c r="G279" s="566" t="s">
        <v>389</v>
      </c>
      <c r="H279" s="566"/>
      <c r="I279" s="566" t="s">
        <v>389</v>
      </c>
      <c r="J279" s="566">
        <v>5</v>
      </c>
      <c r="K279" s="566" t="s">
        <v>288</v>
      </c>
      <c r="L279" s="566">
        <v>12</v>
      </c>
      <c r="M279" s="576">
        <v>649</v>
      </c>
      <c r="N279" s="576">
        <f t="shared" si="122"/>
        <v>38940</v>
      </c>
      <c r="O279" s="566">
        <v>12</v>
      </c>
      <c r="P279" s="577">
        <f>IFERROR(_xlfn.XLOOKUP(F279,'[4]By Model'!$A:$A,'[4]By Model'!$K:$K),"")</f>
        <v>6.3938670503866354E-2</v>
      </c>
      <c r="Q279" s="578">
        <f>IFERROR(_xlfn.XLOOKUP(F279,'[5]By Model'!$A:$A,'[5]By Model'!$B:$B),"")</f>
        <v>31</v>
      </c>
      <c r="R279" s="579">
        <f>IFERROR(_xlfn.XLOOKUP(F279,'[4]By Model'!$A:$A,'[4]By Model'!$I:$I),"")</f>
        <v>938.04413369411759</v>
      </c>
      <c r="S279" s="578" t="str">
        <f>IFERROR(_xlfn.XLOOKUP(F279,[6]Sum!$G:$G,[6]Sum!$AM:$AM),"")</f>
        <v/>
      </c>
      <c r="T279" s="576">
        <v>649</v>
      </c>
      <c r="U279" s="576">
        <f t="shared" si="111"/>
        <v>38940</v>
      </c>
      <c r="V279" s="580">
        <v>0</v>
      </c>
      <c r="W279" s="576">
        <f t="shared" si="112"/>
        <v>0</v>
      </c>
      <c r="X279" s="576">
        <f t="shared" si="113"/>
        <v>38940</v>
      </c>
      <c r="Y279" s="581">
        <f t="shared" si="114"/>
        <v>0</v>
      </c>
      <c r="Z279" s="577">
        <f t="shared" si="120"/>
        <v>6.3938670503866354E-2</v>
      </c>
      <c r="AA279" s="577">
        <v>0.2262397872228567</v>
      </c>
      <c r="AB279" s="582"/>
      <c r="AC279" s="576">
        <v>699</v>
      </c>
      <c r="AD279" s="576">
        <f t="shared" si="115"/>
        <v>41940</v>
      </c>
      <c r="AE279" s="711"/>
      <c r="AF279" s="583">
        <v>0</v>
      </c>
      <c r="AG279" s="576">
        <f t="shared" si="116"/>
        <v>0</v>
      </c>
      <c r="AH279" s="709">
        <f t="shared" si="117"/>
        <v>41940</v>
      </c>
      <c r="AI279" s="709">
        <f t="shared" si="118"/>
        <v>3000</v>
      </c>
      <c r="AJ279" s="577">
        <f t="shared" si="119"/>
        <v>7.7041602465331274E-2</v>
      </c>
      <c r="AK279" s="582">
        <f t="shared" si="121"/>
        <v>0.102459471736532</v>
      </c>
      <c r="AL279" s="582" t="e">
        <f t="shared" si="127"/>
        <v>#REF!</v>
      </c>
      <c r="AM279" s="580" t="e">
        <f>VLOOKUP(F279,[7]PRM!E:R,14,FALSE)</f>
        <v>#N/A</v>
      </c>
      <c r="AN279" s="576" t="e">
        <f>T279-#REF!</f>
        <v>#REF!</v>
      </c>
      <c r="AO279" s="580"/>
    </row>
    <row r="280" spans="2:41" s="436" customFormat="1" ht="14">
      <c r="B280" s="800">
        <v>2605</v>
      </c>
      <c r="C280" s="1392" t="s">
        <v>211</v>
      </c>
      <c r="D280" s="1392"/>
      <c r="E280" s="1392"/>
      <c r="F280" s="1392" t="s">
        <v>87</v>
      </c>
      <c r="G280" s="566" t="s">
        <v>389</v>
      </c>
      <c r="H280" s="566"/>
      <c r="I280" s="566" t="s">
        <v>389</v>
      </c>
      <c r="J280" s="566">
        <v>6</v>
      </c>
      <c r="K280" s="566" t="s">
        <v>286</v>
      </c>
      <c r="L280" s="566">
        <v>12</v>
      </c>
      <c r="M280" s="576">
        <v>649</v>
      </c>
      <c r="N280" s="576">
        <f t="shared" si="122"/>
        <v>46728</v>
      </c>
      <c r="O280" s="566">
        <v>12</v>
      </c>
      <c r="P280" s="577">
        <f>IFERROR(_xlfn.XLOOKUP(F280,'[4]By Model'!$A:$A,'[4]By Model'!$K:$K),"")</f>
        <v>6.3938670503866354E-2</v>
      </c>
      <c r="Q280" s="578">
        <f>IFERROR(_xlfn.XLOOKUP(F280,'[5]By Model'!$A:$A,'[5]By Model'!$B:$B),"")</f>
        <v>31</v>
      </c>
      <c r="R280" s="579">
        <f>IFERROR(_xlfn.XLOOKUP(F280,'[4]By Model'!$A:$A,'[4]By Model'!$I:$I),"")</f>
        <v>938.04413369411759</v>
      </c>
      <c r="S280" s="578" t="str">
        <f>IFERROR(_xlfn.XLOOKUP(F280,[6]Sum!$G:$G,[6]Sum!$AM:$AM),"")</f>
        <v/>
      </c>
      <c r="T280" s="576">
        <v>649</v>
      </c>
      <c r="U280" s="576">
        <f t="shared" si="111"/>
        <v>46728</v>
      </c>
      <c r="V280" s="580">
        <v>0</v>
      </c>
      <c r="W280" s="576">
        <f t="shared" si="112"/>
        <v>0</v>
      </c>
      <c r="X280" s="576">
        <f t="shared" si="113"/>
        <v>46728</v>
      </c>
      <c r="Y280" s="581">
        <f t="shared" si="114"/>
        <v>0</v>
      </c>
      <c r="Z280" s="577">
        <f t="shared" si="120"/>
        <v>6.3938670503866354E-2</v>
      </c>
      <c r="AA280" s="577">
        <v>0.2262397872228567</v>
      </c>
      <c r="AB280" s="582"/>
      <c r="AC280" s="576">
        <v>699</v>
      </c>
      <c r="AD280" s="576">
        <f t="shared" si="115"/>
        <v>50328</v>
      </c>
      <c r="AE280" s="576"/>
      <c r="AF280" s="583">
        <v>0</v>
      </c>
      <c r="AG280" s="576">
        <f t="shared" si="116"/>
        <v>0</v>
      </c>
      <c r="AH280" s="709">
        <f t="shared" si="117"/>
        <v>50328</v>
      </c>
      <c r="AI280" s="709">
        <f t="shared" si="118"/>
        <v>3600</v>
      </c>
      <c r="AJ280" s="577">
        <f t="shared" si="119"/>
        <v>7.7041602465331274E-2</v>
      </c>
      <c r="AK280" s="582">
        <f t="shared" si="121"/>
        <v>0.102459471736532</v>
      </c>
      <c r="AL280" s="582" t="e">
        <f t="shared" si="127"/>
        <v>#REF!</v>
      </c>
      <c r="AM280" s="580" t="e">
        <f>VLOOKUP(F280,[7]PRM!E:R,14,FALSE)</f>
        <v>#N/A</v>
      </c>
      <c r="AN280" s="576" t="e">
        <f>T280-#REF!</f>
        <v>#REF!</v>
      </c>
      <c r="AO280" s="580"/>
    </row>
    <row r="281" spans="2:41" s="436" customFormat="1" ht="14">
      <c r="B281" s="801">
        <v>2605</v>
      </c>
      <c r="C281" s="1393" t="s">
        <v>211</v>
      </c>
      <c r="D281" s="1393"/>
      <c r="E281" s="1393"/>
      <c r="F281" s="1393" t="s">
        <v>87</v>
      </c>
      <c r="G281" s="566" t="s">
        <v>389</v>
      </c>
      <c r="H281" s="566"/>
      <c r="I281" s="566" t="s">
        <v>389</v>
      </c>
      <c r="J281" s="566">
        <v>6</v>
      </c>
      <c r="K281" s="566" t="s">
        <v>288</v>
      </c>
      <c r="L281" s="566">
        <v>12</v>
      </c>
      <c r="M281" s="576">
        <v>599</v>
      </c>
      <c r="N281" s="576">
        <f t="shared" si="122"/>
        <v>43128</v>
      </c>
      <c r="O281" s="566">
        <v>12</v>
      </c>
      <c r="P281" s="577">
        <f>IFERROR(_xlfn.XLOOKUP(F281,'[4]By Model'!$A:$A,'[4]By Model'!$K:$K),"")</f>
        <v>6.3938670503866354E-2</v>
      </c>
      <c r="Q281" s="578">
        <f>IFERROR(_xlfn.XLOOKUP(F281,'[5]By Model'!$A:$A,'[5]By Model'!$B:$B),"")</f>
        <v>31</v>
      </c>
      <c r="R281" s="579">
        <f>IFERROR(_xlfn.XLOOKUP(F281,'[4]By Model'!$A:$A,'[4]By Model'!$I:$I),"")</f>
        <v>938.04413369411759</v>
      </c>
      <c r="S281" s="578" t="str">
        <f>IFERROR(_xlfn.XLOOKUP(F281,[6]Sum!$G:$G,[6]Sum!$AM:$AM),"")</f>
        <v/>
      </c>
      <c r="T281" s="576">
        <v>599</v>
      </c>
      <c r="U281" s="576">
        <f t="shared" si="111"/>
        <v>43128</v>
      </c>
      <c r="V281" s="580">
        <v>0</v>
      </c>
      <c r="W281" s="576">
        <f t="shared" si="112"/>
        <v>0</v>
      </c>
      <c r="X281" s="576">
        <f t="shared" si="113"/>
        <v>43128</v>
      </c>
      <c r="Y281" s="581">
        <f t="shared" si="114"/>
        <v>0</v>
      </c>
      <c r="Z281" s="577">
        <f t="shared" si="120"/>
        <v>6.3938670503866354E-2</v>
      </c>
      <c r="AA281" s="577">
        <v>0.23536550678584428</v>
      </c>
      <c r="AB281" s="582"/>
      <c r="AC281" s="576">
        <v>649</v>
      </c>
      <c r="AD281" s="576">
        <f t="shared" si="115"/>
        <v>46728</v>
      </c>
      <c r="AE281" s="576"/>
      <c r="AF281" s="583">
        <v>0</v>
      </c>
      <c r="AG281" s="576">
        <f t="shared" si="116"/>
        <v>0</v>
      </c>
      <c r="AH281" s="709">
        <f t="shared" si="117"/>
        <v>46728</v>
      </c>
      <c r="AI281" s="709">
        <f t="shared" si="118"/>
        <v>3600</v>
      </c>
      <c r="AJ281" s="577">
        <f t="shared" si="119"/>
        <v>8.347245409015025E-2</v>
      </c>
      <c r="AK281" s="582">
        <f t="shared" si="121"/>
        <v>0.10567489754894148</v>
      </c>
      <c r="AL281" s="582" t="e">
        <f t="shared" si="127"/>
        <v>#REF!</v>
      </c>
      <c r="AM281" s="580" t="e">
        <f>VLOOKUP(F281,[7]PRM!E:R,14,FALSE)</f>
        <v>#N/A</v>
      </c>
      <c r="AN281" s="576" t="e">
        <f>T281-#REF!</f>
        <v>#REF!</v>
      </c>
      <c r="AO281" s="580"/>
    </row>
    <row r="282" spans="2:41" s="436" customFormat="1" ht="14" hidden="1">
      <c r="B282" s="799">
        <v>2605</v>
      </c>
      <c r="C282" s="1391" t="str">
        <f t="shared" ref="C282" si="131">C283</f>
        <v>W/M</v>
      </c>
      <c r="D282" s="1391" t="s">
        <v>308</v>
      </c>
      <c r="E282" s="1391"/>
      <c r="F282" s="1391" t="s">
        <v>457</v>
      </c>
      <c r="G282" s="585" t="s">
        <v>55</v>
      </c>
      <c r="H282" s="585"/>
      <c r="I282" s="585" t="s">
        <v>389</v>
      </c>
      <c r="J282" s="585">
        <v>3</v>
      </c>
      <c r="K282" s="585" t="s">
        <v>286</v>
      </c>
      <c r="L282" s="585">
        <f t="shared" ref="L282:O282" si="132">L283</f>
        <v>12</v>
      </c>
      <c r="M282" s="595">
        <v>2849</v>
      </c>
      <c r="N282" s="576">
        <f t="shared" si="122"/>
        <v>102564</v>
      </c>
      <c r="O282" s="585">
        <f t="shared" si="132"/>
        <v>12</v>
      </c>
      <c r="P282" s="577">
        <f>IFERROR(_xlfn.XLOOKUP(G282,'[4]By Model'!$A:$A,'[4]By Model'!$K:$K),"")</f>
        <v>0.21154125799705098</v>
      </c>
      <c r="Q282" s="578">
        <f>IFERROR(_xlfn.XLOOKUP(G282,'[5]By Model'!$A:$A,'[5]By Model'!$B:$B),"")</f>
        <v>95</v>
      </c>
      <c r="R282" s="579">
        <f>IFERROR(_xlfn.XLOOKUP($F$386,'[4]By Model'!$A:$A,'[4]By Model'!$I:$I),"")</f>
        <v>2146.3567151421053</v>
      </c>
      <c r="S282" s="578" t="str">
        <f>IFERROR(_xlfn.XLOOKUP(F282,[6]Sum!$G:$G,[6]Sum!$AM:$AM),"")</f>
        <v/>
      </c>
      <c r="T282" s="595">
        <v>2399</v>
      </c>
      <c r="U282" s="576">
        <f t="shared" si="111"/>
        <v>86364</v>
      </c>
      <c r="V282" s="580">
        <v>0</v>
      </c>
      <c r="W282" s="576">
        <f t="shared" si="112"/>
        <v>0</v>
      </c>
      <c r="X282" s="576">
        <f t="shared" si="113"/>
        <v>86364</v>
      </c>
      <c r="Y282" s="581">
        <f t="shared" si="114"/>
        <v>-0.15795015795015799</v>
      </c>
      <c r="Z282" s="577">
        <f t="shared" si="120"/>
        <v>0.13256617902197199</v>
      </c>
      <c r="AA282" s="591">
        <f t="shared" ref="AA282" si="133">AA283</f>
        <v>0.32424260997575394</v>
      </c>
      <c r="AB282" s="597"/>
      <c r="AC282" s="595">
        <v>2399</v>
      </c>
      <c r="AD282" s="576">
        <f t="shared" si="115"/>
        <v>86364</v>
      </c>
      <c r="AE282" s="711">
        <f>AD282/AD284</f>
        <v>0.900187617260788</v>
      </c>
      <c r="AF282" s="580">
        <v>0</v>
      </c>
      <c r="AG282" s="576">
        <f t="shared" si="116"/>
        <v>0</v>
      </c>
      <c r="AH282" s="709">
        <f t="shared" si="117"/>
        <v>86364</v>
      </c>
      <c r="AI282" s="709">
        <f t="shared" si="118"/>
        <v>0</v>
      </c>
      <c r="AJ282" s="577">
        <f t="shared" si="119"/>
        <v>0</v>
      </c>
      <c r="AK282" s="582">
        <f t="shared" si="121"/>
        <v>0.13256617902197199</v>
      </c>
      <c r="AL282" s="597" t="e">
        <f t="shared" si="127"/>
        <v>#REF!</v>
      </c>
      <c r="AM282" s="594"/>
      <c r="AN282" s="595"/>
      <c r="AO282" s="594"/>
    </row>
    <row r="283" spans="2:41" s="436" customFormat="1" ht="14" hidden="1">
      <c r="B283" s="800">
        <v>2605</v>
      </c>
      <c r="C283" s="1392" t="s">
        <v>211</v>
      </c>
      <c r="D283" s="1392" t="s">
        <v>308</v>
      </c>
      <c r="E283" s="1392"/>
      <c r="F283" s="1392" t="s">
        <v>457</v>
      </c>
      <c r="G283" s="585" t="s">
        <v>55</v>
      </c>
      <c r="H283" s="585"/>
      <c r="I283" s="585" t="s">
        <v>389</v>
      </c>
      <c r="J283" s="585">
        <v>3</v>
      </c>
      <c r="K283" s="585" t="s">
        <v>288</v>
      </c>
      <c r="L283" s="585">
        <v>12</v>
      </c>
      <c r="M283" s="576">
        <v>2499</v>
      </c>
      <c r="N283" s="576">
        <f t="shared" si="122"/>
        <v>89964</v>
      </c>
      <c r="O283" s="585">
        <v>12</v>
      </c>
      <c r="P283" s="577">
        <f>IFERROR(_xlfn.XLOOKUP(G283,'[4]By Model'!$A:$A,'[4]By Model'!$K:$K),"")</f>
        <v>0.21154125799705098</v>
      </c>
      <c r="Q283" s="578">
        <f>IFERROR(_xlfn.XLOOKUP(G283,'[5]By Model'!$A:$A,'[5]By Model'!$B:$B),"")</f>
        <v>95</v>
      </c>
      <c r="R283" s="579">
        <f>IFERROR(_xlfn.XLOOKUP($F$386,'[4]By Model'!$A:$A,'[4]By Model'!$I:$I),"")</f>
        <v>2146.3567151421053</v>
      </c>
      <c r="S283" s="578" t="str">
        <f>IFERROR(_xlfn.XLOOKUP(F283,[6]Sum!$G:$G,[6]Sum!$AM:$AM),"")</f>
        <v/>
      </c>
      <c r="T283" s="595">
        <v>2349</v>
      </c>
      <c r="U283" s="576">
        <f t="shared" si="111"/>
        <v>84564</v>
      </c>
      <c r="V283" s="594">
        <v>0</v>
      </c>
      <c r="W283" s="576">
        <f t="shared" si="112"/>
        <v>0</v>
      </c>
      <c r="X283" s="576">
        <f t="shared" si="113"/>
        <v>84564</v>
      </c>
      <c r="Y283" s="581">
        <f t="shared" si="114"/>
        <v>-6.0024009603841577E-2</v>
      </c>
      <c r="Z283" s="577">
        <f t="shared" si="120"/>
        <v>0.18152925319513019</v>
      </c>
      <c r="AA283" s="591">
        <v>0.32424260997575394</v>
      </c>
      <c r="AB283" s="597"/>
      <c r="AC283" s="595">
        <v>2349</v>
      </c>
      <c r="AD283" s="576">
        <f t="shared" si="115"/>
        <v>84564</v>
      </c>
      <c r="AE283" s="711">
        <f>AD283/AD285</f>
        <v>0.94022681787858575</v>
      </c>
      <c r="AF283" s="580">
        <v>0</v>
      </c>
      <c r="AG283" s="576">
        <f t="shared" si="116"/>
        <v>0</v>
      </c>
      <c r="AH283" s="709">
        <f t="shared" si="117"/>
        <v>84564</v>
      </c>
      <c r="AI283" s="709">
        <f t="shared" si="118"/>
        <v>0</v>
      </c>
      <c r="AJ283" s="577">
        <f t="shared" si="119"/>
        <v>0</v>
      </c>
      <c r="AK283" s="582">
        <f t="shared" si="121"/>
        <v>0.18152925319513019</v>
      </c>
      <c r="AL283" s="597" t="e">
        <f t="shared" si="127"/>
        <v>#REF!</v>
      </c>
      <c r="AM283" s="594" t="e">
        <f>VLOOKUP(F283,[7]PRM!E:R,14,FALSE)</f>
        <v>#N/A</v>
      </c>
      <c r="AN283" s="595" t="e">
        <f>T283-#REF!</f>
        <v>#REF!</v>
      </c>
      <c r="AO283" s="594"/>
    </row>
    <row r="284" spans="2:41" s="436" customFormat="1" ht="14">
      <c r="B284" s="800">
        <v>2605</v>
      </c>
      <c r="C284" s="1392" t="s">
        <v>211</v>
      </c>
      <c r="D284" s="1392" t="s">
        <v>308</v>
      </c>
      <c r="E284" s="1392"/>
      <c r="F284" s="1392" t="s">
        <v>457</v>
      </c>
      <c r="G284" s="585" t="s">
        <v>55</v>
      </c>
      <c r="H284" s="585"/>
      <c r="I284" s="585" t="s">
        <v>389</v>
      </c>
      <c r="J284" s="585">
        <v>5</v>
      </c>
      <c r="K284" s="585" t="s">
        <v>286</v>
      </c>
      <c r="L284" s="585">
        <v>12</v>
      </c>
      <c r="M284" s="595">
        <v>1599</v>
      </c>
      <c r="N284" s="576">
        <f t="shared" si="122"/>
        <v>95940</v>
      </c>
      <c r="O284" s="585">
        <v>12</v>
      </c>
      <c r="P284" s="577">
        <f>IFERROR(_xlfn.XLOOKUP(G284,'[4]By Model'!$A:$A,'[4]By Model'!$K:$K),"")</f>
        <v>0.21154125799705098</v>
      </c>
      <c r="Q284" s="578">
        <f>IFERROR(_xlfn.XLOOKUP(G284,'[5]By Model'!$A:$A,'[5]By Model'!$B:$B),"")</f>
        <v>95</v>
      </c>
      <c r="R284" s="579">
        <f>IFERROR(_xlfn.XLOOKUP($F$386,'[4]By Model'!$A:$A,'[4]By Model'!$I:$I),"")</f>
        <v>2146.3567151421053</v>
      </c>
      <c r="S284" s="578" t="str">
        <f>IFERROR(_xlfn.XLOOKUP(F284,[6]Sum!$G:$G,[6]Sum!$AM:$AM),"")</f>
        <v/>
      </c>
      <c r="T284" s="595">
        <v>1599</v>
      </c>
      <c r="U284" s="576">
        <f t="shared" si="111"/>
        <v>95940</v>
      </c>
      <c r="V284" s="594">
        <v>6</v>
      </c>
      <c r="W284" s="576">
        <f t="shared" si="112"/>
        <v>4797</v>
      </c>
      <c r="X284" s="576">
        <f t="shared" si="113"/>
        <v>91143</v>
      </c>
      <c r="Y284" s="581">
        <f t="shared" si="114"/>
        <v>-5.0000000000000044E-2</v>
      </c>
      <c r="Z284" s="577">
        <f t="shared" si="120"/>
        <v>0.18654125799705096</v>
      </c>
      <c r="AA284" s="591">
        <v>0.3202733989866281</v>
      </c>
      <c r="AB284" s="597"/>
      <c r="AC284" s="595">
        <v>1599</v>
      </c>
      <c r="AD284" s="576">
        <f t="shared" si="115"/>
        <v>95940</v>
      </c>
      <c r="AE284" s="711"/>
      <c r="AF284" s="598">
        <v>6</v>
      </c>
      <c r="AG284" s="576">
        <f t="shared" si="116"/>
        <v>4797</v>
      </c>
      <c r="AH284" s="709">
        <f t="shared" si="117"/>
        <v>91143</v>
      </c>
      <c r="AI284" s="709">
        <f t="shared" si="118"/>
        <v>0</v>
      </c>
      <c r="AJ284" s="577">
        <f t="shared" si="119"/>
        <v>0</v>
      </c>
      <c r="AK284" s="582">
        <f t="shared" si="121"/>
        <v>0.18654125799705096</v>
      </c>
      <c r="AL284" s="597" t="e">
        <f t="shared" si="127"/>
        <v>#REF!</v>
      </c>
      <c r="AM284" s="594" t="e">
        <f>VLOOKUP(F284,[7]PRM!E:R,14,FALSE)</f>
        <v>#N/A</v>
      </c>
      <c r="AN284" s="595" t="e">
        <f>T284-#REF!</f>
        <v>#REF!</v>
      </c>
      <c r="AO284" s="594"/>
    </row>
    <row r="285" spans="2:41" s="436" customFormat="1" ht="14">
      <c r="B285" s="800">
        <v>2605</v>
      </c>
      <c r="C285" s="1392" t="s">
        <v>211</v>
      </c>
      <c r="D285" s="1392" t="s">
        <v>308</v>
      </c>
      <c r="E285" s="1392"/>
      <c r="F285" s="1392" t="s">
        <v>457</v>
      </c>
      <c r="G285" s="585" t="s">
        <v>55</v>
      </c>
      <c r="H285" s="585"/>
      <c r="I285" s="585" t="s">
        <v>389</v>
      </c>
      <c r="J285" s="585">
        <v>5</v>
      </c>
      <c r="K285" s="585" t="s">
        <v>288</v>
      </c>
      <c r="L285" s="585">
        <v>12</v>
      </c>
      <c r="M285" s="595">
        <v>1499</v>
      </c>
      <c r="N285" s="576">
        <f t="shared" si="122"/>
        <v>89940</v>
      </c>
      <c r="O285" s="585">
        <v>12</v>
      </c>
      <c r="P285" s="577">
        <f>IFERROR(_xlfn.XLOOKUP(G285,'[4]By Model'!$A:$A,'[4]By Model'!$K:$K),"")</f>
        <v>0.21154125799705098</v>
      </c>
      <c r="Q285" s="578">
        <f>IFERROR(_xlfn.XLOOKUP(G285,'[5]By Model'!$A:$A,'[5]By Model'!$B:$B),"")</f>
        <v>95</v>
      </c>
      <c r="R285" s="579">
        <f>IFERROR(_xlfn.XLOOKUP($F$386,'[4]By Model'!$A:$A,'[4]By Model'!$I:$I),"")</f>
        <v>2146.3567151421053</v>
      </c>
      <c r="S285" s="578" t="str">
        <f>IFERROR(_xlfn.XLOOKUP(F285,[6]Sum!$G:$G,[6]Sum!$AM:$AM),"")</f>
        <v/>
      </c>
      <c r="T285" s="595">
        <v>1499</v>
      </c>
      <c r="U285" s="576">
        <f t="shared" si="111"/>
        <v>89940</v>
      </c>
      <c r="V285" s="594">
        <v>6</v>
      </c>
      <c r="W285" s="576">
        <f t="shared" si="112"/>
        <v>4497</v>
      </c>
      <c r="X285" s="576">
        <f t="shared" si="113"/>
        <v>85443</v>
      </c>
      <c r="Y285" s="581">
        <f t="shared" si="114"/>
        <v>-5.0000000000000044E-2</v>
      </c>
      <c r="Z285" s="577">
        <f t="shared" si="120"/>
        <v>0.18654125799705096</v>
      </c>
      <c r="AA285" s="591">
        <v>0.32424260997575394</v>
      </c>
      <c r="AB285" s="597"/>
      <c r="AC285" s="595">
        <v>1499</v>
      </c>
      <c r="AD285" s="576">
        <f t="shared" si="115"/>
        <v>89940</v>
      </c>
      <c r="AE285" s="711"/>
      <c r="AF285" s="598">
        <v>6</v>
      </c>
      <c r="AG285" s="576">
        <f t="shared" si="116"/>
        <v>4497</v>
      </c>
      <c r="AH285" s="709">
        <f t="shared" si="117"/>
        <v>85443</v>
      </c>
      <c r="AI285" s="709">
        <f t="shared" si="118"/>
        <v>0</v>
      </c>
      <c r="AJ285" s="577">
        <f t="shared" si="119"/>
        <v>0</v>
      </c>
      <c r="AK285" s="582">
        <f t="shared" si="121"/>
        <v>0.18654125799705096</v>
      </c>
      <c r="AL285" s="597" t="e">
        <f t="shared" si="127"/>
        <v>#REF!</v>
      </c>
      <c r="AM285" s="594" t="e">
        <f>VLOOKUP(F285,[7]PRM!E:R,14,FALSE)</f>
        <v>#N/A</v>
      </c>
      <c r="AN285" s="595" t="e">
        <f>T285-#REF!</f>
        <v>#REF!</v>
      </c>
      <c r="AO285" s="594"/>
    </row>
    <row r="286" spans="2:41" s="436" customFormat="1" ht="14">
      <c r="B286" s="800">
        <v>2605</v>
      </c>
      <c r="C286" s="1392" t="s">
        <v>211</v>
      </c>
      <c r="D286" s="1392" t="s">
        <v>308</v>
      </c>
      <c r="E286" s="1392"/>
      <c r="F286" s="1392" t="s">
        <v>457</v>
      </c>
      <c r="G286" s="585" t="s">
        <v>55</v>
      </c>
      <c r="H286" s="585"/>
      <c r="I286" s="585" t="s">
        <v>389</v>
      </c>
      <c r="J286" s="585">
        <v>6</v>
      </c>
      <c r="K286" s="585" t="s">
        <v>286</v>
      </c>
      <c r="L286" s="585">
        <v>12</v>
      </c>
      <c r="M286" s="595">
        <v>1399</v>
      </c>
      <c r="N286" s="576">
        <f t="shared" si="122"/>
        <v>100728</v>
      </c>
      <c r="O286" s="585">
        <v>12</v>
      </c>
      <c r="P286" s="577">
        <f>IFERROR(_xlfn.XLOOKUP(G286,'[4]By Model'!$A:$A,'[4]By Model'!$K:$K),"")</f>
        <v>0.21154125799705098</v>
      </c>
      <c r="Q286" s="578">
        <f>IFERROR(_xlfn.XLOOKUP(G286,'[5]By Model'!$A:$A,'[5]By Model'!$B:$B),"")</f>
        <v>95</v>
      </c>
      <c r="R286" s="579">
        <f>IFERROR(_xlfn.XLOOKUP($F$386,'[4]By Model'!$A:$A,'[4]By Model'!$I:$I),"")</f>
        <v>2146.3567151421053</v>
      </c>
      <c r="S286" s="578" t="str">
        <f>IFERROR(_xlfn.XLOOKUP(F286,[6]Sum!$G:$G,[6]Sum!$AM:$AM),"")</f>
        <v/>
      </c>
      <c r="T286" s="595">
        <v>1399</v>
      </c>
      <c r="U286" s="576">
        <f t="shared" si="111"/>
        <v>100728</v>
      </c>
      <c r="V286" s="594">
        <v>6</v>
      </c>
      <c r="W286" s="576">
        <f t="shared" si="112"/>
        <v>4197</v>
      </c>
      <c r="X286" s="576">
        <f t="shared" si="113"/>
        <v>96531</v>
      </c>
      <c r="Y286" s="581">
        <f t="shared" si="114"/>
        <v>-4.166666666666663E-2</v>
      </c>
      <c r="Z286" s="577">
        <f t="shared" si="120"/>
        <v>0.19070792466371767</v>
      </c>
      <c r="AA286" s="591">
        <v>0.3255367743903137</v>
      </c>
      <c r="AB286" s="597"/>
      <c r="AC286" s="595">
        <v>1399</v>
      </c>
      <c r="AD286" s="576">
        <f t="shared" si="115"/>
        <v>100728</v>
      </c>
      <c r="AE286" s="576"/>
      <c r="AF286" s="598">
        <v>6</v>
      </c>
      <c r="AG286" s="576">
        <f t="shared" si="116"/>
        <v>4197</v>
      </c>
      <c r="AH286" s="709">
        <f t="shared" si="117"/>
        <v>96531</v>
      </c>
      <c r="AI286" s="709">
        <f t="shared" si="118"/>
        <v>0</v>
      </c>
      <c r="AJ286" s="577">
        <f t="shared" si="119"/>
        <v>0</v>
      </c>
      <c r="AK286" s="582">
        <f t="shared" si="121"/>
        <v>0.19070792466371767</v>
      </c>
      <c r="AL286" s="597" t="e">
        <f t="shared" si="127"/>
        <v>#REF!</v>
      </c>
      <c r="AM286" s="594" t="e">
        <f>VLOOKUP(F286,[7]PRM!E:R,14,FALSE)</f>
        <v>#N/A</v>
      </c>
      <c r="AN286" s="595" t="e">
        <f>T286-#REF!</f>
        <v>#REF!</v>
      </c>
      <c r="AO286" s="594"/>
    </row>
    <row r="287" spans="2:41" s="436" customFormat="1" ht="14">
      <c r="B287" s="801">
        <v>2605</v>
      </c>
      <c r="C287" s="1393" t="s">
        <v>211</v>
      </c>
      <c r="D287" s="1393" t="s">
        <v>308</v>
      </c>
      <c r="E287" s="1393"/>
      <c r="F287" s="1393" t="s">
        <v>457</v>
      </c>
      <c r="G287" s="585" t="s">
        <v>55</v>
      </c>
      <c r="H287" s="585"/>
      <c r="I287" s="585" t="s">
        <v>389</v>
      </c>
      <c r="J287" s="585">
        <v>6</v>
      </c>
      <c r="K287" s="585" t="s">
        <v>288</v>
      </c>
      <c r="L287" s="585">
        <v>12</v>
      </c>
      <c r="M287" s="595">
        <v>1299</v>
      </c>
      <c r="N287" s="576">
        <f t="shared" si="122"/>
        <v>93528</v>
      </c>
      <c r="O287" s="585">
        <v>12</v>
      </c>
      <c r="P287" s="577">
        <f>IFERROR(_xlfn.XLOOKUP(G287,'[4]By Model'!$A:$A,'[4]By Model'!$K:$K),"")</f>
        <v>0.21154125799705098</v>
      </c>
      <c r="Q287" s="578">
        <f>IFERROR(_xlfn.XLOOKUP(G287,'[5]By Model'!$A:$A,'[5]By Model'!$B:$B),"")</f>
        <v>95</v>
      </c>
      <c r="R287" s="579">
        <f>IFERROR(_xlfn.XLOOKUP($F$386,'[4]By Model'!$A:$A,'[4]By Model'!$I:$I),"")</f>
        <v>2146.3567151421053</v>
      </c>
      <c r="S287" s="578" t="str">
        <f>IFERROR(_xlfn.XLOOKUP(F287,[6]Sum!$G:$G,[6]Sum!$AM:$AM),"")</f>
        <v/>
      </c>
      <c r="T287" s="595">
        <v>1299</v>
      </c>
      <c r="U287" s="576">
        <f t="shared" si="111"/>
        <v>93528</v>
      </c>
      <c r="V287" s="594">
        <v>6</v>
      </c>
      <c r="W287" s="576">
        <f t="shared" si="112"/>
        <v>3897</v>
      </c>
      <c r="X287" s="576">
        <f t="shared" si="113"/>
        <v>89631</v>
      </c>
      <c r="Y287" s="581">
        <f t="shared" si="114"/>
        <v>-4.166666666666663E-2</v>
      </c>
      <c r="Z287" s="577">
        <f t="shared" si="120"/>
        <v>0.19070792466371767</v>
      </c>
      <c r="AA287" s="591">
        <v>0.33091220491003714</v>
      </c>
      <c r="AB287" s="597"/>
      <c r="AC287" s="595">
        <v>1299</v>
      </c>
      <c r="AD287" s="576">
        <f t="shared" si="115"/>
        <v>93528</v>
      </c>
      <c r="AE287" s="576"/>
      <c r="AF287" s="598">
        <v>6</v>
      </c>
      <c r="AG287" s="576">
        <f t="shared" si="116"/>
        <v>3897</v>
      </c>
      <c r="AH287" s="709">
        <f t="shared" si="117"/>
        <v>89631</v>
      </c>
      <c r="AI287" s="709">
        <f t="shared" si="118"/>
        <v>0</v>
      </c>
      <c r="AJ287" s="577">
        <f t="shared" si="119"/>
        <v>0</v>
      </c>
      <c r="AK287" s="582">
        <f t="shared" si="121"/>
        <v>0.19070792466371767</v>
      </c>
      <c r="AL287" s="597" t="e">
        <f t="shared" si="127"/>
        <v>#REF!</v>
      </c>
      <c r="AM287" s="594" t="e">
        <f>VLOOKUP(F287,[7]PRM!E:R,14,FALSE)</f>
        <v>#N/A</v>
      </c>
      <c r="AN287" s="595" t="e">
        <f>T287-#REF!</f>
        <v>#REF!</v>
      </c>
      <c r="AO287" s="594"/>
    </row>
    <row r="288" spans="2:41" s="436" customFormat="1" ht="14" hidden="1">
      <c r="B288" s="799">
        <v>2605</v>
      </c>
      <c r="C288" s="1391" t="str">
        <f t="shared" ref="C288" si="134">C289</f>
        <v>W/M</v>
      </c>
      <c r="D288" s="1391" t="s">
        <v>308</v>
      </c>
      <c r="E288" s="1391"/>
      <c r="F288" s="1391" t="s">
        <v>473</v>
      </c>
      <c r="G288" s="585" t="s">
        <v>385</v>
      </c>
      <c r="H288" s="585"/>
      <c r="I288" s="585" t="s">
        <v>389</v>
      </c>
      <c r="J288" s="585">
        <v>3</v>
      </c>
      <c r="K288" s="585" t="s">
        <v>286</v>
      </c>
      <c r="L288" s="585">
        <f t="shared" ref="L288:O288" si="135">L289</f>
        <v>12</v>
      </c>
      <c r="M288" s="595">
        <v>2849</v>
      </c>
      <c r="N288" s="576">
        <f t="shared" si="122"/>
        <v>102564</v>
      </c>
      <c r="O288" s="585">
        <f t="shared" si="135"/>
        <v>12</v>
      </c>
      <c r="P288" s="577">
        <f>IFERROR(_xlfn.XLOOKUP(G288,'[4]By Model'!$A:$A,'[4]By Model'!$K:$K),"")</f>
        <v>0.22172904106208502</v>
      </c>
      <c r="Q288" s="578">
        <f>IFERROR(_xlfn.XLOOKUP(G288,'[5]By Model'!$A:$A,'[5]By Model'!$B:$B),"")</f>
        <v>19</v>
      </c>
      <c r="R288" s="579">
        <f>IFERROR(_xlfn.XLOOKUP($F$390,'[4]By Model'!$A:$A,'[4]By Model'!$I:$I),"")</f>
        <v>1865.4468022481481</v>
      </c>
      <c r="S288" s="578">
        <f>IFERROR(_xlfn.XLOOKUP(F288,[6]Sum!$G:$G,[6]Sum!$AM:$AM),"")</f>
        <v>4</v>
      </c>
      <c r="T288" s="595">
        <v>2399</v>
      </c>
      <c r="U288" s="576">
        <f t="shared" si="111"/>
        <v>86364</v>
      </c>
      <c r="V288" s="580">
        <v>0</v>
      </c>
      <c r="W288" s="576">
        <f t="shared" si="112"/>
        <v>0</v>
      </c>
      <c r="X288" s="576">
        <f t="shared" si="113"/>
        <v>86364</v>
      </c>
      <c r="Y288" s="581">
        <f t="shared" si="114"/>
        <v>-0.15795015795015799</v>
      </c>
      <c r="Z288" s="577">
        <f t="shared" si="120"/>
        <v>0.14275396208700603</v>
      </c>
      <c r="AA288" s="591">
        <f t="shared" ref="AA288" si="136">AA289</f>
        <v>0.3233376328581305</v>
      </c>
      <c r="AB288" s="597"/>
      <c r="AC288" s="595">
        <v>2399</v>
      </c>
      <c r="AD288" s="576">
        <f t="shared" si="115"/>
        <v>86364</v>
      </c>
      <c r="AE288" s="711">
        <f>AD288/AD290</f>
        <v>0.900187617260788</v>
      </c>
      <c r="AF288" s="580">
        <v>0</v>
      </c>
      <c r="AG288" s="576">
        <f t="shared" si="116"/>
        <v>0</v>
      </c>
      <c r="AH288" s="709">
        <f t="shared" si="117"/>
        <v>86364</v>
      </c>
      <c r="AI288" s="709">
        <f t="shared" si="118"/>
        <v>0</v>
      </c>
      <c r="AJ288" s="577">
        <f t="shared" si="119"/>
        <v>0</v>
      </c>
      <c r="AK288" s="582">
        <f t="shared" si="121"/>
        <v>0.14275396208700603</v>
      </c>
      <c r="AL288" s="597" t="e">
        <f t="shared" si="127"/>
        <v>#REF!</v>
      </c>
      <c r="AM288" s="594"/>
      <c r="AN288" s="595"/>
      <c r="AO288" s="594"/>
    </row>
    <row r="289" spans="2:41" s="436" customFormat="1" ht="14" hidden="1">
      <c r="B289" s="800">
        <v>2605</v>
      </c>
      <c r="C289" s="1392" t="s">
        <v>211</v>
      </c>
      <c r="D289" s="1392" t="s">
        <v>308</v>
      </c>
      <c r="E289" s="1392"/>
      <c r="F289" s="1392" t="s">
        <v>473</v>
      </c>
      <c r="G289" s="585" t="s">
        <v>385</v>
      </c>
      <c r="H289" s="585"/>
      <c r="I289" s="585" t="s">
        <v>389</v>
      </c>
      <c r="J289" s="585">
        <v>3</v>
      </c>
      <c r="K289" s="585" t="s">
        <v>288</v>
      </c>
      <c r="L289" s="585">
        <v>12</v>
      </c>
      <c r="M289" s="576">
        <v>2499</v>
      </c>
      <c r="N289" s="576">
        <f t="shared" si="122"/>
        <v>89964</v>
      </c>
      <c r="O289" s="585">
        <v>12</v>
      </c>
      <c r="P289" s="577">
        <f>IFERROR(_xlfn.XLOOKUP(G289,'[4]By Model'!$A:$A,'[4]By Model'!$K:$K),"")</f>
        <v>0.22172904106208502</v>
      </c>
      <c r="Q289" s="578">
        <f>IFERROR(_xlfn.XLOOKUP(G289,'[5]By Model'!$A:$A,'[5]By Model'!$B:$B),"")</f>
        <v>19</v>
      </c>
      <c r="R289" s="579">
        <f>IFERROR(_xlfn.XLOOKUP($F$390,'[4]By Model'!$A:$A,'[4]By Model'!$I:$I),"")</f>
        <v>1865.4468022481481</v>
      </c>
      <c r="S289" s="578">
        <f>IFERROR(_xlfn.XLOOKUP(F289,[6]Sum!$G:$G,[6]Sum!$AM:$AM),"")</f>
        <v>4</v>
      </c>
      <c r="T289" s="595">
        <v>2349</v>
      </c>
      <c r="U289" s="576">
        <f t="shared" si="111"/>
        <v>84564</v>
      </c>
      <c r="V289" s="594">
        <v>0</v>
      </c>
      <c r="W289" s="576">
        <f t="shared" si="112"/>
        <v>0</v>
      </c>
      <c r="X289" s="576">
        <f t="shared" si="113"/>
        <v>84564</v>
      </c>
      <c r="Y289" s="581">
        <f t="shared" si="114"/>
        <v>-6.0024009603841577E-2</v>
      </c>
      <c r="Z289" s="577">
        <f t="shared" si="120"/>
        <v>0.19171703626016423</v>
      </c>
      <c r="AA289" s="591">
        <v>0.3233376328581305</v>
      </c>
      <c r="AB289" s="597"/>
      <c r="AC289" s="595">
        <v>2349</v>
      </c>
      <c r="AD289" s="576">
        <f t="shared" si="115"/>
        <v>84564</v>
      </c>
      <c r="AE289" s="711">
        <f>AD289/AD291</f>
        <v>0.94022681787858575</v>
      </c>
      <c r="AF289" s="580">
        <v>0</v>
      </c>
      <c r="AG289" s="576">
        <f t="shared" si="116"/>
        <v>0</v>
      </c>
      <c r="AH289" s="709">
        <f t="shared" si="117"/>
        <v>84564</v>
      </c>
      <c r="AI289" s="709">
        <f t="shared" si="118"/>
        <v>0</v>
      </c>
      <c r="AJ289" s="577">
        <f t="shared" si="119"/>
        <v>0</v>
      </c>
      <c r="AK289" s="582">
        <f t="shared" si="121"/>
        <v>0.19171703626016423</v>
      </c>
      <c r="AL289" s="597" t="e">
        <f t="shared" si="127"/>
        <v>#REF!</v>
      </c>
      <c r="AM289" s="594" t="e">
        <f>VLOOKUP(F289,[7]PRM!E:R,14,FALSE)</f>
        <v>#N/A</v>
      </c>
      <c r="AN289" s="595" t="e">
        <f>T289-#REF!</f>
        <v>#REF!</v>
      </c>
      <c r="AO289" s="594"/>
    </row>
    <row r="290" spans="2:41" s="436" customFormat="1" ht="14">
      <c r="B290" s="800">
        <v>2605</v>
      </c>
      <c r="C290" s="1392" t="s">
        <v>211</v>
      </c>
      <c r="D290" s="1392" t="s">
        <v>308</v>
      </c>
      <c r="E290" s="1392"/>
      <c r="F290" s="1392" t="s">
        <v>473</v>
      </c>
      <c r="G290" s="585" t="s">
        <v>385</v>
      </c>
      <c r="H290" s="585"/>
      <c r="I290" s="585" t="s">
        <v>389</v>
      </c>
      <c r="J290" s="585">
        <v>5</v>
      </c>
      <c r="K290" s="585" t="s">
        <v>286</v>
      </c>
      <c r="L290" s="585">
        <v>12</v>
      </c>
      <c r="M290" s="595">
        <v>1599</v>
      </c>
      <c r="N290" s="576">
        <f t="shared" si="122"/>
        <v>95940</v>
      </c>
      <c r="O290" s="585">
        <v>12</v>
      </c>
      <c r="P290" s="577">
        <f>IFERROR(_xlfn.XLOOKUP(G290,'[4]By Model'!$A:$A,'[4]By Model'!$K:$K),"")</f>
        <v>0.22172904106208502</v>
      </c>
      <c r="Q290" s="578">
        <f>IFERROR(_xlfn.XLOOKUP(G290,'[5]By Model'!$A:$A,'[5]By Model'!$B:$B),"")</f>
        <v>19</v>
      </c>
      <c r="R290" s="579">
        <f>IFERROR(_xlfn.XLOOKUP($F$390,'[4]By Model'!$A:$A,'[4]By Model'!$I:$I),"")</f>
        <v>1865.4468022481481</v>
      </c>
      <c r="S290" s="578">
        <f>IFERROR(_xlfn.XLOOKUP(F290,[6]Sum!$G:$G,[6]Sum!$AM:$AM),"")</f>
        <v>4</v>
      </c>
      <c r="T290" s="595">
        <v>1599</v>
      </c>
      <c r="U290" s="576">
        <f t="shared" si="111"/>
        <v>95940</v>
      </c>
      <c r="V290" s="594">
        <v>6</v>
      </c>
      <c r="W290" s="576">
        <f t="shared" si="112"/>
        <v>4797</v>
      </c>
      <c r="X290" s="576">
        <f t="shared" si="113"/>
        <v>91143</v>
      </c>
      <c r="Y290" s="581">
        <f t="shared" si="114"/>
        <v>-5.0000000000000044E-2</v>
      </c>
      <c r="Z290" s="577">
        <f t="shared" si="120"/>
        <v>0.196729041062085</v>
      </c>
      <c r="AA290" s="591">
        <v>0.31936842186900466</v>
      </c>
      <c r="AB290" s="597"/>
      <c r="AC290" s="595">
        <v>1599</v>
      </c>
      <c r="AD290" s="576">
        <f t="shared" si="115"/>
        <v>95940</v>
      </c>
      <c r="AE290" s="711"/>
      <c r="AF290" s="598">
        <v>6</v>
      </c>
      <c r="AG290" s="576">
        <f t="shared" si="116"/>
        <v>4797</v>
      </c>
      <c r="AH290" s="709">
        <f t="shared" si="117"/>
        <v>91143</v>
      </c>
      <c r="AI290" s="709">
        <f t="shared" si="118"/>
        <v>0</v>
      </c>
      <c r="AJ290" s="577">
        <f t="shared" si="119"/>
        <v>0</v>
      </c>
      <c r="AK290" s="582">
        <f t="shared" si="121"/>
        <v>0.196729041062085</v>
      </c>
      <c r="AL290" s="597" t="e">
        <f t="shared" si="127"/>
        <v>#REF!</v>
      </c>
      <c r="AM290" s="594" t="e">
        <f>VLOOKUP(F290,[7]PRM!E:R,14,FALSE)</f>
        <v>#N/A</v>
      </c>
      <c r="AN290" s="595" t="e">
        <f>T290-#REF!</f>
        <v>#REF!</v>
      </c>
      <c r="AO290" s="594"/>
    </row>
    <row r="291" spans="2:41" s="436" customFormat="1" ht="14">
      <c r="B291" s="800">
        <v>2605</v>
      </c>
      <c r="C291" s="1392" t="s">
        <v>211</v>
      </c>
      <c r="D291" s="1392" t="s">
        <v>308</v>
      </c>
      <c r="E291" s="1392"/>
      <c r="F291" s="1392" t="s">
        <v>473</v>
      </c>
      <c r="G291" s="585" t="s">
        <v>385</v>
      </c>
      <c r="H291" s="585"/>
      <c r="I291" s="585" t="s">
        <v>389</v>
      </c>
      <c r="J291" s="585">
        <v>5</v>
      </c>
      <c r="K291" s="585" t="s">
        <v>288</v>
      </c>
      <c r="L291" s="585">
        <v>12</v>
      </c>
      <c r="M291" s="595">
        <v>1499</v>
      </c>
      <c r="N291" s="576">
        <f t="shared" si="122"/>
        <v>89940</v>
      </c>
      <c r="O291" s="585">
        <v>12</v>
      </c>
      <c r="P291" s="577">
        <f>IFERROR(_xlfn.XLOOKUP(G291,'[4]By Model'!$A:$A,'[4]By Model'!$K:$K),"")</f>
        <v>0.22172904106208502</v>
      </c>
      <c r="Q291" s="578">
        <f>IFERROR(_xlfn.XLOOKUP(G291,'[5]By Model'!$A:$A,'[5]By Model'!$B:$B),"")</f>
        <v>19</v>
      </c>
      <c r="R291" s="579">
        <f>IFERROR(_xlfn.XLOOKUP($F$390,'[4]By Model'!$A:$A,'[4]By Model'!$I:$I),"")</f>
        <v>1865.4468022481481</v>
      </c>
      <c r="S291" s="578">
        <f>IFERROR(_xlfn.XLOOKUP(F291,[6]Sum!$G:$G,[6]Sum!$AM:$AM),"")</f>
        <v>4</v>
      </c>
      <c r="T291" s="595">
        <v>1499</v>
      </c>
      <c r="U291" s="576">
        <f t="shared" si="111"/>
        <v>89940</v>
      </c>
      <c r="V291" s="594">
        <v>6</v>
      </c>
      <c r="W291" s="576">
        <f t="shared" si="112"/>
        <v>4497</v>
      </c>
      <c r="X291" s="576">
        <f t="shared" si="113"/>
        <v>85443</v>
      </c>
      <c r="Y291" s="581">
        <f t="shared" si="114"/>
        <v>-5.0000000000000044E-2</v>
      </c>
      <c r="Z291" s="577">
        <f t="shared" si="120"/>
        <v>0.196729041062085</v>
      </c>
      <c r="AA291" s="591">
        <v>0.3233376328581305</v>
      </c>
      <c r="AB291" s="597"/>
      <c r="AC291" s="595">
        <v>1499</v>
      </c>
      <c r="AD291" s="576">
        <f t="shared" si="115"/>
        <v>89940</v>
      </c>
      <c r="AE291" s="711"/>
      <c r="AF291" s="598">
        <v>6</v>
      </c>
      <c r="AG291" s="576">
        <f t="shared" si="116"/>
        <v>4497</v>
      </c>
      <c r="AH291" s="709">
        <f t="shared" si="117"/>
        <v>85443</v>
      </c>
      <c r="AI291" s="709">
        <f t="shared" si="118"/>
        <v>0</v>
      </c>
      <c r="AJ291" s="577">
        <f t="shared" si="119"/>
        <v>0</v>
      </c>
      <c r="AK291" s="582">
        <f t="shared" si="121"/>
        <v>0.196729041062085</v>
      </c>
      <c r="AL291" s="597" t="e">
        <f t="shared" si="127"/>
        <v>#REF!</v>
      </c>
      <c r="AM291" s="594" t="e">
        <f>VLOOKUP(F291,[7]PRM!E:R,14,FALSE)</f>
        <v>#N/A</v>
      </c>
      <c r="AN291" s="595" t="e">
        <f>T291-#REF!</f>
        <v>#REF!</v>
      </c>
      <c r="AO291" s="594"/>
    </row>
    <row r="292" spans="2:41" s="436" customFormat="1" ht="14">
      <c r="B292" s="800">
        <v>2605</v>
      </c>
      <c r="C292" s="1392" t="s">
        <v>211</v>
      </c>
      <c r="D292" s="1392" t="s">
        <v>308</v>
      </c>
      <c r="E292" s="1392"/>
      <c r="F292" s="1392" t="s">
        <v>473</v>
      </c>
      <c r="G292" s="585" t="s">
        <v>385</v>
      </c>
      <c r="H292" s="585"/>
      <c r="I292" s="585" t="s">
        <v>389</v>
      </c>
      <c r="J292" s="585">
        <v>6</v>
      </c>
      <c r="K292" s="585" t="s">
        <v>286</v>
      </c>
      <c r="L292" s="585">
        <v>12</v>
      </c>
      <c r="M292" s="595">
        <v>1399</v>
      </c>
      <c r="N292" s="576">
        <f t="shared" si="122"/>
        <v>100728</v>
      </c>
      <c r="O292" s="585">
        <v>12</v>
      </c>
      <c r="P292" s="577">
        <f>IFERROR(_xlfn.XLOOKUP(G292,'[4]By Model'!$A:$A,'[4]By Model'!$K:$K),"")</f>
        <v>0.22172904106208502</v>
      </c>
      <c r="Q292" s="578">
        <f>IFERROR(_xlfn.XLOOKUP(G292,'[5]By Model'!$A:$A,'[5]By Model'!$B:$B),"")</f>
        <v>19</v>
      </c>
      <c r="R292" s="579">
        <f>IFERROR(_xlfn.XLOOKUP($F$390,'[4]By Model'!$A:$A,'[4]By Model'!$I:$I),"")</f>
        <v>1865.4468022481481</v>
      </c>
      <c r="S292" s="578">
        <f>IFERROR(_xlfn.XLOOKUP(F292,[6]Sum!$G:$G,[6]Sum!$AM:$AM),"")</f>
        <v>4</v>
      </c>
      <c r="T292" s="595">
        <v>1399</v>
      </c>
      <c r="U292" s="576">
        <f t="shared" si="111"/>
        <v>100728</v>
      </c>
      <c r="V292" s="594">
        <v>6</v>
      </c>
      <c r="W292" s="576">
        <f t="shared" si="112"/>
        <v>4197</v>
      </c>
      <c r="X292" s="576">
        <f t="shared" si="113"/>
        <v>96531</v>
      </c>
      <c r="Y292" s="581">
        <f t="shared" si="114"/>
        <v>-4.166666666666663E-2</v>
      </c>
      <c r="Z292" s="577">
        <f t="shared" si="120"/>
        <v>0.2008957077287517</v>
      </c>
      <c r="AA292" s="591">
        <v>0.32463179727269026</v>
      </c>
      <c r="AB292" s="597"/>
      <c r="AC292" s="595">
        <v>1399</v>
      </c>
      <c r="AD292" s="576">
        <f t="shared" si="115"/>
        <v>100728</v>
      </c>
      <c r="AE292" s="576"/>
      <c r="AF292" s="598">
        <v>6</v>
      </c>
      <c r="AG292" s="576">
        <f t="shared" si="116"/>
        <v>4197</v>
      </c>
      <c r="AH292" s="709">
        <f t="shared" si="117"/>
        <v>96531</v>
      </c>
      <c r="AI292" s="709">
        <f t="shared" si="118"/>
        <v>0</v>
      </c>
      <c r="AJ292" s="577">
        <f t="shared" si="119"/>
        <v>0</v>
      </c>
      <c r="AK292" s="582">
        <f t="shared" si="121"/>
        <v>0.2008957077287517</v>
      </c>
      <c r="AL292" s="597" t="e">
        <f t="shared" si="127"/>
        <v>#REF!</v>
      </c>
      <c r="AM292" s="594" t="e">
        <f>VLOOKUP(F292,[7]PRM!E:R,14,FALSE)</f>
        <v>#N/A</v>
      </c>
      <c r="AN292" s="595" t="e">
        <f>T292-#REF!</f>
        <v>#REF!</v>
      </c>
      <c r="AO292" s="594"/>
    </row>
    <row r="293" spans="2:41" s="436" customFormat="1" ht="14">
      <c r="B293" s="801">
        <v>2605</v>
      </c>
      <c r="C293" s="1393" t="s">
        <v>211</v>
      </c>
      <c r="D293" s="1393" t="s">
        <v>308</v>
      </c>
      <c r="E293" s="1393"/>
      <c r="F293" s="1393" t="s">
        <v>473</v>
      </c>
      <c r="G293" s="585" t="s">
        <v>385</v>
      </c>
      <c r="H293" s="585"/>
      <c r="I293" s="585" t="s">
        <v>389</v>
      </c>
      <c r="J293" s="585">
        <v>6</v>
      </c>
      <c r="K293" s="585" t="s">
        <v>288</v>
      </c>
      <c r="L293" s="585">
        <v>12</v>
      </c>
      <c r="M293" s="595">
        <v>1299</v>
      </c>
      <c r="N293" s="576">
        <f t="shared" si="122"/>
        <v>93528</v>
      </c>
      <c r="O293" s="585">
        <v>12</v>
      </c>
      <c r="P293" s="577">
        <f>IFERROR(_xlfn.XLOOKUP(G293,'[4]By Model'!$A:$A,'[4]By Model'!$K:$K),"")</f>
        <v>0.22172904106208502</v>
      </c>
      <c r="Q293" s="578">
        <f>IFERROR(_xlfn.XLOOKUP(G293,'[5]By Model'!$A:$A,'[5]By Model'!$B:$B),"")</f>
        <v>19</v>
      </c>
      <c r="R293" s="579">
        <f>IFERROR(_xlfn.XLOOKUP($F$390,'[4]By Model'!$A:$A,'[4]By Model'!$I:$I),"")</f>
        <v>1865.4468022481481</v>
      </c>
      <c r="S293" s="578">
        <f>IFERROR(_xlfn.XLOOKUP(F293,[6]Sum!$G:$G,[6]Sum!$AM:$AM),"")</f>
        <v>4</v>
      </c>
      <c r="T293" s="595">
        <v>1299</v>
      </c>
      <c r="U293" s="576">
        <f t="shared" si="111"/>
        <v>93528</v>
      </c>
      <c r="V293" s="594">
        <v>6</v>
      </c>
      <c r="W293" s="576">
        <f t="shared" si="112"/>
        <v>3897</v>
      </c>
      <c r="X293" s="576">
        <f t="shared" si="113"/>
        <v>89631</v>
      </c>
      <c r="Y293" s="581">
        <f t="shared" si="114"/>
        <v>-4.166666666666663E-2</v>
      </c>
      <c r="Z293" s="577">
        <f t="shared" si="120"/>
        <v>0.2008957077287517</v>
      </c>
      <c r="AA293" s="591">
        <v>0.3300072277924137</v>
      </c>
      <c r="AB293" s="597"/>
      <c r="AC293" s="595">
        <v>1299</v>
      </c>
      <c r="AD293" s="576">
        <f t="shared" si="115"/>
        <v>93528</v>
      </c>
      <c r="AE293" s="576"/>
      <c r="AF293" s="598">
        <v>6</v>
      </c>
      <c r="AG293" s="576">
        <f t="shared" si="116"/>
        <v>3897</v>
      </c>
      <c r="AH293" s="709">
        <f t="shared" si="117"/>
        <v>89631</v>
      </c>
      <c r="AI293" s="709">
        <f t="shared" si="118"/>
        <v>0</v>
      </c>
      <c r="AJ293" s="577">
        <f t="shared" si="119"/>
        <v>0</v>
      </c>
      <c r="AK293" s="582">
        <f t="shared" si="121"/>
        <v>0.2008957077287517</v>
      </c>
      <c r="AL293" s="597" t="e">
        <f>AL295</f>
        <v>#REF!</v>
      </c>
      <c r="AM293" s="594" t="e">
        <f>VLOOKUP(F293,[7]PRM!E:R,14,FALSE)</f>
        <v>#N/A</v>
      </c>
      <c r="AN293" s="595" t="e">
        <f>T293-#REF!</f>
        <v>#REF!</v>
      </c>
      <c r="AO293" s="594"/>
    </row>
    <row r="294" spans="2:41" s="436" customFormat="1" ht="14" hidden="1">
      <c r="B294" s="799">
        <v>2605</v>
      </c>
      <c r="C294" s="1391" t="s">
        <v>211</v>
      </c>
      <c r="D294" s="1391"/>
      <c r="E294" s="1391"/>
      <c r="F294" s="1391" t="s">
        <v>35</v>
      </c>
      <c r="G294" s="566" t="s">
        <v>389</v>
      </c>
      <c r="H294" s="566"/>
      <c r="I294" s="566" t="s">
        <v>389</v>
      </c>
      <c r="J294" s="566">
        <v>3</v>
      </c>
      <c r="K294" s="566" t="s">
        <v>288</v>
      </c>
      <c r="L294" s="566">
        <v>12</v>
      </c>
      <c r="M294" s="576">
        <v>2899</v>
      </c>
      <c r="N294" s="576">
        <f t="shared" si="122"/>
        <v>104364</v>
      </c>
      <c r="O294" s="566">
        <v>12</v>
      </c>
      <c r="P294" s="577">
        <f>IFERROR(_xlfn.XLOOKUP(F294,'[4]By Model'!$A:$A,'[4]By Model'!$K:$K),"")</f>
        <v>0.23448303979355445</v>
      </c>
      <c r="Q294" s="578">
        <f>IFERROR(_xlfn.XLOOKUP(F294,'[5]By Model'!$A:$A,'[5]By Model'!$B:$B),"")</f>
        <v>149</v>
      </c>
      <c r="R294" s="579">
        <f>IFERROR(_xlfn.XLOOKUP(F294,'[4]By Model'!$A:$A,'[4]By Model'!$I:$I),"")</f>
        <v>2597.5818189875968</v>
      </c>
      <c r="S294" s="578">
        <f>IFERROR(_xlfn.XLOOKUP(F294,[6]Sum!$G:$G,[6]Sum!$AM:$AM),"")</f>
        <v>5</v>
      </c>
      <c r="T294" s="576">
        <v>2849</v>
      </c>
      <c r="U294" s="576">
        <f t="shared" si="111"/>
        <v>102564</v>
      </c>
      <c r="V294" s="580">
        <v>6</v>
      </c>
      <c r="W294" s="576">
        <f t="shared" si="112"/>
        <v>8547</v>
      </c>
      <c r="X294" s="576">
        <f t="shared" si="113"/>
        <v>94017</v>
      </c>
      <c r="Y294" s="581">
        <f t="shared" si="114"/>
        <v>-9.9143382775669808E-2</v>
      </c>
      <c r="Z294" s="577">
        <f t="shared" si="120"/>
        <v>0.18491134840571954</v>
      </c>
      <c r="AA294" s="577">
        <v>0.29641649849511204</v>
      </c>
      <c r="AB294" s="582"/>
      <c r="AC294" s="576">
        <v>2849</v>
      </c>
      <c r="AD294" s="576">
        <f t="shared" si="115"/>
        <v>102564</v>
      </c>
      <c r="AE294" s="711">
        <f>AD294/AD296</f>
        <v>0.90015797788309637</v>
      </c>
      <c r="AF294" s="580">
        <v>0</v>
      </c>
      <c r="AG294" s="576">
        <f t="shared" si="116"/>
        <v>0</v>
      </c>
      <c r="AH294" s="709">
        <f t="shared" si="117"/>
        <v>102564</v>
      </c>
      <c r="AI294" s="709">
        <f t="shared" si="118"/>
        <v>8547</v>
      </c>
      <c r="AJ294" s="577">
        <f t="shared" si="119"/>
        <v>9.0909090909090912E-2</v>
      </c>
      <c r="AK294" s="582">
        <f t="shared" si="121"/>
        <v>0.23036589386026501</v>
      </c>
      <c r="AL294" s="582" t="e">
        <f t="shared" ref="AL294" si="137">AL295</f>
        <v>#REF!</v>
      </c>
      <c r="AM294" s="580" t="e">
        <f>VLOOKUP(F294,[7]PRM!E:R,14,FALSE)</f>
        <v>#N/A</v>
      </c>
      <c r="AN294" s="576" t="e">
        <f>T294-#REF!</f>
        <v>#REF!</v>
      </c>
      <c r="AO294" s="580"/>
    </row>
    <row r="295" spans="2:41" s="436" customFormat="1" ht="14" hidden="1">
      <c r="B295" s="800">
        <v>2605</v>
      </c>
      <c r="C295" s="1392" t="s">
        <v>211</v>
      </c>
      <c r="D295" s="1392"/>
      <c r="E295" s="1392"/>
      <c r="F295" s="1392" t="s">
        <v>35</v>
      </c>
      <c r="G295" s="566" t="s">
        <v>389</v>
      </c>
      <c r="H295" s="566"/>
      <c r="I295" s="566" t="s">
        <v>389</v>
      </c>
      <c r="J295" s="566">
        <v>3</v>
      </c>
      <c r="K295" s="566" t="s">
        <v>286</v>
      </c>
      <c r="L295" s="566">
        <v>12</v>
      </c>
      <c r="M295" s="576">
        <v>3249</v>
      </c>
      <c r="N295" s="576">
        <f t="shared" si="122"/>
        <v>116964</v>
      </c>
      <c r="O295" s="566">
        <v>12</v>
      </c>
      <c r="P295" s="577">
        <f>IFERROR(_xlfn.XLOOKUP(F295,'[4]By Model'!$A:$A,'[4]By Model'!$K:$K),"")</f>
        <v>0.23448303979355445</v>
      </c>
      <c r="Q295" s="578">
        <f>IFERROR(_xlfn.XLOOKUP(F295,'[5]By Model'!$A:$A,'[5]By Model'!$B:$B),"")</f>
        <v>149</v>
      </c>
      <c r="R295" s="579">
        <f>IFERROR(_xlfn.XLOOKUP(F295,'[4]By Model'!$A:$A,'[4]By Model'!$I:$I),"")</f>
        <v>2597.5818189875968</v>
      </c>
      <c r="S295" s="578">
        <f>IFERROR(_xlfn.XLOOKUP(F295,[6]Sum!$G:$G,[6]Sum!$AM:$AM),"")</f>
        <v>5</v>
      </c>
      <c r="T295" s="576">
        <v>2999</v>
      </c>
      <c r="U295" s="576">
        <f t="shared" si="111"/>
        <v>107964</v>
      </c>
      <c r="V295" s="580">
        <v>0</v>
      </c>
      <c r="W295" s="576">
        <f t="shared" si="112"/>
        <v>0</v>
      </c>
      <c r="X295" s="576">
        <f t="shared" si="113"/>
        <v>107964</v>
      </c>
      <c r="Y295" s="581">
        <f t="shared" si="114"/>
        <v>-7.6946752847029898E-2</v>
      </c>
      <c r="Z295" s="577">
        <f t="shared" si="120"/>
        <v>0.1960096633700395</v>
      </c>
      <c r="AA295" s="577" t="e">
        <f>#REF!</f>
        <v>#REF!</v>
      </c>
      <c r="AB295" s="582"/>
      <c r="AC295" s="576">
        <v>2999</v>
      </c>
      <c r="AD295" s="576">
        <f t="shared" si="115"/>
        <v>107964</v>
      </c>
      <c r="AE295" s="711">
        <f>AD295/AD297</f>
        <v>1.0288164665523156</v>
      </c>
      <c r="AF295" s="580">
        <v>0</v>
      </c>
      <c r="AG295" s="576">
        <f t="shared" si="116"/>
        <v>0</v>
      </c>
      <c r="AH295" s="709">
        <f t="shared" si="117"/>
        <v>107964</v>
      </c>
      <c r="AI295" s="709">
        <f t="shared" si="118"/>
        <v>0</v>
      </c>
      <c r="AJ295" s="577">
        <f t="shared" si="119"/>
        <v>0</v>
      </c>
      <c r="AK295" s="582">
        <f t="shared" si="121"/>
        <v>0.1960096633700395</v>
      </c>
      <c r="AL295" s="582" t="e">
        <f>#REF!</f>
        <v>#REF!</v>
      </c>
      <c r="AM295" s="580"/>
      <c r="AN295" s="576"/>
      <c r="AO295" s="580"/>
    </row>
    <row r="296" spans="2:41" s="436" customFormat="1" ht="14">
      <c r="B296" s="800">
        <v>2605</v>
      </c>
      <c r="C296" s="1392" t="s">
        <v>211</v>
      </c>
      <c r="D296" s="1392"/>
      <c r="E296" s="1392"/>
      <c r="F296" s="1392" t="s">
        <v>35</v>
      </c>
      <c r="G296" s="566" t="s">
        <v>389</v>
      </c>
      <c r="H296" s="566"/>
      <c r="I296" s="566" t="s">
        <v>389</v>
      </c>
      <c r="J296" s="566">
        <v>5</v>
      </c>
      <c r="K296" s="566" t="s">
        <v>288</v>
      </c>
      <c r="L296" s="566">
        <v>12</v>
      </c>
      <c r="M296" s="576">
        <v>1899</v>
      </c>
      <c r="N296" s="576">
        <f t="shared" si="122"/>
        <v>113940</v>
      </c>
      <c r="O296" s="566">
        <v>12</v>
      </c>
      <c r="P296" s="577">
        <f>IFERROR(_xlfn.XLOOKUP(F296,'[4]By Model'!$A:$A,'[4]By Model'!$K:$K),"")</f>
        <v>0.23448303979355445</v>
      </c>
      <c r="Q296" s="578">
        <f>IFERROR(_xlfn.XLOOKUP(F296,'[5]By Model'!$A:$A,'[5]By Model'!$B:$B),"")</f>
        <v>149</v>
      </c>
      <c r="R296" s="579">
        <f>IFERROR(_xlfn.XLOOKUP(F296,'[4]By Model'!$A:$A,'[4]By Model'!$I:$I),"")</f>
        <v>2597.5818189875968</v>
      </c>
      <c r="S296" s="578">
        <f>IFERROR(_xlfn.XLOOKUP(F296,[6]Sum!$G:$G,[6]Sum!$AM:$AM),"")</f>
        <v>5</v>
      </c>
      <c r="T296" s="576">
        <v>1899</v>
      </c>
      <c r="U296" s="576">
        <f t="shared" si="111"/>
        <v>113940</v>
      </c>
      <c r="V296" s="580">
        <v>6</v>
      </c>
      <c r="W296" s="576">
        <f t="shared" si="112"/>
        <v>5697</v>
      </c>
      <c r="X296" s="576">
        <f t="shared" si="113"/>
        <v>108243</v>
      </c>
      <c r="Y296" s="581">
        <f t="shared" si="114"/>
        <v>-5.0000000000000044E-2</v>
      </c>
      <c r="Z296" s="577">
        <f t="shared" si="120"/>
        <v>0.20948303979355443</v>
      </c>
      <c r="AA296" s="577">
        <v>0.29641649849511204</v>
      </c>
      <c r="AB296" s="582"/>
      <c r="AC296" s="576">
        <v>1899</v>
      </c>
      <c r="AD296" s="576">
        <f t="shared" si="115"/>
        <v>113940</v>
      </c>
      <c r="AE296" s="711"/>
      <c r="AF296" s="583">
        <v>6</v>
      </c>
      <c r="AG296" s="576">
        <f t="shared" si="116"/>
        <v>5697</v>
      </c>
      <c r="AH296" s="709">
        <f t="shared" si="117"/>
        <v>108243</v>
      </c>
      <c r="AI296" s="709">
        <f t="shared" si="118"/>
        <v>0</v>
      </c>
      <c r="AJ296" s="577">
        <f t="shared" si="119"/>
        <v>0</v>
      </c>
      <c r="AK296" s="582">
        <f t="shared" si="121"/>
        <v>0.20948303979355443</v>
      </c>
      <c r="AL296" s="582" t="str">
        <f t="shared" ref="AL296" si="138">AL297</f>
        <v> </v>
      </c>
      <c r="AM296" s="580" t="e">
        <f>VLOOKUP(F296,[7]PRM!E:R,14,FALSE)</f>
        <v>#N/A</v>
      </c>
      <c r="AN296" s="576" t="e">
        <f>T296-#REF!</f>
        <v>#REF!</v>
      </c>
      <c r="AO296" s="580"/>
    </row>
    <row r="297" spans="2:41" s="436" customFormat="1" ht="14">
      <c r="B297" s="800">
        <v>2605</v>
      </c>
      <c r="C297" s="1392" t="s">
        <v>211</v>
      </c>
      <c r="D297" s="1392"/>
      <c r="E297" s="1392"/>
      <c r="F297" s="1392" t="s">
        <v>35</v>
      </c>
      <c r="G297" s="566" t="s">
        <v>389</v>
      </c>
      <c r="H297" s="566"/>
      <c r="I297" s="566" t="s">
        <v>389</v>
      </c>
      <c r="J297" s="566">
        <v>5</v>
      </c>
      <c r="K297" s="566" t="s">
        <v>286</v>
      </c>
      <c r="L297" s="566">
        <v>12</v>
      </c>
      <c r="M297" s="576">
        <v>3249</v>
      </c>
      <c r="N297" s="576">
        <f t="shared" si="122"/>
        <v>194940</v>
      </c>
      <c r="O297" s="566">
        <v>12</v>
      </c>
      <c r="P297" s="577">
        <f>IFERROR(_xlfn.XLOOKUP(F297,'[4]By Model'!$A:$A,'[4]By Model'!$K:$K),"")</f>
        <v>0.23448303979355445</v>
      </c>
      <c r="Q297" s="578">
        <f>IFERROR(_xlfn.XLOOKUP(F297,'[5]By Model'!$A:$A,'[5]By Model'!$B:$B),"")</f>
        <v>149</v>
      </c>
      <c r="R297" s="579">
        <f>IFERROR(_xlfn.XLOOKUP(F297,'[4]By Model'!$A:$A,'[4]By Model'!$I:$I),"")</f>
        <v>2597.5818189875968</v>
      </c>
      <c r="S297" s="578">
        <f>IFERROR(_xlfn.XLOOKUP(F297,[6]Sum!$G:$G,[6]Sum!$AM:$AM),"")</f>
        <v>5</v>
      </c>
      <c r="T297" s="576">
        <v>1749</v>
      </c>
      <c r="U297" s="576">
        <f t="shared" si="111"/>
        <v>104940</v>
      </c>
      <c r="V297" s="580">
        <v>6</v>
      </c>
      <c r="W297" s="576">
        <f t="shared" si="112"/>
        <v>5247</v>
      </c>
      <c r="X297" s="576">
        <f t="shared" si="113"/>
        <v>99693</v>
      </c>
      <c r="Y297" s="581">
        <f t="shared" si="114"/>
        <v>-0.48859649122807014</v>
      </c>
      <c r="Z297" s="577">
        <f t="shared" si="120"/>
        <v>-9.8152058204806214E-3</v>
      </c>
      <c r="AA297" s="577">
        <v>0.29734494783272075</v>
      </c>
      <c r="AB297" s="582"/>
      <c r="AC297" s="576">
        <v>1749</v>
      </c>
      <c r="AD297" s="576">
        <f t="shared" si="115"/>
        <v>104940</v>
      </c>
      <c r="AE297" s="711"/>
      <c r="AF297" s="583">
        <v>6</v>
      </c>
      <c r="AG297" s="576">
        <f t="shared" si="116"/>
        <v>5247</v>
      </c>
      <c r="AH297" s="709">
        <f t="shared" si="117"/>
        <v>99693</v>
      </c>
      <c r="AI297" s="709">
        <f t="shared" si="118"/>
        <v>0</v>
      </c>
      <c r="AJ297" s="577">
        <f t="shared" si="119"/>
        <v>0</v>
      </c>
      <c r="AK297" s="582">
        <f t="shared" si="121"/>
        <v>-9.8152058204806214E-3</v>
      </c>
      <c r="AL297" s="582" t="str">
        <f t="shared" si="127"/>
        <v> </v>
      </c>
      <c r="AM297" s="580" t="e">
        <f>VLOOKUP(F297,[7]PRM!E:R,14,FALSE)</f>
        <v>#N/A</v>
      </c>
      <c r="AN297" s="576" t="e">
        <f>T297-#REF!</f>
        <v>#REF!</v>
      </c>
      <c r="AO297" s="580"/>
    </row>
    <row r="298" spans="2:41" s="436" customFormat="1" ht="14">
      <c r="B298" s="800">
        <v>2605</v>
      </c>
      <c r="C298" s="1392" t="s">
        <v>211</v>
      </c>
      <c r="D298" s="1392"/>
      <c r="E298" s="1392"/>
      <c r="F298" s="1392" t="s">
        <v>35</v>
      </c>
      <c r="G298" s="566" t="s">
        <v>389</v>
      </c>
      <c r="H298" s="566"/>
      <c r="I298" s="566" t="s">
        <v>389</v>
      </c>
      <c r="J298" s="566">
        <v>6</v>
      </c>
      <c r="K298" s="566" t="s">
        <v>288</v>
      </c>
      <c r="L298" s="566">
        <v>12</v>
      </c>
      <c r="M298" s="576">
        <v>3249</v>
      </c>
      <c r="N298" s="576">
        <f t="shared" si="122"/>
        <v>233928</v>
      </c>
      <c r="O298" s="566">
        <v>12</v>
      </c>
      <c r="P298" s="577">
        <f>IFERROR(_xlfn.XLOOKUP(F298,'[4]By Model'!$A:$A,'[4]By Model'!$K:$K),"")</f>
        <v>0.23448303979355445</v>
      </c>
      <c r="Q298" s="578">
        <f>IFERROR(_xlfn.XLOOKUP(F298,'[5]By Model'!$A:$A,'[5]By Model'!$B:$B),"")</f>
        <v>149</v>
      </c>
      <c r="R298" s="579">
        <f>IFERROR(_xlfn.XLOOKUP(F298,'[4]By Model'!$A:$A,'[4]By Model'!$I:$I),"")</f>
        <v>2597.5818189875968</v>
      </c>
      <c r="S298" s="578">
        <f>IFERROR(_xlfn.XLOOKUP(F298,[6]Sum!$G:$G,[6]Sum!$AM:$AM),"")</f>
        <v>5</v>
      </c>
      <c r="T298" s="576">
        <v>1899</v>
      </c>
      <c r="U298" s="576">
        <f t="shared" si="111"/>
        <v>136728</v>
      </c>
      <c r="V298" s="580">
        <v>6</v>
      </c>
      <c r="W298" s="576">
        <f t="shared" si="112"/>
        <v>5697</v>
      </c>
      <c r="X298" s="576">
        <f t="shared" si="113"/>
        <v>131031</v>
      </c>
      <c r="Y298" s="581">
        <f t="shared" si="114"/>
        <v>-0.43986611265004616</v>
      </c>
      <c r="Z298" s="577">
        <f t="shared" si="120"/>
        <v>1.4549983468531369E-2</v>
      </c>
      <c r="AA298" s="577">
        <v>0.29641649849511204</v>
      </c>
      <c r="AB298" s="582"/>
      <c r="AC298" s="576">
        <v>1899</v>
      </c>
      <c r="AD298" s="576">
        <f t="shared" si="115"/>
        <v>136728</v>
      </c>
      <c r="AE298" s="576"/>
      <c r="AF298" s="583">
        <v>6</v>
      </c>
      <c r="AG298" s="576">
        <f t="shared" si="116"/>
        <v>5697</v>
      </c>
      <c r="AH298" s="709">
        <f t="shared" si="117"/>
        <v>131031</v>
      </c>
      <c r="AI298" s="709">
        <f t="shared" si="118"/>
        <v>0</v>
      </c>
      <c r="AJ298" s="577">
        <f t="shared" si="119"/>
        <v>0</v>
      </c>
      <c r="AK298" s="582">
        <f t="shared" si="121"/>
        <v>1.4549983468531369E-2</v>
      </c>
      <c r="AL298" s="582" t="str">
        <f t="shared" si="127"/>
        <v> </v>
      </c>
      <c r="AM298" s="580" t="e">
        <f>VLOOKUP(F298,[7]PRM!E:R,14,FALSE)</f>
        <v>#N/A</v>
      </c>
      <c r="AN298" s="576" t="e">
        <f>T298-#REF!</f>
        <v>#REF!</v>
      </c>
      <c r="AO298" s="580"/>
    </row>
    <row r="299" spans="2:41" s="436" customFormat="1" ht="14">
      <c r="B299" s="801">
        <v>2605</v>
      </c>
      <c r="C299" s="1393" t="s">
        <v>211</v>
      </c>
      <c r="D299" s="1393"/>
      <c r="E299" s="1393"/>
      <c r="F299" s="1393" t="s">
        <v>35</v>
      </c>
      <c r="G299" s="566" t="s">
        <v>389</v>
      </c>
      <c r="H299" s="566"/>
      <c r="I299" s="566" t="s">
        <v>389</v>
      </c>
      <c r="J299" s="566">
        <v>6</v>
      </c>
      <c r="K299" s="566" t="s">
        <v>288</v>
      </c>
      <c r="L299" s="566">
        <v>12</v>
      </c>
      <c r="M299" s="576">
        <v>3249</v>
      </c>
      <c r="N299" s="576">
        <f t="shared" si="122"/>
        <v>233928</v>
      </c>
      <c r="O299" s="566">
        <v>12</v>
      </c>
      <c r="P299" s="577">
        <f>IFERROR(_xlfn.XLOOKUP(F299,'[4]By Model'!$A:$A,'[4]By Model'!$K:$K),"")</f>
        <v>0.23448303979355445</v>
      </c>
      <c r="Q299" s="578">
        <f>IFERROR(_xlfn.XLOOKUP(F299,'[5]By Model'!$A:$A,'[5]By Model'!$B:$B),"")</f>
        <v>149</v>
      </c>
      <c r="R299" s="579">
        <f>IFERROR(_xlfn.XLOOKUP(F299,'[4]By Model'!$A:$A,'[4]By Model'!$I:$I),"")</f>
        <v>2597.5818189875968</v>
      </c>
      <c r="S299" s="578">
        <f>IFERROR(_xlfn.XLOOKUP(F299,[6]Sum!$G:$G,[6]Sum!$AM:$AM),"")</f>
        <v>5</v>
      </c>
      <c r="T299" s="576">
        <v>1649</v>
      </c>
      <c r="U299" s="576">
        <f t="shared" si="111"/>
        <v>118728</v>
      </c>
      <c r="V299" s="580">
        <v>6</v>
      </c>
      <c r="W299" s="576">
        <f t="shared" si="112"/>
        <v>4947</v>
      </c>
      <c r="X299" s="576">
        <f t="shared" si="113"/>
        <v>113781</v>
      </c>
      <c r="Y299" s="581">
        <f t="shared" si="114"/>
        <v>-0.51360675079511653</v>
      </c>
      <c r="Z299" s="577">
        <f t="shared" si="120"/>
        <v>-2.2320335604003816E-2</v>
      </c>
      <c r="AA299" s="577">
        <v>0.30056338935962817</v>
      </c>
      <c r="AB299" s="582" t="str">
        <f>AB306</f>
        <v> </v>
      </c>
      <c r="AC299" s="576">
        <v>1649</v>
      </c>
      <c r="AD299" s="576">
        <f t="shared" si="115"/>
        <v>118728</v>
      </c>
      <c r="AE299" s="576"/>
      <c r="AF299" s="583">
        <v>6</v>
      </c>
      <c r="AG299" s="576">
        <f t="shared" si="116"/>
        <v>4947</v>
      </c>
      <c r="AH299" s="709">
        <f t="shared" si="117"/>
        <v>113781</v>
      </c>
      <c r="AI299" s="709">
        <f t="shared" si="118"/>
        <v>0</v>
      </c>
      <c r="AJ299" s="577">
        <f t="shared" si="119"/>
        <v>0</v>
      </c>
      <c r="AK299" s="582">
        <f t="shared" si="121"/>
        <v>-2.2320335604003816E-2</v>
      </c>
      <c r="AL299" s="582" t="str">
        <f>AL306</f>
        <v> </v>
      </c>
      <c r="AM299" s="580" t="e">
        <f>VLOOKUP(F299,[7]PRM!E:R,14,FALSE)</f>
        <v>#N/A</v>
      </c>
      <c r="AN299" s="576" t="e">
        <f>T299-#REF!</f>
        <v>#REF!</v>
      </c>
      <c r="AO299" s="580"/>
    </row>
    <row r="300" spans="2:41" s="436" customFormat="1" ht="14" hidden="1">
      <c r="B300" s="799">
        <v>2605</v>
      </c>
      <c r="C300" s="1391" t="s">
        <v>211</v>
      </c>
      <c r="D300" s="1391"/>
      <c r="E300" s="1391"/>
      <c r="F300" s="1391" t="s">
        <v>443</v>
      </c>
      <c r="G300" s="566" t="s">
        <v>389</v>
      </c>
      <c r="H300" s="566"/>
      <c r="I300" s="566" t="s">
        <v>389</v>
      </c>
      <c r="J300" s="566">
        <v>3</v>
      </c>
      <c r="K300" s="566" t="s">
        <v>288</v>
      </c>
      <c r="L300" s="566">
        <v>12</v>
      </c>
      <c r="M300" s="576">
        <v>2849</v>
      </c>
      <c r="N300" s="576">
        <f t="shared" si="122"/>
        <v>102564</v>
      </c>
      <c r="O300" s="566">
        <v>12</v>
      </c>
      <c r="P300" s="577">
        <f>IFERROR(_xlfn.XLOOKUP(F300,'[4]By Model'!$A:$A,'[4]By Model'!$K:$K),"")</f>
        <v>0.26467592920089783</v>
      </c>
      <c r="Q300" s="578" t="str">
        <f>IFERROR(_xlfn.XLOOKUP(F300,'[5]By Model'!$A:$A,'[5]By Model'!$B:$B),"")</f>
        <v/>
      </c>
      <c r="R300" s="579">
        <f>IFERROR(_xlfn.XLOOKUP(F300,'[4]By Model'!$A:$A,'[4]By Model'!$I:$I),"")</f>
        <v>2884.9936974653847</v>
      </c>
      <c r="S300" s="578" t="str">
        <f>IFERROR(_xlfn.XLOOKUP(F300,[6]Sum!$G:$G,[6]Sum!$AM:$AM),"")</f>
        <v/>
      </c>
      <c r="T300" s="576">
        <v>2849</v>
      </c>
      <c r="U300" s="576">
        <f t="shared" si="111"/>
        <v>102564</v>
      </c>
      <c r="V300" s="580">
        <v>0</v>
      </c>
      <c r="W300" s="576">
        <f t="shared" si="112"/>
        <v>0</v>
      </c>
      <c r="X300" s="576">
        <f t="shared" si="113"/>
        <v>102564</v>
      </c>
      <c r="Y300" s="581">
        <f t="shared" si="114"/>
        <v>0</v>
      </c>
      <c r="Z300" s="577">
        <f t="shared" si="120"/>
        <v>0.26467592920089783</v>
      </c>
      <c r="AA300" s="577">
        <v>0.28000000000000003</v>
      </c>
      <c r="AB300" s="582" t="s">
        <v>389</v>
      </c>
      <c r="AC300" s="576">
        <v>1899</v>
      </c>
      <c r="AD300" s="576">
        <f t="shared" si="115"/>
        <v>68364</v>
      </c>
      <c r="AE300" s="711">
        <f>AD300/AD302</f>
        <v>0.51814461118690314</v>
      </c>
      <c r="AF300" s="580">
        <v>0</v>
      </c>
      <c r="AG300" s="576">
        <f t="shared" si="116"/>
        <v>0</v>
      </c>
      <c r="AH300" s="709">
        <f t="shared" si="117"/>
        <v>68364</v>
      </c>
      <c r="AI300" s="709">
        <f t="shared" si="118"/>
        <v>-34200</v>
      </c>
      <c r="AJ300" s="577">
        <f t="shared" si="119"/>
        <v>-0.33345033345033342</v>
      </c>
      <c r="AK300" s="582">
        <f t="shared" si="121"/>
        <v>9.7950762475731118E-2</v>
      </c>
      <c r="AL300" s="582" t="s">
        <v>389</v>
      </c>
      <c r="AM300" s="580" t="s">
        <v>389</v>
      </c>
      <c r="AN300" s="576" t="s">
        <v>389</v>
      </c>
      <c r="AO300" s="580" t="s">
        <v>389</v>
      </c>
    </row>
    <row r="301" spans="2:41" s="436" customFormat="1" ht="14" hidden="1">
      <c r="B301" s="800">
        <v>2605</v>
      </c>
      <c r="C301" s="1392" t="s">
        <v>211</v>
      </c>
      <c r="D301" s="1392"/>
      <c r="E301" s="1392"/>
      <c r="F301" s="1392"/>
      <c r="G301" s="566" t="s">
        <v>389</v>
      </c>
      <c r="H301" s="566"/>
      <c r="I301" s="566" t="s">
        <v>389</v>
      </c>
      <c r="J301" s="566">
        <v>3</v>
      </c>
      <c r="K301" s="566" t="s">
        <v>286</v>
      </c>
      <c r="L301" s="566">
        <v>12</v>
      </c>
      <c r="M301" s="576">
        <v>2199</v>
      </c>
      <c r="N301" s="576">
        <f t="shared" si="122"/>
        <v>79164</v>
      </c>
      <c r="O301" s="566">
        <v>12</v>
      </c>
      <c r="P301" s="577" t="str">
        <f>IFERROR(_xlfn.XLOOKUP(F301,'[4]By Model'!$A:$A,'[4]By Model'!$K:$K),"")</f>
        <v/>
      </c>
      <c r="Q301" s="578" t="str">
        <f>IFERROR(_xlfn.XLOOKUP(F301,'[5]By Model'!$A:$A,'[5]By Model'!$B:$B),"")</f>
        <v/>
      </c>
      <c r="R301" s="579" t="str">
        <f>IFERROR(_xlfn.XLOOKUP(F301,'[4]By Model'!$A:$A,'[4]By Model'!$I:$I),"")</f>
        <v/>
      </c>
      <c r="S301" s="578" t="str">
        <f>IFERROR(_xlfn.XLOOKUP(F301,[6]Sum!$G:$G,[6]Sum!$AM:$AM),"")</f>
        <v/>
      </c>
      <c r="T301" s="576">
        <v>0</v>
      </c>
      <c r="U301" s="576">
        <f t="shared" si="111"/>
        <v>0</v>
      </c>
      <c r="V301" s="580">
        <v>0</v>
      </c>
      <c r="W301" s="576">
        <f t="shared" si="112"/>
        <v>0</v>
      </c>
      <c r="X301" s="576">
        <f t="shared" si="113"/>
        <v>0</v>
      </c>
      <c r="Y301" s="581">
        <f t="shared" si="114"/>
        <v>-1</v>
      </c>
      <c r="Z301" s="577" t="str">
        <f t="shared" si="120"/>
        <v/>
      </c>
      <c r="AA301" s="577">
        <v>0.28999999999999998</v>
      </c>
      <c r="AB301" s="582" t="s">
        <v>389</v>
      </c>
      <c r="AC301" s="576">
        <v>0</v>
      </c>
      <c r="AD301" s="576">
        <f t="shared" si="115"/>
        <v>0</v>
      </c>
      <c r="AE301" s="711">
        <f>AD301/AD303</f>
        <v>0</v>
      </c>
      <c r="AF301" s="580">
        <v>0</v>
      </c>
      <c r="AG301" s="576">
        <f t="shared" si="116"/>
        <v>0</v>
      </c>
      <c r="AH301" s="709">
        <f t="shared" si="117"/>
        <v>0</v>
      </c>
      <c r="AI301" s="709">
        <f t="shared" si="118"/>
        <v>0</v>
      </c>
      <c r="AJ301" s="577" t="e">
        <f t="shared" si="119"/>
        <v>#DIV/0!</v>
      </c>
      <c r="AK301" s="582" t="str">
        <f t="shared" si="121"/>
        <v/>
      </c>
      <c r="AL301" s="582" t="s">
        <v>389</v>
      </c>
      <c r="AM301" s="580" t="s">
        <v>389</v>
      </c>
      <c r="AN301" s="576" t="s">
        <v>389</v>
      </c>
      <c r="AO301" s="580" t="s">
        <v>389</v>
      </c>
    </row>
    <row r="302" spans="2:41" s="436" customFormat="1" ht="14">
      <c r="B302" s="800">
        <v>2605</v>
      </c>
      <c r="C302" s="1392" t="s">
        <v>211</v>
      </c>
      <c r="D302" s="1392"/>
      <c r="E302" s="1392"/>
      <c r="F302" s="1392"/>
      <c r="G302" s="566" t="s">
        <v>389</v>
      </c>
      <c r="H302" s="566"/>
      <c r="I302" s="566" t="s">
        <v>389</v>
      </c>
      <c r="J302" s="566">
        <v>5</v>
      </c>
      <c r="K302" s="566" t="s">
        <v>288</v>
      </c>
      <c r="L302" s="566">
        <v>12</v>
      </c>
      <c r="M302" s="576">
        <v>2199</v>
      </c>
      <c r="N302" s="576">
        <f t="shared" si="122"/>
        <v>131940</v>
      </c>
      <c r="O302" s="566">
        <v>12</v>
      </c>
      <c r="P302" s="577">
        <f>IFERROR(_xlfn.XLOOKUP($F$300,'[4]By Model'!$A:$A,'[4]By Model'!$K:$K),"")</f>
        <v>0.26467592920089783</v>
      </c>
      <c r="Q302" s="578">
        <f>IFERROR(_xlfn.XLOOKUP(F302,'[5]By Model'!$A:$A,'[5]By Model'!$B:$B),"")</f>
        <v>0</v>
      </c>
      <c r="R302" s="579">
        <f>IFERROR(_xlfn.XLOOKUP($F$300,'[4]By Model'!$A:$A,'[4]By Model'!$I:$I),"")</f>
        <v>2884.9936974653847</v>
      </c>
      <c r="S302" s="578" t="str">
        <f>IFERROR(_xlfn.XLOOKUP(F302,[6]Sum!$G:$G,[6]Sum!$AM:$AM),"")</f>
        <v/>
      </c>
      <c r="T302" s="576">
        <v>2199</v>
      </c>
      <c r="U302" s="576">
        <f t="shared" si="111"/>
        <v>131940</v>
      </c>
      <c r="V302" s="580">
        <v>12</v>
      </c>
      <c r="W302" s="576">
        <f t="shared" si="112"/>
        <v>13194</v>
      </c>
      <c r="X302" s="576">
        <f t="shared" si="113"/>
        <v>118746</v>
      </c>
      <c r="Y302" s="581">
        <f t="shared" si="114"/>
        <v>-9.9999999999999978E-2</v>
      </c>
      <c r="Z302" s="577">
        <f t="shared" si="120"/>
        <v>0.21467592920089784</v>
      </c>
      <c r="AA302" s="577">
        <v>0.28000000000000003</v>
      </c>
      <c r="AB302" s="582" t="s">
        <v>389</v>
      </c>
      <c r="AC302" s="576">
        <v>2199</v>
      </c>
      <c r="AD302" s="576">
        <f t="shared" si="115"/>
        <v>131940</v>
      </c>
      <c r="AE302" s="711"/>
      <c r="AF302" s="580">
        <v>6</v>
      </c>
      <c r="AG302" s="576">
        <f t="shared" si="116"/>
        <v>6597</v>
      </c>
      <c r="AH302" s="709">
        <f t="shared" si="117"/>
        <v>125343</v>
      </c>
      <c r="AI302" s="709">
        <f t="shared" si="118"/>
        <v>6597</v>
      </c>
      <c r="AJ302" s="577">
        <f t="shared" si="119"/>
        <v>5.5555555555555552E-2</v>
      </c>
      <c r="AK302" s="711">
        <f>IFERROR(Z302+AJ302*0.5,"")</f>
        <v>0.24245370697867563</v>
      </c>
      <c r="AL302" s="582" t="s">
        <v>389</v>
      </c>
      <c r="AM302" s="580" t="s">
        <v>389</v>
      </c>
      <c r="AN302" s="576" t="s">
        <v>389</v>
      </c>
      <c r="AO302" s="580" t="s">
        <v>389</v>
      </c>
    </row>
    <row r="303" spans="2:41" s="436" customFormat="1" ht="14">
      <c r="B303" s="800">
        <v>2605</v>
      </c>
      <c r="C303" s="1392" t="s">
        <v>211</v>
      </c>
      <c r="D303" s="1392"/>
      <c r="E303" s="1392"/>
      <c r="F303" s="1392"/>
      <c r="G303" s="566" t="s">
        <v>389</v>
      </c>
      <c r="H303" s="566"/>
      <c r="I303" s="566" t="s">
        <v>389</v>
      </c>
      <c r="J303" s="566">
        <v>5</v>
      </c>
      <c r="K303" s="566" t="s">
        <v>286</v>
      </c>
      <c r="L303" s="566">
        <v>12</v>
      </c>
      <c r="M303" s="576">
        <v>2199</v>
      </c>
      <c r="N303" s="576">
        <f t="shared" si="122"/>
        <v>131940</v>
      </c>
      <c r="O303" s="566">
        <v>12</v>
      </c>
      <c r="P303" s="577">
        <f>IFERROR(_xlfn.XLOOKUP($F$300,'[4]By Model'!$A:$A,'[4]By Model'!$K:$K),"")</f>
        <v>0.26467592920089783</v>
      </c>
      <c r="Q303" s="578" t="str">
        <f>IFERROR(_xlfn.XLOOKUP(F303,'[5]By Model'!$A:$A,'[5]By Model'!$B:$B),"")</f>
        <v/>
      </c>
      <c r="R303" s="579">
        <f>IFERROR(_xlfn.XLOOKUP($F$300,'[4]By Model'!$A:$A,'[4]By Model'!$I:$I),"")</f>
        <v>2884.9936974653847</v>
      </c>
      <c r="S303" s="578" t="str">
        <f>IFERROR(_xlfn.XLOOKUP(F303,[6]Sum!$G:$G,[6]Sum!$AM:$AM),"")</f>
        <v/>
      </c>
      <c r="T303" s="576">
        <v>2399</v>
      </c>
      <c r="U303" s="576">
        <f t="shared" si="111"/>
        <v>143940</v>
      </c>
      <c r="V303" s="580">
        <v>12</v>
      </c>
      <c r="W303" s="576">
        <f t="shared" si="112"/>
        <v>14394</v>
      </c>
      <c r="X303" s="576">
        <f t="shared" si="113"/>
        <v>129546</v>
      </c>
      <c r="Y303" s="581">
        <f t="shared" si="114"/>
        <v>-1.8144611186903137E-2</v>
      </c>
      <c r="Z303" s="577">
        <f t="shared" si="120"/>
        <v>0.25560362360744626</v>
      </c>
      <c r="AA303" s="577">
        <v>0.28999999999999998</v>
      </c>
      <c r="AB303" s="582" t="s">
        <v>389</v>
      </c>
      <c r="AC303" s="576">
        <v>2399</v>
      </c>
      <c r="AD303" s="576">
        <f t="shared" si="115"/>
        <v>143940</v>
      </c>
      <c r="AE303" s="711"/>
      <c r="AF303" s="580">
        <v>6</v>
      </c>
      <c r="AG303" s="576">
        <f t="shared" si="116"/>
        <v>7197</v>
      </c>
      <c r="AH303" s="709">
        <f t="shared" si="117"/>
        <v>136743</v>
      </c>
      <c r="AI303" s="709">
        <f t="shared" si="118"/>
        <v>7197</v>
      </c>
      <c r="AJ303" s="577">
        <f t="shared" si="119"/>
        <v>5.5555555555555552E-2</v>
      </c>
      <c r="AK303" s="711">
        <f>IFERROR(Z303+AJ303*0.5,"")</f>
        <v>0.28338140138522405</v>
      </c>
      <c r="AL303" s="582" t="s">
        <v>389</v>
      </c>
      <c r="AM303" s="580" t="s">
        <v>389</v>
      </c>
      <c r="AN303" s="576" t="s">
        <v>389</v>
      </c>
      <c r="AO303" s="580" t="s">
        <v>389</v>
      </c>
    </row>
    <row r="304" spans="2:41" s="436" customFormat="1" ht="14">
      <c r="B304" s="800">
        <v>2605</v>
      </c>
      <c r="C304" s="1392" t="s">
        <v>211</v>
      </c>
      <c r="D304" s="1392"/>
      <c r="E304" s="1392"/>
      <c r="F304" s="1392"/>
      <c r="G304" s="566" t="s">
        <v>389</v>
      </c>
      <c r="H304" s="566"/>
      <c r="I304" s="566" t="s">
        <v>389</v>
      </c>
      <c r="J304" s="566">
        <v>6</v>
      </c>
      <c r="K304" s="566" t="s">
        <v>288</v>
      </c>
      <c r="L304" s="566">
        <v>12</v>
      </c>
      <c r="M304" s="576">
        <v>2199</v>
      </c>
      <c r="N304" s="576">
        <f t="shared" si="122"/>
        <v>158328</v>
      </c>
      <c r="O304" s="566">
        <v>12</v>
      </c>
      <c r="P304" s="577">
        <f>IFERROR(_xlfn.XLOOKUP($F$300,'[4]By Model'!$A:$A,'[4]By Model'!$K:$K),"")</f>
        <v>0.26467592920089783</v>
      </c>
      <c r="Q304" s="578" t="str">
        <f>IFERROR(_xlfn.XLOOKUP(F304,'[5]By Model'!$A:$A,'[5]By Model'!$B:$B),"")</f>
        <v/>
      </c>
      <c r="R304" s="579">
        <f>IFERROR(_xlfn.XLOOKUP($F$300,'[4]By Model'!$A:$A,'[4]By Model'!$I:$I),"")</f>
        <v>2884.9936974653847</v>
      </c>
      <c r="S304" s="578">
        <f>IFERROR(_xlfn.XLOOKUP(F304,[6]Sum!$G:$G,[6]Sum!$AM:$AM),"")</f>
        <v>0</v>
      </c>
      <c r="T304" s="576">
        <v>1999</v>
      </c>
      <c r="U304" s="576">
        <f t="shared" si="111"/>
        <v>143928</v>
      </c>
      <c r="V304" s="580">
        <v>12</v>
      </c>
      <c r="W304" s="576">
        <f t="shared" si="112"/>
        <v>11994</v>
      </c>
      <c r="X304" s="576">
        <f t="shared" si="113"/>
        <v>131934</v>
      </c>
      <c r="Y304" s="581">
        <f t="shared" si="114"/>
        <v>-0.16670456268000611</v>
      </c>
      <c r="Z304" s="577">
        <f t="shared" si="120"/>
        <v>0.18132364786089478</v>
      </c>
      <c r="AA304" s="577">
        <v>0.33</v>
      </c>
      <c r="AB304" s="582" t="s">
        <v>389</v>
      </c>
      <c r="AC304" s="576">
        <v>1999</v>
      </c>
      <c r="AD304" s="576">
        <f t="shared" si="115"/>
        <v>143928</v>
      </c>
      <c r="AE304" s="576"/>
      <c r="AF304" s="580">
        <v>6</v>
      </c>
      <c r="AG304" s="576">
        <f t="shared" si="116"/>
        <v>5997</v>
      </c>
      <c r="AH304" s="709">
        <f t="shared" si="117"/>
        <v>137931</v>
      </c>
      <c r="AI304" s="709">
        <f t="shared" si="118"/>
        <v>5997</v>
      </c>
      <c r="AJ304" s="577">
        <f t="shared" si="119"/>
        <v>4.5454545454545456E-2</v>
      </c>
      <c r="AK304" s="711">
        <f>IFERROR(Z304+AJ304*0.5,"")</f>
        <v>0.20405092058816751</v>
      </c>
      <c r="AL304" s="582" t="s">
        <v>389</v>
      </c>
      <c r="AM304" s="580" t="s">
        <v>389</v>
      </c>
      <c r="AN304" s="576" t="s">
        <v>389</v>
      </c>
      <c r="AO304" s="580" t="s">
        <v>389</v>
      </c>
    </row>
    <row r="305" spans="2:41" s="436" customFormat="1" ht="14">
      <c r="B305" s="801">
        <v>2605</v>
      </c>
      <c r="C305" s="1393" t="s">
        <v>211</v>
      </c>
      <c r="D305" s="1393"/>
      <c r="E305" s="1393"/>
      <c r="F305" s="1393"/>
      <c r="G305" s="566" t="s">
        <v>389</v>
      </c>
      <c r="H305" s="566"/>
      <c r="I305" s="566" t="s">
        <v>389</v>
      </c>
      <c r="J305" s="566">
        <v>6</v>
      </c>
      <c r="K305" s="566" t="s">
        <v>286</v>
      </c>
      <c r="L305" s="566">
        <v>12</v>
      </c>
      <c r="M305" s="576">
        <v>2199</v>
      </c>
      <c r="N305" s="576">
        <f t="shared" si="122"/>
        <v>158328</v>
      </c>
      <c r="O305" s="566">
        <v>12</v>
      </c>
      <c r="P305" s="577">
        <f>IFERROR(_xlfn.XLOOKUP($F$300,'[4]By Model'!$A:$A,'[4]By Model'!$K:$K),"")</f>
        <v>0.26467592920089783</v>
      </c>
      <c r="Q305" s="578" t="str">
        <f>IFERROR(_xlfn.XLOOKUP(F305,'[5]By Model'!$A:$A,'[5]By Model'!$B:$B),"")</f>
        <v/>
      </c>
      <c r="R305" s="579">
        <f>IFERROR(_xlfn.XLOOKUP($F$300,'[4]By Model'!$A:$A,'[4]By Model'!$I:$I),"")</f>
        <v>2884.9936974653847</v>
      </c>
      <c r="S305" s="578" t="str">
        <f>IFERROR(_xlfn.XLOOKUP(F305,[6]Sum!$G:$G,[6]Sum!$AM:$AM),"")</f>
        <v/>
      </c>
      <c r="T305" s="576">
        <v>2199</v>
      </c>
      <c r="U305" s="576">
        <f t="shared" si="111"/>
        <v>158328</v>
      </c>
      <c r="V305" s="580">
        <v>12</v>
      </c>
      <c r="W305" s="576">
        <f t="shared" si="112"/>
        <v>13194</v>
      </c>
      <c r="X305" s="576">
        <f t="shared" si="113"/>
        <v>145134</v>
      </c>
      <c r="Y305" s="581">
        <f t="shared" si="114"/>
        <v>-8.333333333333337E-2</v>
      </c>
      <c r="Z305" s="577">
        <f t="shared" si="120"/>
        <v>0.22300926253423115</v>
      </c>
      <c r="AA305" s="577">
        <v>0.33</v>
      </c>
      <c r="AB305" s="582" t="s">
        <v>389</v>
      </c>
      <c r="AC305" s="576">
        <v>2199</v>
      </c>
      <c r="AD305" s="576">
        <f t="shared" si="115"/>
        <v>158328</v>
      </c>
      <c r="AE305" s="576"/>
      <c r="AF305" s="580">
        <v>6</v>
      </c>
      <c r="AG305" s="576">
        <f t="shared" si="116"/>
        <v>6597</v>
      </c>
      <c r="AH305" s="709">
        <f t="shared" si="117"/>
        <v>151731</v>
      </c>
      <c r="AI305" s="709">
        <f t="shared" si="118"/>
        <v>6597</v>
      </c>
      <c r="AJ305" s="577">
        <f t="shared" si="119"/>
        <v>4.5454545454545456E-2</v>
      </c>
      <c r="AK305" s="711">
        <f>IFERROR(Z305+AJ305*0.5,"")</f>
        <v>0.24573653526150388</v>
      </c>
      <c r="AL305" s="582" t="s">
        <v>389</v>
      </c>
      <c r="AM305" s="580" t="s">
        <v>389</v>
      </c>
      <c r="AN305" s="576" t="s">
        <v>389</v>
      </c>
      <c r="AO305" s="580" t="s">
        <v>389</v>
      </c>
    </row>
    <row r="306" spans="2:41" s="436" customFormat="1" ht="14" hidden="1">
      <c r="B306" s="799">
        <v>2605</v>
      </c>
      <c r="C306" s="1391" t="s">
        <v>211</v>
      </c>
      <c r="D306" s="1391"/>
      <c r="E306" s="1391"/>
      <c r="F306" s="1391" t="s">
        <v>391</v>
      </c>
      <c r="G306" s="566"/>
      <c r="H306" s="566"/>
      <c r="I306" s="566"/>
      <c r="J306" s="566">
        <v>3</v>
      </c>
      <c r="K306" s="566" t="s">
        <v>286</v>
      </c>
      <c r="L306" s="566">
        <v>12</v>
      </c>
      <c r="M306" s="576">
        <v>0</v>
      </c>
      <c r="N306" s="576">
        <f t="shared" si="122"/>
        <v>0</v>
      </c>
      <c r="O306" s="566">
        <v>12</v>
      </c>
      <c r="P306" s="577">
        <f>IFERROR(_xlfn.XLOOKUP(F306,'[4]By Model'!$A:$A,'[4]By Model'!$K:$K),"")</f>
        <v>0.24891242691053392</v>
      </c>
      <c r="Q306" s="578" t="str">
        <f>IFERROR(_xlfn.XLOOKUP(F306,'[5]By Model'!$A:$A,'[5]By Model'!$B:$B),"")</f>
        <v/>
      </c>
      <c r="R306" s="579">
        <f>IFERROR(_xlfn.XLOOKUP(F306,'[4]By Model'!$A:$A,'[4]By Model'!$I:$I),"")</f>
        <v>2850.5532599624999</v>
      </c>
      <c r="S306" s="578" t="str">
        <f>IFERROR(_xlfn.XLOOKUP(F306,[6]Sum!$G:$G,[6]Sum!$AM:$AM),"")</f>
        <v/>
      </c>
      <c r="T306" s="576">
        <v>0</v>
      </c>
      <c r="U306" s="576">
        <f t="shared" si="111"/>
        <v>0</v>
      </c>
      <c r="V306" s="580">
        <v>0</v>
      </c>
      <c r="W306" s="576">
        <f t="shared" si="112"/>
        <v>0</v>
      </c>
      <c r="X306" s="576">
        <f t="shared" si="113"/>
        <v>0</v>
      </c>
      <c r="Y306" s="581" t="e">
        <f t="shared" si="114"/>
        <v>#DIV/0!</v>
      </c>
      <c r="Z306" s="577" t="str">
        <f t="shared" si="120"/>
        <v/>
      </c>
      <c r="AA306" s="577">
        <v>0.28999999999999998</v>
      </c>
      <c r="AB306" s="582" t="s">
        <v>389</v>
      </c>
      <c r="AC306" s="576">
        <v>0</v>
      </c>
      <c r="AD306" s="576">
        <f t="shared" si="115"/>
        <v>0</v>
      </c>
      <c r="AE306" s="711">
        <f>AD306/AD308</f>
        <v>0</v>
      </c>
      <c r="AF306" s="580">
        <v>0</v>
      </c>
      <c r="AG306" s="576">
        <f t="shared" si="116"/>
        <v>0</v>
      </c>
      <c r="AH306" s="709">
        <f t="shared" si="117"/>
        <v>0</v>
      </c>
      <c r="AI306" s="709">
        <f t="shared" si="118"/>
        <v>0</v>
      </c>
      <c r="AJ306" s="577" t="e">
        <f t="shared" si="119"/>
        <v>#DIV/0!</v>
      </c>
      <c r="AK306" s="582" t="str">
        <f t="shared" si="121"/>
        <v/>
      </c>
      <c r="AL306" s="582" t="s">
        <v>389</v>
      </c>
      <c r="AM306" s="580" t="s">
        <v>389</v>
      </c>
      <c r="AN306" s="576" t="s">
        <v>389</v>
      </c>
      <c r="AO306" s="580" t="s">
        <v>389</v>
      </c>
    </row>
    <row r="307" spans="2:41" s="436" customFormat="1" ht="14" hidden="1">
      <c r="B307" s="800">
        <v>2605</v>
      </c>
      <c r="C307" s="1392" t="str">
        <f t="shared" ref="C307" si="139">C308</f>
        <v>W/M</v>
      </c>
      <c r="D307" s="1392"/>
      <c r="E307" s="1392"/>
      <c r="F307" s="1392" t="s">
        <v>391</v>
      </c>
      <c r="G307" s="566"/>
      <c r="H307" s="566"/>
      <c r="I307" s="566"/>
      <c r="J307" s="566">
        <v>3</v>
      </c>
      <c r="K307" s="566" t="s">
        <v>288</v>
      </c>
      <c r="L307" s="566">
        <f t="shared" ref="L307:O307" si="140">L308</f>
        <v>12</v>
      </c>
      <c r="M307" s="576">
        <v>2849</v>
      </c>
      <c r="N307" s="576">
        <f t="shared" si="122"/>
        <v>102564</v>
      </c>
      <c r="O307" s="566">
        <f t="shared" si="140"/>
        <v>12</v>
      </c>
      <c r="P307" s="577">
        <f>IFERROR(_xlfn.XLOOKUP(F307,'[4]By Model'!$A:$A,'[4]By Model'!$K:$K),"")</f>
        <v>0.24891242691053392</v>
      </c>
      <c r="Q307" s="578" t="str">
        <f>IFERROR(_xlfn.XLOOKUP(F307,'[5]By Model'!$A:$A,'[5]By Model'!$B:$B),"")</f>
        <v/>
      </c>
      <c r="R307" s="579">
        <f>IFERROR(_xlfn.XLOOKUP(F307,'[4]By Model'!$A:$A,'[4]By Model'!$I:$I),"")</f>
        <v>2850.5532599624999</v>
      </c>
      <c r="S307" s="578" t="str">
        <f>IFERROR(_xlfn.XLOOKUP(F307,[6]Sum!$G:$G,[6]Sum!$AM:$AM),"")</f>
        <v/>
      </c>
      <c r="T307" s="576">
        <v>2849</v>
      </c>
      <c r="U307" s="576">
        <f t="shared" si="111"/>
        <v>102564</v>
      </c>
      <c r="V307" s="580">
        <v>0</v>
      </c>
      <c r="W307" s="576">
        <f t="shared" si="112"/>
        <v>0</v>
      </c>
      <c r="X307" s="576">
        <f t="shared" si="113"/>
        <v>102564</v>
      </c>
      <c r="Y307" s="581">
        <f t="shared" si="114"/>
        <v>0</v>
      </c>
      <c r="Z307" s="577">
        <f t="shared" si="120"/>
        <v>0.24891242691053392</v>
      </c>
      <c r="AA307" s="577">
        <f t="shared" ref="AA307:AB307" si="141">AA308</f>
        <v>0.28000000000000003</v>
      </c>
      <c r="AB307" s="582" t="str">
        <f t="shared" si="141"/>
        <v> </v>
      </c>
      <c r="AC307" s="576">
        <v>2849</v>
      </c>
      <c r="AD307" s="576">
        <f t="shared" si="115"/>
        <v>102564</v>
      </c>
      <c r="AE307" s="711">
        <f>AD307/AD309</f>
        <v>0.71254689453939146</v>
      </c>
      <c r="AF307" s="580">
        <v>0</v>
      </c>
      <c r="AG307" s="576">
        <f t="shared" si="116"/>
        <v>0</v>
      </c>
      <c r="AH307" s="709">
        <f t="shared" si="117"/>
        <v>102564</v>
      </c>
      <c r="AI307" s="709">
        <f t="shared" si="118"/>
        <v>0</v>
      </c>
      <c r="AJ307" s="577">
        <f t="shared" si="119"/>
        <v>0</v>
      </c>
      <c r="AK307" s="582">
        <f t="shared" si="121"/>
        <v>0.24891242691053392</v>
      </c>
      <c r="AL307" s="582" t="str">
        <f t="shared" ref="AL307" si="142">AL308</f>
        <v> </v>
      </c>
      <c r="AM307" s="580"/>
      <c r="AN307" s="576"/>
      <c r="AO307" s="580"/>
    </row>
    <row r="308" spans="2:41" s="436" customFormat="1" ht="14">
      <c r="B308" s="800">
        <v>2605</v>
      </c>
      <c r="C308" s="1392" t="s">
        <v>211</v>
      </c>
      <c r="D308" s="1392"/>
      <c r="E308" s="1392"/>
      <c r="F308" s="1392" t="s">
        <v>391</v>
      </c>
      <c r="G308" s="566"/>
      <c r="H308" s="566"/>
      <c r="I308" s="566"/>
      <c r="J308" s="566">
        <v>5</v>
      </c>
      <c r="K308" s="566" t="s">
        <v>288</v>
      </c>
      <c r="L308" s="566">
        <v>12</v>
      </c>
      <c r="M308" s="576">
        <v>2199</v>
      </c>
      <c r="N308" s="576">
        <f t="shared" si="122"/>
        <v>131940</v>
      </c>
      <c r="O308" s="566">
        <v>12</v>
      </c>
      <c r="P308" s="577">
        <f>IFERROR(_xlfn.XLOOKUP(F308,'[4]By Model'!$A:$A,'[4]By Model'!$K:$K),"")</f>
        <v>0.24891242691053392</v>
      </c>
      <c r="Q308" s="578" t="str">
        <f>IFERROR(_xlfn.XLOOKUP(F308,'[5]By Model'!$A:$A,'[5]By Model'!$B:$B),"")</f>
        <v/>
      </c>
      <c r="R308" s="579">
        <f>IFERROR(_xlfn.XLOOKUP(F308,'[4]By Model'!$A:$A,'[4]By Model'!$I:$I),"")</f>
        <v>2850.5532599624999</v>
      </c>
      <c r="S308" s="578" t="str">
        <f>IFERROR(_xlfn.XLOOKUP(F308,[6]Sum!$G:$G,[6]Sum!$AM:$AM),"")</f>
        <v/>
      </c>
      <c r="T308" s="576">
        <v>2199</v>
      </c>
      <c r="U308" s="576">
        <f t="shared" si="111"/>
        <v>131940</v>
      </c>
      <c r="V308" s="580">
        <v>12</v>
      </c>
      <c r="W308" s="576">
        <f t="shared" si="112"/>
        <v>13194</v>
      </c>
      <c r="X308" s="576">
        <f t="shared" si="113"/>
        <v>118746</v>
      </c>
      <c r="Y308" s="581">
        <f t="shared" si="114"/>
        <v>-9.9999999999999978E-2</v>
      </c>
      <c r="Z308" s="577">
        <f t="shared" si="120"/>
        <v>0.19891242691053393</v>
      </c>
      <c r="AA308" s="577">
        <v>0.28000000000000003</v>
      </c>
      <c r="AB308" s="582" t="s">
        <v>389</v>
      </c>
      <c r="AC308" s="576">
        <v>2199</v>
      </c>
      <c r="AD308" s="576">
        <f t="shared" si="115"/>
        <v>131940</v>
      </c>
      <c r="AE308" s="711"/>
      <c r="AF308" s="580">
        <v>6</v>
      </c>
      <c r="AG308" s="576">
        <f t="shared" si="116"/>
        <v>6597</v>
      </c>
      <c r="AH308" s="709">
        <f t="shared" si="117"/>
        <v>125343</v>
      </c>
      <c r="AI308" s="709">
        <f t="shared" si="118"/>
        <v>6597</v>
      </c>
      <c r="AJ308" s="577">
        <f t="shared" si="119"/>
        <v>5.5555555555555552E-2</v>
      </c>
      <c r="AK308" s="582">
        <f t="shared" si="121"/>
        <v>0.22669020468831169</v>
      </c>
      <c r="AL308" s="582" t="s">
        <v>389</v>
      </c>
      <c r="AM308" s="580" t="s">
        <v>389</v>
      </c>
      <c r="AN308" s="576" t="s">
        <v>389</v>
      </c>
      <c r="AO308" s="580" t="s">
        <v>389</v>
      </c>
    </row>
    <row r="309" spans="2:41" s="436" customFormat="1" ht="14">
      <c r="B309" s="800">
        <v>2605</v>
      </c>
      <c r="C309" s="1392" t="s">
        <v>211</v>
      </c>
      <c r="D309" s="1392"/>
      <c r="E309" s="1392"/>
      <c r="F309" s="1392" t="s">
        <v>391</v>
      </c>
      <c r="G309" s="566"/>
      <c r="H309" s="566"/>
      <c r="I309" s="566"/>
      <c r="J309" s="566">
        <v>5</v>
      </c>
      <c r="K309" s="566" t="s">
        <v>286</v>
      </c>
      <c r="L309" s="566">
        <v>12</v>
      </c>
      <c r="M309" s="576">
        <v>2399</v>
      </c>
      <c r="N309" s="576">
        <f t="shared" si="122"/>
        <v>143940</v>
      </c>
      <c r="O309" s="566">
        <v>12</v>
      </c>
      <c r="P309" s="577">
        <f>IFERROR(_xlfn.XLOOKUP(F309,'[4]By Model'!$A:$A,'[4]By Model'!$K:$K),"")</f>
        <v>0.24891242691053392</v>
      </c>
      <c r="Q309" s="578" t="str">
        <f>IFERROR(_xlfn.XLOOKUP(F309,'[5]By Model'!$A:$A,'[5]By Model'!$B:$B),"")</f>
        <v/>
      </c>
      <c r="R309" s="579">
        <f>IFERROR(_xlfn.XLOOKUP(F309,'[4]By Model'!$A:$A,'[4]By Model'!$I:$I),"")</f>
        <v>2850.5532599624999</v>
      </c>
      <c r="S309" s="578" t="str">
        <f>IFERROR(_xlfn.XLOOKUP(F309,[6]Sum!$G:$G,[6]Sum!$AM:$AM),"")</f>
        <v/>
      </c>
      <c r="T309" s="576">
        <v>2399</v>
      </c>
      <c r="U309" s="576">
        <f t="shared" si="111"/>
        <v>143940</v>
      </c>
      <c r="V309" s="580">
        <v>12</v>
      </c>
      <c r="W309" s="576">
        <f t="shared" si="112"/>
        <v>14394</v>
      </c>
      <c r="X309" s="576">
        <f t="shared" si="113"/>
        <v>129546</v>
      </c>
      <c r="Y309" s="581">
        <f t="shared" si="114"/>
        <v>-9.9999999999999978E-2</v>
      </c>
      <c r="Z309" s="577">
        <f t="shared" si="120"/>
        <v>0.19891242691053393</v>
      </c>
      <c r="AA309" s="577">
        <v>0.28999999999999998</v>
      </c>
      <c r="AB309" s="582" t="s">
        <v>389</v>
      </c>
      <c r="AC309" s="576">
        <v>2399</v>
      </c>
      <c r="AD309" s="576">
        <f t="shared" si="115"/>
        <v>143940</v>
      </c>
      <c r="AE309" s="711"/>
      <c r="AF309" s="580">
        <v>6</v>
      </c>
      <c r="AG309" s="576">
        <f t="shared" si="116"/>
        <v>7197</v>
      </c>
      <c r="AH309" s="709">
        <f t="shared" si="117"/>
        <v>136743</v>
      </c>
      <c r="AI309" s="709">
        <f t="shared" si="118"/>
        <v>7197</v>
      </c>
      <c r="AJ309" s="577">
        <f t="shared" si="119"/>
        <v>5.5555555555555552E-2</v>
      </c>
      <c r="AK309" s="582">
        <f t="shared" si="121"/>
        <v>0.22669020468831169</v>
      </c>
      <c r="AL309" s="582" t="s">
        <v>389</v>
      </c>
      <c r="AM309" s="580" t="s">
        <v>389</v>
      </c>
      <c r="AN309" s="576" t="s">
        <v>389</v>
      </c>
      <c r="AO309" s="580" t="s">
        <v>389</v>
      </c>
    </row>
    <row r="310" spans="2:41" s="436" customFormat="1" ht="14">
      <c r="B310" s="800">
        <v>2605</v>
      </c>
      <c r="C310" s="1392" t="s">
        <v>211</v>
      </c>
      <c r="D310" s="1392"/>
      <c r="E310" s="1392"/>
      <c r="F310" s="1392" t="s">
        <v>391</v>
      </c>
      <c r="G310" s="566"/>
      <c r="H310" s="566"/>
      <c r="I310" s="566"/>
      <c r="J310" s="566">
        <v>6</v>
      </c>
      <c r="K310" s="566" t="s">
        <v>288</v>
      </c>
      <c r="L310" s="566">
        <v>12</v>
      </c>
      <c r="M310" s="576">
        <v>1999</v>
      </c>
      <c r="N310" s="576">
        <f t="shared" si="122"/>
        <v>143928</v>
      </c>
      <c r="O310" s="566">
        <v>12</v>
      </c>
      <c r="P310" s="577">
        <f>IFERROR(_xlfn.XLOOKUP(F310,'[4]By Model'!$A:$A,'[4]By Model'!$K:$K),"")</f>
        <v>0.24891242691053392</v>
      </c>
      <c r="Q310" s="578" t="str">
        <f>IFERROR(_xlfn.XLOOKUP(F310,'[5]By Model'!$A:$A,'[5]By Model'!$B:$B),"")</f>
        <v/>
      </c>
      <c r="R310" s="579">
        <f>IFERROR(_xlfn.XLOOKUP(F310,'[4]By Model'!$A:$A,'[4]By Model'!$I:$I),"")</f>
        <v>2850.5532599624999</v>
      </c>
      <c r="S310" s="578" t="str">
        <f>IFERROR(_xlfn.XLOOKUP(F310,[6]Sum!$G:$G,[6]Sum!$AM:$AM),"")</f>
        <v/>
      </c>
      <c r="T310" s="576">
        <v>1999</v>
      </c>
      <c r="U310" s="576">
        <f t="shared" si="111"/>
        <v>143928</v>
      </c>
      <c r="V310" s="580">
        <v>12</v>
      </c>
      <c r="W310" s="576">
        <f t="shared" si="112"/>
        <v>11994</v>
      </c>
      <c r="X310" s="576">
        <f t="shared" si="113"/>
        <v>131934</v>
      </c>
      <c r="Y310" s="581">
        <f t="shared" si="114"/>
        <v>-8.333333333333337E-2</v>
      </c>
      <c r="Z310" s="577">
        <f t="shared" si="120"/>
        <v>0.20724576024386723</v>
      </c>
      <c r="AA310" s="577">
        <v>0.33</v>
      </c>
      <c r="AB310" s="582" t="s">
        <v>389</v>
      </c>
      <c r="AC310" s="576">
        <v>1999</v>
      </c>
      <c r="AD310" s="576">
        <f t="shared" si="115"/>
        <v>143928</v>
      </c>
      <c r="AE310" s="576"/>
      <c r="AF310" s="580">
        <v>6</v>
      </c>
      <c r="AG310" s="576">
        <f t="shared" si="116"/>
        <v>5997</v>
      </c>
      <c r="AH310" s="709">
        <f t="shared" si="117"/>
        <v>137931</v>
      </c>
      <c r="AI310" s="709">
        <f t="shared" si="118"/>
        <v>5997</v>
      </c>
      <c r="AJ310" s="577">
        <f t="shared" si="119"/>
        <v>4.5454545454545456E-2</v>
      </c>
      <c r="AK310" s="582">
        <f t="shared" si="121"/>
        <v>0.22997303297113997</v>
      </c>
      <c r="AL310" s="582" t="s">
        <v>389</v>
      </c>
      <c r="AM310" s="580" t="s">
        <v>389</v>
      </c>
      <c r="AN310" s="576" t="s">
        <v>389</v>
      </c>
      <c r="AO310" s="580" t="s">
        <v>389</v>
      </c>
    </row>
    <row r="311" spans="2:41" s="436" customFormat="1" ht="14">
      <c r="B311" s="801">
        <v>2605</v>
      </c>
      <c r="C311" s="1393" t="s">
        <v>211</v>
      </c>
      <c r="D311" s="1393"/>
      <c r="E311" s="1393"/>
      <c r="F311" s="1393" t="s">
        <v>391</v>
      </c>
      <c r="G311" s="566"/>
      <c r="H311" s="566"/>
      <c r="I311" s="566"/>
      <c r="J311" s="566">
        <v>6</v>
      </c>
      <c r="K311" s="566" t="s">
        <v>286</v>
      </c>
      <c r="L311" s="566">
        <v>12</v>
      </c>
      <c r="M311" s="576">
        <v>2199</v>
      </c>
      <c r="N311" s="576">
        <f t="shared" si="122"/>
        <v>158328</v>
      </c>
      <c r="O311" s="566">
        <v>12</v>
      </c>
      <c r="P311" s="577">
        <f>IFERROR(_xlfn.XLOOKUP(F311,'[4]By Model'!$A:$A,'[4]By Model'!$K:$K),"")</f>
        <v>0.24891242691053392</v>
      </c>
      <c r="Q311" s="578" t="str">
        <f>IFERROR(_xlfn.XLOOKUP(F311,'[5]By Model'!$A:$A,'[5]By Model'!$B:$B),"")</f>
        <v/>
      </c>
      <c r="R311" s="579">
        <f>IFERROR(_xlfn.XLOOKUP(F311,'[4]By Model'!$A:$A,'[4]By Model'!$I:$I),"")</f>
        <v>2850.5532599624999</v>
      </c>
      <c r="S311" s="578" t="str">
        <f>IFERROR(_xlfn.XLOOKUP(F311,[6]Sum!$G:$G,[6]Sum!$AM:$AM),"")</f>
        <v/>
      </c>
      <c r="T311" s="576">
        <v>2199</v>
      </c>
      <c r="U311" s="576">
        <f t="shared" si="111"/>
        <v>158328</v>
      </c>
      <c r="V311" s="580">
        <v>12</v>
      </c>
      <c r="W311" s="576">
        <f t="shared" si="112"/>
        <v>13194</v>
      </c>
      <c r="X311" s="576">
        <f t="shared" si="113"/>
        <v>145134</v>
      </c>
      <c r="Y311" s="581">
        <f t="shared" si="114"/>
        <v>-8.333333333333337E-2</v>
      </c>
      <c r="Z311" s="577">
        <f t="shared" si="120"/>
        <v>0.20724576024386723</v>
      </c>
      <c r="AA311" s="577">
        <v>0.33</v>
      </c>
      <c r="AB311" s="582" t="s">
        <v>389</v>
      </c>
      <c r="AC311" s="576">
        <v>2199</v>
      </c>
      <c r="AD311" s="576">
        <f t="shared" si="115"/>
        <v>158328</v>
      </c>
      <c r="AE311" s="576"/>
      <c r="AF311" s="580">
        <v>6</v>
      </c>
      <c r="AG311" s="576">
        <f t="shared" si="116"/>
        <v>6597</v>
      </c>
      <c r="AH311" s="709">
        <f t="shared" si="117"/>
        <v>151731</v>
      </c>
      <c r="AI311" s="709">
        <f t="shared" si="118"/>
        <v>6597</v>
      </c>
      <c r="AJ311" s="577">
        <f t="shared" si="119"/>
        <v>4.5454545454545456E-2</v>
      </c>
      <c r="AK311" s="582">
        <f t="shared" si="121"/>
        <v>0.22997303297113997</v>
      </c>
      <c r="AL311" s="582" t="s">
        <v>389</v>
      </c>
      <c r="AM311" s="580" t="s">
        <v>389</v>
      </c>
      <c r="AN311" s="576" t="s">
        <v>389</v>
      </c>
      <c r="AO311" s="580" t="s">
        <v>389</v>
      </c>
    </row>
    <row r="312" spans="2:41" s="436" customFormat="1" ht="14" hidden="1">
      <c r="B312" s="799">
        <v>2605</v>
      </c>
      <c r="C312" s="1391" t="str">
        <f t="shared" ref="C312" si="143">C313</f>
        <v>Water Care</v>
      </c>
      <c r="D312" s="1391"/>
      <c r="E312" s="1391"/>
      <c r="F312" s="1391" t="s">
        <v>79</v>
      </c>
      <c r="G312" s="566"/>
      <c r="H312" s="566"/>
      <c r="I312" s="566"/>
      <c r="J312" s="566">
        <v>3</v>
      </c>
      <c r="K312" s="566" t="s">
        <v>286</v>
      </c>
      <c r="L312" s="566">
        <f t="shared" ref="L312:O312" si="144">L313</f>
        <v>6</v>
      </c>
      <c r="M312" s="576">
        <v>949</v>
      </c>
      <c r="N312" s="576">
        <f t="shared" si="122"/>
        <v>34164</v>
      </c>
      <c r="O312" s="566">
        <f t="shared" si="144"/>
        <v>6</v>
      </c>
      <c r="P312" s="577">
        <f>IFERROR(_xlfn.XLOOKUP($F$312,'[4]By Model'!$A:$A,'[4]By Model'!$K:$K),"")</f>
        <v>1.0026111031820011</v>
      </c>
      <c r="Q312" s="578">
        <f>IFERROR(_xlfn.XLOOKUP(F312,'[5]By Model'!$A:$A,'[5]By Model'!$B:$B),"")</f>
        <v>25</v>
      </c>
      <c r="R312" s="579">
        <f>IFERROR(_xlfn.XLOOKUP($F$312,'[4]By Model'!$A:$A,'[4]By Model'!$I:$I),"")</f>
        <v>567.7069762000001</v>
      </c>
      <c r="S312" s="578">
        <f>IFERROR(_xlfn.XLOOKUP(F312,[6]Sum!$G:$G,[6]Sum!$AM:$AM),"")</f>
        <v>0</v>
      </c>
      <c r="T312" s="576">
        <v>749</v>
      </c>
      <c r="U312" s="576">
        <f t="shared" si="111"/>
        <v>26964</v>
      </c>
      <c r="V312" s="580">
        <v>0</v>
      </c>
      <c r="W312" s="576">
        <f t="shared" si="112"/>
        <v>0</v>
      </c>
      <c r="X312" s="576">
        <f t="shared" si="113"/>
        <v>26964</v>
      </c>
      <c r="Y312" s="581">
        <f t="shared" si="114"/>
        <v>-0.21074815595363539</v>
      </c>
      <c r="Z312" s="577">
        <f t="shared" si="120"/>
        <v>0.89723702520518334</v>
      </c>
      <c r="AA312" s="577">
        <f t="shared" ref="AA312" si="145">AA313</f>
        <v>0.34450002077395081</v>
      </c>
      <c r="AB312" s="582"/>
      <c r="AC312" s="576">
        <v>749</v>
      </c>
      <c r="AD312" s="576">
        <f t="shared" si="115"/>
        <v>26964</v>
      </c>
      <c r="AE312" s="711">
        <f>AD312/AD314</f>
        <v>0.90953248330297509</v>
      </c>
      <c r="AF312" s="580">
        <v>0</v>
      </c>
      <c r="AG312" s="576">
        <f t="shared" si="116"/>
        <v>0</v>
      </c>
      <c r="AH312" s="709">
        <f t="shared" si="117"/>
        <v>26964</v>
      </c>
      <c r="AI312" s="709">
        <f t="shared" si="118"/>
        <v>0</v>
      </c>
      <c r="AJ312" s="577">
        <f t="shared" si="119"/>
        <v>0</v>
      </c>
      <c r="AK312" s="582">
        <f t="shared" si="121"/>
        <v>0.89723702520518334</v>
      </c>
      <c r="AL312" s="582">
        <f t="shared" ref="AL312:AL356" si="146">AL313</f>
        <v>0</v>
      </c>
      <c r="AM312" s="580"/>
      <c r="AN312" s="576"/>
      <c r="AO312" s="580"/>
    </row>
    <row r="313" spans="2:41" s="436" customFormat="1" ht="14" hidden="1">
      <c r="B313" s="800">
        <v>2605</v>
      </c>
      <c r="C313" s="1392" t="s">
        <v>307</v>
      </c>
      <c r="D313" s="1392"/>
      <c r="E313" s="1392"/>
      <c r="F313" s="1392"/>
      <c r="G313" s="566"/>
      <c r="H313" s="566"/>
      <c r="I313" s="566"/>
      <c r="J313" s="566">
        <v>3</v>
      </c>
      <c r="K313" s="566" t="s">
        <v>288</v>
      </c>
      <c r="L313" s="566">
        <v>6</v>
      </c>
      <c r="M313" s="576">
        <v>749</v>
      </c>
      <c r="N313" s="576">
        <f t="shared" si="122"/>
        <v>26964</v>
      </c>
      <c r="O313" s="566">
        <v>6</v>
      </c>
      <c r="P313" s="577">
        <f>IFERROR(_xlfn.XLOOKUP($F$312,'[4]By Model'!$A:$A,'[4]By Model'!$K:$K),"")</f>
        <v>1.0026111031820011</v>
      </c>
      <c r="Q313" s="578" t="str">
        <f>IFERROR(_xlfn.XLOOKUP(F313,'[5]By Model'!$A:$A,'[5]By Model'!$B:$B),"")</f>
        <v/>
      </c>
      <c r="R313" s="579">
        <f>IFERROR(_xlfn.XLOOKUP($F$312,'[4]By Model'!$A:$A,'[4]By Model'!$I:$I),"")</f>
        <v>567.7069762000001</v>
      </c>
      <c r="S313" s="578">
        <f>IFERROR(_xlfn.XLOOKUP(F313,[6]Sum!$G:$G,[6]Sum!$AM:$AM),"")</f>
        <v>0</v>
      </c>
      <c r="T313" s="576">
        <v>699</v>
      </c>
      <c r="U313" s="576">
        <f t="shared" si="111"/>
        <v>25164</v>
      </c>
      <c r="V313" s="580">
        <v>0</v>
      </c>
      <c r="W313" s="576">
        <f t="shared" si="112"/>
        <v>0</v>
      </c>
      <c r="X313" s="576">
        <f t="shared" si="113"/>
        <v>25164</v>
      </c>
      <c r="Y313" s="581">
        <f t="shared" si="114"/>
        <v>-6.675567423230977E-2</v>
      </c>
      <c r="Z313" s="577">
        <f t="shared" si="120"/>
        <v>0.96923326606584626</v>
      </c>
      <c r="AA313" s="577">
        <v>0.34450002077395081</v>
      </c>
      <c r="AB313" s="582"/>
      <c r="AC313" s="576">
        <v>699</v>
      </c>
      <c r="AD313" s="576">
        <f t="shared" si="115"/>
        <v>25164</v>
      </c>
      <c r="AE313" s="711">
        <f>AD313/AD315</f>
        <v>0.93386773547094193</v>
      </c>
      <c r="AF313" s="580">
        <v>0</v>
      </c>
      <c r="AG313" s="576">
        <f t="shared" si="116"/>
        <v>0</v>
      </c>
      <c r="AH313" s="709">
        <f t="shared" si="117"/>
        <v>25164</v>
      </c>
      <c r="AI313" s="709">
        <f t="shared" si="118"/>
        <v>0</v>
      </c>
      <c r="AJ313" s="577">
        <f t="shared" si="119"/>
        <v>0</v>
      </c>
      <c r="AK313" s="582">
        <f t="shared" si="121"/>
        <v>0.96923326606584626</v>
      </c>
      <c r="AL313" s="582">
        <f t="shared" si="146"/>
        <v>0</v>
      </c>
      <c r="AM313" s="580" t="e">
        <f>VLOOKUP(F313,[7]PRM!E:R,14,FALSE)</f>
        <v>#N/A</v>
      </c>
      <c r="AN313" s="576" t="e">
        <f>T313-#REF!</f>
        <v>#REF!</v>
      </c>
      <c r="AO313" s="580"/>
    </row>
    <row r="314" spans="2:41" s="436" customFormat="1" ht="14" hidden="1">
      <c r="B314" s="800">
        <v>2605</v>
      </c>
      <c r="C314" s="1392" t="s">
        <v>307</v>
      </c>
      <c r="D314" s="1392"/>
      <c r="E314" s="1392"/>
      <c r="F314" s="1392"/>
      <c r="G314" s="566"/>
      <c r="H314" s="566"/>
      <c r="I314" s="566"/>
      <c r="J314" s="566">
        <v>5</v>
      </c>
      <c r="K314" s="566" t="s">
        <v>286</v>
      </c>
      <c r="L314" s="566">
        <v>6</v>
      </c>
      <c r="M314" s="576">
        <v>549</v>
      </c>
      <c r="N314" s="576">
        <f t="shared" si="122"/>
        <v>32940</v>
      </c>
      <c r="O314" s="566">
        <v>6</v>
      </c>
      <c r="P314" s="577">
        <f>IFERROR(_xlfn.XLOOKUP($F$312,'[4]By Model'!$A:$A,'[4]By Model'!$K:$K),"")</f>
        <v>1.0026111031820011</v>
      </c>
      <c r="Q314" s="578" t="str">
        <f>IFERROR(_xlfn.XLOOKUP(F314,'[5]By Model'!$A:$A,'[5]By Model'!$B:$B),"")</f>
        <v/>
      </c>
      <c r="R314" s="579">
        <f>IFERROR(_xlfn.XLOOKUP($F$312,'[4]By Model'!$A:$A,'[4]By Model'!$I:$I),"")</f>
        <v>567.7069762000001</v>
      </c>
      <c r="S314" s="578" t="str">
        <f>IFERROR(_xlfn.XLOOKUP(F314,[6]Sum!$G:$G,[6]Sum!$AM:$AM),"")</f>
        <v/>
      </c>
      <c r="T314" s="576">
        <v>549</v>
      </c>
      <c r="U314" s="576">
        <f t="shared" si="111"/>
        <v>32940</v>
      </c>
      <c r="V314" s="580">
        <v>12</v>
      </c>
      <c r="W314" s="576">
        <f t="shared" si="112"/>
        <v>3294</v>
      </c>
      <c r="X314" s="576">
        <f t="shared" si="113"/>
        <v>29646</v>
      </c>
      <c r="Y314" s="581">
        <f t="shared" si="114"/>
        <v>-9.9999999999999978E-2</v>
      </c>
      <c r="Z314" s="577">
        <f t="shared" si="120"/>
        <v>0.95261110318200104</v>
      </c>
      <c r="AA314" s="577">
        <v>0.34450002077395081</v>
      </c>
      <c r="AB314" s="582"/>
      <c r="AC314" s="576">
        <f>T314</f>
        <v>549</v>
      </c>
      <c r="AD314" s="576">
        <f>(T314*((J314*12)-AF314))</f>
        <v>29646</v>
      </c>
      <c r="AE314" s="580">
        <v>99</v>
      </c>
      <c r="AF314" s="583">
        <v>6</v>
      </c>
      <c r="AG314" s="576">
        <f>AE314*AF314</f>
        <v>594</v>
      </c>
      <c r="AH314" s="709">
        <f>AD314+AG314</f>
        <v>30240</v>
      </c>
      <c r="AI314" s="709">
        <f t="shared" si="118"/>
        <v>594</v>
      </c>
      <c r="AJ314" s="577">
        <f t="shared" si="119"/>
        <v>2.0036429872495445E-2</v>
      </c>
      <c r="AK314" s="711">
        <f>IFERROR(AA314+AJ314*0.5,"")</f>
        <v>0.35451823571019853</v>
      </c>
      <c r="AL314" s="582">
        <f t="shared" si="146"/>
        <v>0</v>
      </c>
      <c r="AM314" s="580" t="e">
        <f>VLOOKUP(F314,[7]PRM!E:R,14,FALSE)</f>
        <v>#N/A</v>
      </c>
      <c r="AN314" s="576" t="e">
        <f>T314-#REF!</f>
        <v>#REF!</v>
      </c>
      <c r="AO314" s="580"/>
    </row>
    <row r="315" spans="2:41" s="436" customFormat="1" ht="14" hidden="1">
      <c r="B315" s="800">
        <v>2605</v>
      </c>
      <c r="C315" s="1392" t="s">
        <v>307</v>
      </c>
      <c r="D315" s="1392"/>
      <c r="E315" s="1392"/>
      <c r="F315" s="1392"/>
      <c r="G315" s="566"/>
      <c r="H315" s="566"/>
      <c r="I315" s="566"/>
      <c r="J315" s="566">
        <v>5</v>
      </c>
      <c r="K315" s="566" t="s">
        <v>288</v>
      </c>
      <c r="L315" s="566">
        <v>6</v>
      </c>
      <c r="M315" s="576">
        <v>499</v>
      </c>
      <c r="N315" s="576">
        <f t="shared" si="122"/>
        <v>29940</v>
      </c>
      <c r="O315" s="566">
        <v>6</v>
      </c>
      <c r="P315" s="577">
        <f>IFERROR(_xlfn.XLOOKUP($F$312,'[4]By Model'!$A:$A,'[4]By Model'!$K:$K),"")</f>
        <v>1.0026111031820011</v>
      </c>
      <c r="Q315" s="578" t="str">
        <f>IFERROR(_xlfn.XLOOKUP(F315,'[5]By Model'!$A:$A,'[5]By Model'!$B:$B),"")</f>
        <v/>
      </c>
      <c r="R315" s="579">
        <f>IFERROR(_xlfn.XLOOKUP($F$312,'[4]By Model'!$A:$A,'[4]By Model'!$I:$I),"")</f>
        <v>567.7069762000001</v>
      </c>
      <c r="S315" s="578" t="str">
        <f>IFERROR(_xlfn.XLOOKUP(F315,[6]Sum!$G:$G,[6]Sum!$AM:$AM),"")</f>
        <v/>
      </c>
      <c r="T315" s="576">
        <v>499</v>
      </c>
      <c r="U315" s="576">
        <f t="shared" si="111"/>
        <v>29940</v>
      </c>
      <c r="V315" s="580">
        <v>12</v>
      </c>
      <c r="W315" s="576">
        <f t="shared" si="112"/>
        <v>2994</v>
      </c>
      <c r="X315" s="576">
        <f t="shared" si="113"/>
        <v>26946</v>
      </c>
      <c r="Y315" s="581">
        <f t="shared" si="114"/>
        <v>-9.9999999999999978E-2</v>
      </c>
      <c r="Z315" s="577">
        <f t="shared" si="120"/>
        <v>0.95261110318200104</v>
      </c>
      <c r="AA315" s="577">
        <v>0.34450002077395081</v>
      </c>
      <c r="AB315" s="582"/>
      <c r="AC315" s="576">
        <f t="shared" ref="AC315:AC317" si="147">T315</f>
        <v>499</v>
      </c>
      <c r="AD315" s="576">
        <f t="shared" ref="AD315:AD317" si="148">(T315*((J315*12)-AF315))</f>
        <v>26946</v>
      </c>
      <c r="AE315" s="580">
        <v>99</v>
      </c>
      <c r="AF315" s="583">
        <v>6</v>
      </c>
      <c r="AG315" s="576">
        <f t="shared" ref="AG315:AG317" si="149">AE315*AF315</f>
        <v>594</v>
      </c>
      <c r="AH315" s="709">
        <f t="shared" ref="AH315:AH317" si="150">AD315+AG315</f>
        <v>27540</v>
      </c>
      <c r="AI315" s="709">
        <f t="shared" si="118"/>
        <v>594</v>
      </c>
      <c r="AJ315" s="577">
        <f t="shared" si="119"/>
        <v>2.2044088176352707E-2</v>
      </c>
      <c r="AK315" s="582">
        <f t="shared" si="121"/>
        <v>0.96363314727017735</v>
      </c>
      <c r="AL315" s="582">
        <f t="shared" si="146"/>
        <v>0</v>
      </c>
      <c r="AM315" s="580" t="e">
        <f>VLOOKUP(F315,[7]PRM!E:R,14,FALSE)</f>
        <v>#N/A</v>
      </c>
      <c r="AN315" s="576" t="e">
        <f>T315-#REF!</f>
        <v>#REF!</v>
      </c>
      <c r="AO315" s="580"/>
    </row>
    <row r="316" spans="2:41" s="436" customFormat="1" ht="14" hidden="1">
      <c r="B316" s="800">
        <v>2605</v>
      </c>
      <c r="C316" s="1392" t="s">
        <v>307</v>
      </c>
      <c r="D316" s="1392"/>
      <c r="E316" s="1392"/>
      <c r="F316" s="1392"/>
      <c r="G316" s="566"/>
      <c r="H316" s="566"/>
      <c r="I316" s="566"/>
      <c r="J316" s="566">
        <v>7</v>
      </c>
      <c r="K316" s="566" t="s">
        <v>286</v>
      </c>
      <c r="L316" s="566">
        <v>6</v>
      </c>
      <c r="M316" s="576">
        <v>449</v>
      </c>
      <c r="N316" s="576">
        <f t="shared" si="122"/>
        <v>37716</v>
      </c>
      <c r="O316" s="566">
        <v>6</v>
      </c>
      <c r="P316" s="577">
        <f>IFERROR(_xlfn.XLOOKUP($F$312,'[4]By Model'!$A:$A,'[4]By Model'!$K:$K),"")</f>
        <v>1.0026111031820011</v>
      </c>
      <c r="Q316" s="578">
        <f>IFERROR(_xlfn.XLOOKUP(F316,'[5]By Model'!$A:$A,'[5]By Model'!$B:$B),"")</f>
        <v>0</v>
      </c>
      <c r="R316" s="579">
        <f>IFERROR(_xlfn.XLOOKUP($F$312,'[4]By Model'!$A:$A,'[4]By Model'!$I:$I),"")</f>
        <v>567.7069762000001</v>
      </c>
      <c r="S316" s="578" t="str">
        <f>IFERROR(_xlfn.XLOOKUP(F316,[6]Sum!$G:$G,[6]Sum!$AM:$AM),"")</f>
        <v/>
      </c>
      <c r="T316" s="576">
        <v>449</v>
      </c>
      <c r="U316" s="576">
        <f t="shared" si="111"/>
        <v>37716</v>
      </c>
      <c r="V316" s="580">
        <v>12</v>
      </c>
      <c r="W316" s="576">
        <f t="shared" si="112"/>
        <v>2694</v>
      </c>
      <c r="X316" s="576">
        <f t="shared" si="113"/>
        <v>35022</v>
      </c>
      <c r="Y316" s="581">
        <f t="shared" si="114"/>
        <v>-7.1428571428571397E-2</v>
      </c>
      <c r="Z316" s="577">
        <f t="shared" si="120"/>
        <v>0.96689681746771539</v>
      </c>
      <c r="AA316" s="577">
        <v>0.32740600367993367</v>
      </c>
      <c r="AB316" s="582"/>
      <c r="AC316" s="576">
        <f t="shared" si="147"/>
        <v>449</v>
      </c>
      <c r="AD316" s="576">
        <f t="shared" si="148"/>
        <v>35022</v>
      </c>
      <c r="AE316" s="580">
        <v>99</v>
      </c>
      <c r="AF316" s="583">
        <v>6</v>
      </c>
      <c r="AG316" s="576">
        <f t="shared" si="149"/>
        <v>594</v>
      </c>
      <c r="AH316" s="709">
        <f t="shared" si="150"/>
        <v>35616</v>
      </c>
      <c r="AI316" s="709">
        <f t="shared" si="118"/>
        <v>594</v>
      </c>
      <c r="AJ316" s="577">
        <f t="shared" si="119"/>
        <v>1.6960767517560392E-2</v>
      </c>
      <c r="AK316" s="582">
        <f t="shared" si="121"/>
        <v>0.97537720122649563</v>
      </c>
      <c r="AL316" s="582">
        <f t="shared" si="146"/>
        <v>0</v>
      </c>
      <c r="AM316" s="580" t="e">
        <f>VLOOKUP(F316,[7]PRM!E:R,14,FALSE)</f>
        <v>#N/A</v>
      </c>
      <c r="AN316" s="576" t="e">
        <f>T316-#REF!</f>
        <v>#REF!</v>
      </c>
      <c r="AO316" s="580"/>
    </row>
    <row r="317" spans="2:41" s="436" customFormat="1" ht="14" hidden="1">
      <c r="B317" s="801">
        <v>2605</v>
      </c>
      <c r="C317" s="1393" t="s">
        <v>307</v>
      </c>
      <c r="D317" s="1393"/>
      <c r="E317" s="1393"/>
      <c r="F317" s="1393"/>
      <c r="G317" s="566"/>
      <c r="H317" s="566"/>
      <c r="I317" s="566"/>
      <c r="J317" s="566">
        <v>7</v>
      </c>
      <c r="K317" s="566" t="s">
        <v>288</v>
      </c>
      <c r="L317" s="566">
        <v>6</v>
      </c>
      <c r="M317" s="576">
        <v>399</v>
      </c>
      <c r="N317" s="576">
        <f t="shared" si="122"/>
        <v>33516</v>
      </c>
      <c r="O317" s="566">
        <v>6</v>
      </c>
      <c r="P317" s="577">
        <f>IFERROR(_xlfn.XLOOKUP($F$312,'[4]By Model'!$A:$A,'[4]By Model'!$K:$K),"")</f>
        <v>1.0026111031820011</v>
      </c>
      <c r="Q317" s="578" t="str">
        <f>IFERROR(_xlfn.XLOOKUP(F317,'[5]By Model'!$A:$A,'[5]By Model'!$B:$B),"")</f>
        <v/>
      </c>
      <c r="R317" s="579">
        <f>IFERROR(_xlfn.XLOOKUP($F$312,'[4]By Model'!$A:$A,'[4]By Model'!$I:$I),"")</f>
        <v>567.7069762000001</v>
      </c>
      <c r="S317" s="578" t="str">
        <f>IFERROR(_xlfn.XLOOKUP(F317,[6]Sum!$G:$G,[6]Sum!$AM:$AM),"")</f>
        <v/>
      </c>
      <c r="T317" s="576">
        <v>399</v>
      </c>
      <c r="U317" s="576">
        <f t="shared" si="111"/>
        <v>33516</v>
      </c>
      <c r="V317" s="580">
        <v>12</v>
      </c>
      <c r="W317" s="576">
        <f t="shared" si="112"/>
        <v>2394</v>
      </c>
      <c r="X317" s="576">
        <f t="shared" si="113"/>
        <v>31122</v>
      </c>
      <c r="Y317" s="581">
        <f t="shared" si="114"/>
        <v>-7.1428571428571397E-2</v>
      </c>
      <c r="Z317" s="577">
        <f t="shared" si="120"/>
        <v>0.96689681746771539</v>
      </c>
      <c r="AA317" s="577">
        <v>0.32740600367993367</v>
      </c>
      <c r="AB317" s="582"/>
      <c r="AC317" s="576">
        <f t="shared" si="147"/>
        <v>399</v>
      </c>
      <c r="AD317" s="576">
        <f t="shared" si="148"/>
        <v>31122</v>
      </c>
      <c r="AE317" s="580">
        <v>99</v>
      </c>
      <c r="AF317" s="583">
        <v>6</v>
      </c>
      <c r="AG317" s="576">
        <f t="shared" si="149"/>
        <v>594</v>
      </c>
      <c r="AH317" s="709">
        <f t="shared" si="150"/>
        <v>31716</v>
      </c>
      <c r="AI317" s="709">
        <f t="shared" si="118"/>
        <v>594</v>
      </c>
      <c r="AJ317" s="577">
        <f t="shared" si="119"/>
        <v>1.9086176980913822E-2</v>
      </c>
      <c r="AK317" s="582">
        <f t="shared" si="121"/>
        <v>0.97643990595817232</v>
      </c>
      <c r="AL317" s="582">
        <f t="shared" si="146"/>
        <v>0</v>
      </c>
      <c r="AM317" s="580" t="e">
        <f>VLOOKUP(F317,[7]PRM!E:R,14,FALSE)</f>
        <v>#N/A</v>
      </c>
      <c r="AN317" s="576" t="e">
        <f>T317-#REF!</f>
        <v>#REF!</v>
      </c>
      <c r="AO317" s="580"/>
    </row>
    <row r="318" spans="2:41" s="436" customFormat="1" ht="14" hidden="1">
      <c r="B318" s="799">
        <v>2605</v>
      </c>
      <c r="C318" s="1391" t="str">
        <f t="shared" ref="C318" si="151">C319</f>
        <v>Water Care</v>
      </c>
      <c r="D318" s="1391"/>
      <c r="E318" s="1391"/>
      <c r="F318" s="1391" t="s">
        <v>2</v>
      </c>
      <c r="G318" s="566"/>
      <c r="H318" s="566"/>
      <c r="I318" s="566"/>
      <c r="J318" s="566">
        <v>3</v>
      </c>
      <c r="K318" s="566" t="s">
        <v>286</v>
      </c>
      <c r="L318" s="566">
        <f t="shared" ref="L318:O318" si="152">L319</f>
        <v>6</v>
      </c>
      <c r="M318" s="576">
        <v>1399</v>
      </c>
      <c r="N318" s="576">
        <f t="shared" si="122"/>
        <v>50364</v>
      </c>
      <c r="O318" s="566">
        <f t="shared" si="152"/>
        <v>6</v>
      </c>
      <c r="P318" s="577">
        <f>IFERROR(_xlfn.XLOOKUP(F318,'[4]By Model'!$A:$A,'[4]By Model'!$K:$K),"")</f>
        <v>0.82506482940022552</v>
      </c>
      <c r="Q318" s="578">
        <f>IFERROR(_xlfn.XLOOKUP(F318,'[5]By Model'!$A:$A,'[5]By Model'!$B:$B),"")</f>
        <v>32</v>
      </c>
      <c r="R318" s="579">
        <f>IFERROR(_xlfn.XLOOKUP(F318,'[4]By Model'!$A:$A,'[4]By Model'!$I:$I),"")</f>
        <v>761.27394232352947</v>
      </c>
      <c r="S318" s="578">
        <f>IFERROR(_xlfn.XLOOKUP(F318,[6]Sum!$G:$G,[6]Sum!$AM:$AM),"")</f>
        <v>77</v>
      </c>
      <c r="T318" s="576">
        <v>1099</v>
      </c>
      <c r="U318" s="576">
        <f t="shared" si="111"/>
        <v>39564</v>
      </c>
      <c r="V318" s="580">
        <v>0</v>
      </c>
      <c r="W318" s="576">
        <f t="shared" si="112"/>
        <v>0</v>
      </c>
      <c r="X318" s="576">
        <f t="shared" si="113"/>
        <v>39564</v>
      </c>
      <c r="Y318" s="581">
        <f t="shared" si="114"/>
        <v>-0.21443888491779839</v>
      </c>
      <c r="Z318" s="577">
        <f t="shared" si="120"/>
        <v>0.71784538694132638</v>
      </c>
      <c r="AA318" s="577">
        <f t="shared" ref="AA318" si="153">AA319</f>
        <v>0.27555555555555555</v>
      </c>
      <c r="AB318" s="582"/>
      <c r="AC318" s="576">
        <v>1099</v>
      </c>
      <c r="AD318" s="576">
        <f t="shared" si="115"/>
        <v>39564</v>
      </c>
      <c r="AE318" s="711">
        <f>AD318/AD320</f>
        <v>0.91697955778055906</v>
      </c>
      <c r="AF318" s="580">
        <v>0</v>
      </c>
      <c r="AG318" s="576">
        <f t="shared" si="116"/>
        <v>0</v>
      </c>
      <c r="AH318" s="709">
        <f t="shared" si="117"/>
        <v>39564</v>
      </c>
      <c r="AI318" s="709">
        <f t="shared" si="118"/>
        <v>0</v>
      </c>
      <c r="AJ318" s="577">
        <f t="shared" si="119"/>
        <v>0</v>
      </c>
      <c r="AK318" s="582">
        <f t="shared" si="121"/>
        <v>0.71784538694132638</v>
      </c>
      <c r="AL318" s="582">
        <f t="shared" si="146"/>
        <v>0</v>
      </c>
      <c r="AM318" s="580"/>
      <c r="AN318" s="576"/>
      <c r="AO318" s="580"/>
    </row>
    <row r="319" spans="2:41" s="436" customFormat="1" ht="14" hidden="1">
      <c r="B319" s="800">
        <v>2605</v>
      </c>
      <c r="C319" s="1392" t="s">
        <v>307</v>
      </c>
      <c r="D319" s="1392"/>
      <c r="E319" s="1392"/>
      <c r="F319" s="1392" t="s">
        <v>2</v>
      </c>
      <c r="G319" s="566"/>
      <c r="H319" s="566"/>
      <c r="I319" s="566"/>
      <c r="J319" s="566">
        <v>3</v>
      </c>
      <c r="K319" s="566" t="s">
        <v>288</v>
      </c>
      <c r="L319" s="566">
        <v>6</v>
      </c>
      <c r="M319" s="576">
        <v>1149</v>
      </c>
      <c r="N319" s="576">
        <f t="shared" si="122"/>
        <v>41364</v>
      </c>
      <c r="O319" s="566">
        <v>6</v>
      </c>
      <c r="P319" s="577">
        <f>IFERROR(_xlfn.XLOOKUP(F319,'[4]By Model'!$A:$A,'[4]By Model'!$K:$K),"")</f>
        <v>0.82506482940022552</v>
      </c>
      <c r="Q319" s="578">
        <f>IFERROR(_xlfn.XLOOKUP(F319,'[5]By Model'!$A:$A,'[5]By Model'!$B:$B),"")</f>
        <v>32</v>
      </c>
      <c r="R319" s="579">
        <f>IFERROR(_xlfn.XLOOKUP(F319,'[4]By Model'!$A:$A,'[4]By Model'!$I:$I),"")</f>
        <v>761.27394232352947</v>
      </c>
      <c r="S319" s="578">
        <f>IFERROR(_xlfn.XLOOKUP(F319,[6]Sum!$G:$G,[6]Sum!$AM:$AM),"")</f>
        <v>77</v>
      </c>
      <c r="T319" s="576">
        <v>949</v>
      </c>
      <c r="U319" s="576">
        <f t="shared" si="111"/>
        <v>34164</v>
      </c>
      <c r="V319" s="580">
        <v>0</v>
      </c>
      <c r="W319" s="576">
        <f t="shared" si="112"/>
        <v>0</v>
      </c>
      <c r="X319" s="576">
        <f t="shared" si="113"/>
        <v>34164</v>
      </c>
      <c r="Y319" s="581">
        <f t="shared" si="114"/>
        <v>-0.1740644038294169</v>
      </c>
      <c r="Z319" s="577">
        <f t="shared" si="120"/>
        <v>0.73803262748551712</v>
      </c>
      <c r="AA319" s="577">
        <v>0.27555555555555555</v>
      </c>
      <c r="AB319" s="582"/>
      <c r="AC319" s="576">
        <v>949</v>
      </c>
      <c r="AD319" s="576">
        <f t="shared" si="115"/>
        <v>34164</v>
      </c>
      <c r="AE319" s="711">
        <f>AD319/AD321</f>
        <v>0.90510252742012398</v>
      </c>
      <c r="AF319" s="580">
        <v>0</v>
      </c>
      <c r="AG319" s="576">
        <f t="shared" si="116"/>
        <v>0</v>
      </c>
      <c r="AH319" s="709">
        <f t="shared" si="117"/>
        <v>34164</v>
      </c>
      <c r="AI319" s="709">
        <f t="shared" si="118"/>
        <v>0</v>
      </c>
      <c r="AJ319" s="577">
        <f t="shared" si="119"/>
        <v>0</v>
      </c>
      <c r="AK319" s="582">
        <f t="shared" si="121"/>
        <v>0.73803262748551712</v>
      </c>
      <c r="AL319" s="582">
        <f t="shared" si="146"/>
        <v>0</v>
      </c>
      <c r="AM319" s="580" t="e">
        <f>VLOOKUP(F319,[7]PRM!E:R,14,FALSE)</f>
        <v>#N/A</v>
      </c>
      <c r="AN319" s="576" t="e">
        <f>T319-#REF!</f>
        <v>#REF!</v>
      </c>
      <c r="AO319" s="580"/>
    </row>
    <row r="320" spans="2:41" s="436" customFormat="1" ht="14" hidden="1">
      <c r="B320" s="800">
        <v>2605</v>
      </c>
      <c r="C320" s="1392" t="s">
        <v>307</v>
      </c>
      <c r="D320" s="1392"/>
      <c r="E320" s="1392"/>
      <c r="F320" s="1392" t="s">
        <v>2</v>
      </c>
      <c r="G320" s="566"/>
      <c r="H320" s="566"/>
      <c r="I320" s="566"/>
      <c r="J320" s="566">
        <v>5</v>
      </c>
      <c r="K320" s="566" t="s">
        <v>286</v>
      </c>
      <c r="L320" s="566">
        <v>6</v>
      </c>
      <c r="M320" s="576">
        <v>799</v>
      </c>
      <c r="N320" s="576">
        <f t="shared" si="122"/>
        <v>47940</v>
      </c>
      <c r="O320" s="566">
        <v>6</v>
      </c>
      <c r="P320" s="577">
        <f>IFERROR(_xlfn.XLOOKUP(F320,'[4]By Model'!$A:$A,'[4]By Model'!$K:$K),"")</f>
        <v>0.82506482940022552</v>
      </c>
      <c r="Q320" s="578">
        <f>IFERROR(_xlfn.XLOOKUP(F320,'[5]By Model'!$A:$A,'[5]By Model'!$B:$B),"")</f>
        <v>32</v>
      </c>
      <c r="R320" s="579">
        <f>IFERROR(_xlfn.XLOOKUP(F320,'[4]By Model'!$A:$A,'[4]By Model'!$I:$I),"")</f>
        <v>761.27394232352947</v>
      </c>
      <c r="S320" s="578">
        <f>IFERROR(_xlfn.XLOOKUP(F320,[6]Sum!$G:$G,[6]Sum!$AM:$AM),"")</f>
        <v>77</v>
      </c>
      <c r="T320" s="576">
        <v>799</v>
      </c>
      <c r="U320" s="576">
        <f t="shared" si="111"/>
        <v>47940</v>
      </c>
      <c r="V320" s="580">
        <v>18</v>
      </c>
      <c r="W320" s="576">
        <f t="shared" si="112"/>
        <v>7191</v>
      </c>
      <c r="X320" s="576">
        <f t="shared" si="113"/>
        <v>40749</v>
      </c>
      <c r="Y320" s="581">
        <f t="shared" si="114"/>
        <v>-0.15000000000000002</v>
      </c>
      <c r="Z320" s="577">
        <f t="shared" si="120"/>
        <v>0.75006482940022545</v>
      </c>
      <c r="AA320" s="577">
        <v>0.27555555555555555</v>
      </c>
      <c r="AB320" s="582"/>
      <c r="AC320" s="576">
        <f>T320</f>
        <v>799</v>
      </c>
      <c r="AD320" s="576">
        <f>(T320*((J320*12)-AF320))</f>
        <v>43146</v>
      </c>
      <c r="AE320" s="580">
        <v>149</v>
      </c>
      <c r="AF320" s="583">
        <v>6</v>
      </c>
      <c r="AG320" s="576">
        <f>AE320*AF320</f>
        <v>894</v>
      </c>
      <c r="AH320" s="709">
        <f>AD320+AG320</f>
        <v>44040</v>
      </c>
      <c r="AI320" s="709">
        <f t="shared" si="118"/>
        <v>3291</v>
      </c>
      <c r="AJ320" s="577">
        <f t="shared" si="119"/>
        <v>8.0762718103511738E-2</v>
      </c>
      <c r="AK320" s="582">
        <f t="shared" si="121"/>
        <v>0.79044618845198134</v>
      </c>
      <c r="AL320" s="582">
        <f t="shared" si="146"/>
        <v>0</v>
      </c>
      <c r="AM320" s="580" t="e">
        <f>VLOOKUP(F320,[7]PRM!E:R,14,FALSE)</f>
        <v>#N/A</v>
      </c>
      <c r="AN320" s="576" t="e">
        <f>T320-#REF!</f>
        <v>#REF!</v>
      </c>
      <c r="AO320" s="580"/>
    </row>
    <row r="321" spans="2:41" s="436" customFormat="1" ht="14" hidden="1">
      <c r="B321" s="800">
        <v>2605</v>
      </c>
      <c r="C321" s="1392" t="s">
        <v>307</v>
      </c>
      <c r="D321" s="1392"/>
      <c r="E321" s="1392"/>
      <c r="F321" s="1392" t="s">
        <v>2</v>
      </c>
      <c r="G321" s="566"/>
      <c r="H321" s="566"/>
      <c r="I321" s="566"/>
      <c r="J321" s="566">
        <v>5</v>
      </c>
      <c r="K321" s="566" t="s">
        <v>288</v>
      </c>
      <c r="L321" s="566">
        <v>6</v>
      </c>
      <c r="M321" s="576">
        <v>699</v>
      </c>
      <c r="N321" s="576">
        <f t="shared" si="122"/>
        <v>41940</v>
      </c>
      <c r="O321" s="566">
        <v>6</v>
      </c>
      <c r="P321" s="577">
        <f>IFERROR(_xlfn.XLOOKUP(F321,'[4]By Model'!$A:$A,'[4]By Model'!$K:$K),"")</f>
        <v>0.82506482940022552</v>
      </c>
      <c r="Q321" s="578">
        <f>IFERROR(_xlfn.XLOOKUP(F321,'[5]By Model'!$A:$A,'[5]By Model'!$B:$B),"")</f>
        <v>32</v>
      </c>
      <c r="R321" s="579">
        <f>IFERROR(_xlfn.XLOOKUP(F321,'[4]By Model'!$A:$A,'[4]By Model'!$I:$I),"")</f>
        <v>761.27394232352947</v>
      </c>
      <c r="S321" s="578">
        <f>IFERROR(_xlfn.XLOOKUP(F321,[6]Sum!$G:$G,[6]Sum!$AM:$AM),"")</f>
        <v>77</v>
      </c>
      <c r="T321" s="576">
        <v>699</v>
      </c>
      <c r="U321" s="576">
        <f t="shared" si="111"/>
        <v>41940</v>
      </c>
      <c r="V321" s="580">
        <v>18</v>
      </c>
      <c r="W321" s="576">
        <f t="shared" si="112"/>
        <v>6291</v>
      </c>
      <c r="X321" s="576">
        <f t="shared" si="113"/>
        <v>35649</v>
      </c>
      <c r="Y321" s="581">
        <f t="shared" si="114"/>
        <v>-0.15000000000000002</v>
      </c>
      <c r="Z321" s="577">
        <f t="shared" si="120"/>
        <v>0.75006482940022545</v>
      </c>
      <c r="AA321" s="577">
        <v>0.27555555555555555</v>
      </c>
      <c r="AB321" s="582"/>
      <c r="AC321" s="576">
        <f t="shared" ref="AC321:AC323" si="154">T321</f>
        <v>699</v>
      </c>
      <c r="AD321" s="576">
        <f t="shared" ref="AD321:AD323" si="155">(T321*((J321*12)-AF321))</f>
        <v>37746</v>
      </c>
      <c r="AE321" s="580">
        <v>149</v>
      </c>
      <c r="AF321" s="583">
        <v>6</v>
      </c>
      <c r="AG321" s="576">
        <f t="shared" ref="AG321:AG323" si="156">AE321*AF321</f>
        <v>894</v>
      </c>
      <c r="AH321" s="709">
        <f t="shared" ref="AH321:AH323" si="157">AD321+AG321</f>
        <v>38640</v>
      </c>
      <c r="AI321" s="709">
        <f t="shared" si="118"/>
        <v>2991</v>
      </c>
      <c r="AJ321" s="577">
        <f t="shared" si="119"/>
        <v>8.390137170748127E-2</v>
      </c>
      <c r="AK321" s="582">
        <f t="shared" si="121"/>
        <v>0.79201551525396607</v>
      </c>
      <c r="AL321" s="582">
        <f t="shared" si="146"/>
        <v>0</v>
      </c>
      <c r="AM321" s="580" t="e">
        <f>VLOOKUP(F321,[7]PRM!E:R,14,FALSE)</f>
        <v>#N/A</v>
      </c>
      <c r="AN321" s="576" t="e">
        <f>T321-#REF!</f>
        <v>#REF!</v>
      </c>
      <c r="AO321" s="580"/>
    </row>
    <row r="322" spans="2:41" s="436" customFormat="1" ht="14" hidden="1">
      <c r="B322" s="800">
        <v>2605</v>
      </c>
      <c r="C322" s="1392" t="s">
        <v>307</v>
      </c>
      <c r="D322" s="1392"/>
      <c r="E322" s="1392"/>
      <c r="F322" s="1392" t="s">
        <v>2</v>
      </c>
      <c r="G322" s="566"/>
      <c r="H322" s="566"/>
      <c r="I322" s="566"/>
      <c r="J322" s="566">
        <v>7</v>
      </c>
      <c r="K322" s="566" t="s">
        <v>286</v>
      </c>
      <c r="L322" s="566">
        <v>6</v>
      </c>
      <c r="M322" s="576">
        <v>599</v>
      </c>
      <c r="N322" s="576">
        <f t="shared" si="122"/>
        <v>50316</v>
      </c>
      <c r="O322" s="566">
        <v>6</v>
      </c>
      <c r="P322" s="577">
        <f>IFERROR(_xlfn.XLOOKUP(F322,'[4]By Model'!$A:$A,'[4]By Model'!$K:$K),"")</f>
        <v>0.82506482940022552</v>
      </c>
      <c r="Q322" s="578">
        <f>IFERROR(_xlfn.XLOOKUP(F322,'[5]By Model'!$A:$A,'[5]By Model'!$B:$B),"")</f>
        <v>32</v>
      </c>
      <c r="R322" s="579">
        <f>IFERROR(_xlfn.XLOOKUP(F322,'[4]By Model'!$A:$A,'[4]By Model'!$I:$I),"")</f>
        <v>761.27394232352947</v>
      </c>
      <c r="S322" s="578">
        <f>IFERROR(_xlfn.XLOOKUP(F322,[6]Sum!$G:$G,[6]Sum!$AM:$AM),"")</f>
        <v>77</v>
      </c>
      <c r="T322" s="576">
        <v>599</v>
      </c>
      <c r="U322" s="576">
        <f t="shared" si="111"/>
        <v>50316</v>
      </c>
      <c r="V322" s="580">
        <v>18</v>
      </c>
      <c r="W322" s="576">
        <f t="shared" si="112"/>
        <v>5391</v>
      </c>
      <c r="X322" s="576">
        <f t="shared" si="113"/>
        <v>44925</v>
      </c>
      <c r="Y322" s="581">
        <f t="shared" si="114"/>
        <v>-0.1071428571428571</v>
      </c>
      <c r="Z322" s="577">
        <f t="shared" si="120"/>
        <v>0.77149340082879703</v>
      </c>
      <c r="AA322" s="577">
        <v>0.25846153846153841</v>
      </c>
      <c r="AB322" s="582"/>
      <c r="AC322" s="576">
        <f t="shared" si="154"/>
        <v>599</v>
      </c>
      <c r="AD322" s="576">
        <f t="shared" si="155"/>
        <v>46722</v>
      </c>
      <c r="AE322" s="580">
        <v>149</v>
      </c>
      <c r="AF322" s="583">
        <v>6</v>
      </c>
      <c r="AG322" s="576">
        <f t="shared" si="156"/>
        <v>894</v>
      </c>
      <c r="AH322" s="709">
        <f t="shared" si="157"/>
        <v>47616</v>
      </c>
      <c r="AI322" s="709">
        <f t="shared" si="118"/>
        <v>2691</v>
      </c>
      <c r="AJ322" s="577">
        <f t="shared" si="119"/>
        <v>5.989983305509182E-2</v>
      </c>
      <c r="AK322" s="711">
        <f>IFERROR(Z322+AJ322*0.5,"")</f>
        <v>0.80144331735634289</v>
      </c>
      <c r="AL322" s="582">
        <f t="shared" si="146"/>
        <v>0</v>
      </c>
      <c r="AM322" s="580" t="e">
        <f>VLOOKUP(F322,[7]PRM!E:R,14,FALSE)</f>
        <v>#N/A</v>
      </c>
      <c r="AN322" s="576" t="e">
        <f>T322-#REF!</f>
        <v>#REF!</v>
      </c>
      <c r="AO322" s="580"/>
    </row>
    <row r="323" spans="2:41" s="436" customFormat="1" ht="14" hidden="1">
      <c r="B323" s="801">
        <v>2605</v>
      </c>
      <c r="C323" s="1393" t="s">
        <v>307</v>
      </c>
      <c r="D323" s="1393"/>
      <c r="E323" s="1393"/>
      <c r="F323" s="1393" t="s">
        <v>2</v>
      </c>
      <c r="G323" s="566"/>
      <c r="H323" s="566"/>
      <c r="I323" s="566"/>
      <c r="J323" s="566">
        <v>7</v>
      </c>
      <c r="K323" s="566" t="s">
        <v>288</v>
      </c>
      <c r="L323" s="566">
        <v>6</v>
      </c>
      <c r="M323" s="576">
        <v>499</v>
      </c>
      <c r="N323" s="576">
        <f t="shared" si="122"/>
        <v>41916</v>
      </c>
      <c r="O323" s="566">
        <v>6</v>
      </c>
      <c r="P323" s="577">
        <f>IFERROR(_xlfn.XLOOKUP(F323,'[4]By Model'!$A:$A,'[4]By Model'!$K:$K),"")</f>
        <v>0.82506482940022552</v>
      </c>
      <c r="Q323" s="578">
        <f>IFERROR(_xlfn.XLOOKUP(F323,'[5]By Model'!$A:$A,'[5]By Model'!$B:$B),"")</f>
        <v>32</v>
      </c>
      <c r="R323" s="579">
        <f>IFERROR(_xlfn.XLOOKUP(F323,'[4]By Model'!$A:$A,'[4]By Model'!$I:$I),"")</f>
        <v>761.27394232352947</v>
      </c>
      <c r="S323" s="578">
        <f>IFERROR(_xlfn.XLOOKUP(F323,[6]Sum!$G:$G,[6]Sum!$AM:$AM),"")</f>
        <v>77</v>
      </c>
      <c r="T323" s="576">
        <v>499</v>
      </c>
      <c r="U323" s="576">
        <f t="shared" ref="U323:U386" si="158">T323*LEFT(J323,1)*12</f>
        <v>41916</v>
      </c>
      <c r="V323" s="580">
        <v>18</v>
      </c>
      <c r="W323" s="576">
        <f t="shared" ref="W323:W386" si="159">V323*T323*0.5</f>
        <v>4491</v>
      </c>
      <c r="X323" s="576">
        <f t="shared" ref="X323:X386" si="160">U323-W323</f>
        <v>37425</v>
      </c>
      <c r="Y323" s="581">
        <f t="shared" ref="Y323:Y386" si="161">X323/N323-1</f>
        <v>-0.1071428571428571</v>
      </c>
      <c r="Z323" s="577">
        <f t="shared" si="120"/>
        <v>0.77149340082879703</v>
      </c>
      <c r="AA323" s="577">
        <v>0.25846153846153841</v>
      </c>
      <c r="AB323" s="582"/>
      <c r="AC323" s="576">
        <f t="shared" si="154"/>
        <v>499</v>
      </c>
      <c r="AD323" s="576">
        <f t="shared" si="155"/>
        <v>38922</v>
      </c>
      <c r="AE323" s="580">
        <v>149</v>
      </c>
      <c r="AF323" s="583">
        <v>6</v>
      </c>
      <c r="AG323" s="576">
        <f t="shared" si="156"/>
        <v>894</v>
      </c>
      <c r="AH323" s="709">
        <f t="shared" si="157"/>
        <v>39816</v>
      </c>
      <c r="AI323" s="709">
        <f t="shared" ref="AI323:AI386" si="162">AH323-X323</f>
        <v>2391</v>
      </c>
      <c r="AJ323" s="577">
        <f t="shared" ref="AJ323:AJ386" si="163">AI323/X323</f>
        <v>6.3887775551102199E-2</v>
      </c>
      <c r="AK323" s="582">
        <f t="shared" si="121"/>
        <v>0.80343728860434815</v>
      </c>
      <c r="AL323" s="582">
        <f t="shared" si="146"/>
        <v>0</v>
      </c>
      <c r="AM323" s="580" t="e">
        <f>VLOOKUP(F323,[7]PRM!E:R,14,FALSE)</f>
        <v>#N/A</v>
      </c>
      <c r="AN323" s="576" t="e">
        <f>T323-#REF!</f>
        <v>#REF!</v>
      </c>
      <c r="AO323" s="580"/>
    </row>
    <row r="324" spans="2:41" s="436" customFormat="1" ht="14" hidden="1">
      <c r="B324" s="799">
        <v>2605</v>
      </c>
      <c r="C324" s="1391" t="str">
        <f t="shared" ref="C324" si="164">C325</f>
        <v>Water Care</v>
      </c>
      <c r="D324" s="1391"/>
      <c r="E324" s="1391"/>
      <c r="F324" s="1391" t="s">
        <v>4</v>
      </c>
      <c r="G324" s="566"/>
      <c r="H324" s="566"/>
      <c r="I324" s="566"/>
      <c r="J324" s="566">
        <v>3</v>
      </c>
      <c r="K324" s="566" t="s">
        <v>286</v>
      </c>
      <c r="L324" s="566">
        <f t="shared" ref="L324:O324" si="165">L325</f>
        <v>6</v>
      </c>
      <c r="M324" s="576">
        <v>1399</v>
      </c>
      <c r="N324" s="576">
        <f t="shared" si="122"/>
        <v>50364</v>
      </c>
      <c r="O324" s="566">
        <f t="shared" si="165"/>
        <v>6</v>
      </c>
      <c r="P324" s="577">
        <f>IFERROR(_xlfn.XLOOKUP(F324,'[4]By Model'!$A:$A,'[4]By Model'!$K:$K),"")</f>
        <v>1.0758800186904902</v>
      </c>
      <c r="Q324" s="578">
        <f>IFERROR(_xlfn.XLOOKUP(F324,'[5]By Model'!$A:$A,'[5]By Model'!$B:$B),"")</f>
        <v>18</v>
      </c>
      <c r="R324" s="579">
        <f>IFERROR(_xlfn.XLOOKUP(F324,'[4]By Model'!$A:$A,'[4]By Model'!$I:$I),"")</f>
        <v>812.43497911428574</v>
      </c>
      <c r="S324" s="578">
        <f>IFERROR(_xlfn.XLOOKUP(F324,[6]Sum!$G:$G,[6]Sum!$AM:$AM),"")</f>
        <v>42</v>
      </c>
      <c r="T324" s="576">
        <v>1099</v>
      </c>
      <c r="U324" s="576">
        <f t="shared" si="158"/>
        <v>39564</v>
      </c>
      <c r="V324" s="580">
        <v>0</v>
      </c>
      <c r="W324" s="576">
        <f t="shared" si="159"/>
        <v>0</v>
      </c>
      <c r="X324" s="576">
        <f t="shared" si="160"/>
        <v>39564</v>
      </c>
      <c r="Y324" s="581">
        <f t="shared" si="161"/>
        <v>-0.21443888491779839</v>
      </c>
      <c r="Z324" s="577">
        <f t="shared" si="120"/>
        <v>0.96866057623159096</v>
      </c>
      <c r="AA324" s="577">
        <f t="shared" ref="AA324" si="166">AA325</f>
        <v>0.27555555555555555</v>
      </c>
      <c r="AB324" s="582"/>
      <c r="AC324" s="576">
        <v>1099</v>
      </c>
      <c r="AD324" s="576">
        <f t="shared" ref="AD324:AD387" si="167">AC324*LEFT(J324,1)*12</f>
        <v>39564</v>
      </c>
      <c r="AE324" s="711">
        <f>AD324/AD326</f>
        <v>0.91697955778055906</v>
      </c>
      <c r="AF324" s="580">
        <v>0</v>
      </c>
      <c r="AG324" s="576">
        <f t="shared" ref="AG324:AG387" si="168">AF324*AC324*0.5</f>
        <v>0</v>
      </c>
      <c r="AH324" s="709">
        <f t="shared" ref="AH324:AH387" si="169">AD324-AG324</f>
        <v>39564</v>
      </c>
      <c r="AI324" s="709">
        <f t="shared" si="162"/>
        <v>0</v>
      </c>
      <c r="AJ324" s="577">
        <f t="shared" si="163"/>
        <v>0</v>
      </c>
      <c r="AK324" s="582">
        <f t="shared" si="121"/>
        <v>0.96866057623159096</v>
      </c>
      <c r="AL324" s="582">
        <f t="shared" si="146"/>
        <v>0</v>
      </c>
      <c r="AM324" s="580"/>
      <c r="AN324" s="576"/>
      <c r="AO324" s="580"/>
    </row>
    <row r="325" spans="2:41" s="436" customFormat="1" ht="14" hidden="1">
      <c r="B325" s="800">
        <v>2605</v>
      </c>
      <c r="C325" s="1392" t="s">
        <v>307</v>
      </c>
      <c r="D325" s="1392"/>
      <c r="E325" s="1392"/>
      <c r="F325" s="1392" t="s">
        <v>4</v>
      </c>
      <c r="G325" s="566"/>
      <c r="H325" s="566"/>
      <c r="I325" s="566"/>
      <c r="J325" s="566">
        <v>3</v>
      </c>
      <c r="K325" s="566" t="s">
        <v>288</v>
      </c>
      <c r="L325" s="566">
        <v>6</v>
      </c>
      <c r="M325" s="576">
        <v>1149</v>
      </c>
      <c r="N325" s="576">
        <f t="shared" si="122"/>
        <v>41364</v>
      </c>
      <c r="O325" s="566">
        <v>6</v>
      </c>
      <c r="P325" s="577">
        <f>IFERROR(_xlfn.XLOOKUP(F325,'[4]By Model'!$A:$A,'[4]By Model'!$K:$K),"")</f>
        <v>1.0758800186904902</v>
      </c>
      <c r="Q325" s="578">
        <f>IFERROR(_xlfn.XLOOKUP(F325,'[5]By Model'!$A:$A,'[5]By Model'!$B:$B),"")</f>
        <v>18</v>
      </c>
      <c r="R325" s="579">
        <f>IFERROR(_xlfn.XLOOKUP(F325,'[4]By Model'!$A:$A,'[4]By Model'!$I:$I),"")</f>
        <v>812.43497911428574</v>
      </c>
      <c r="S325" s="578">
        <f>IFERROR(_xlfn.XLOOKUP(F325,[6]Sum!$G:$G,[6]Sum!$AM:$AM),"")</f>
        <v>42</v>
      </c>
      <c r="T325" s="576">
        <v>949</v>
      </c>
      <c r="U325" s="576">
        <f t="shared" si="158"/>
        <v>34164</v>
      </c>
      <c r="V325" s="580">
        <v>0</v>
      </c>
      <c r="W325" s="576">
        <f t="shared" si="159"/>
        <v>0</v>
      </c>
      <c r="X325" s="576">
        <f t="shared" si="160"/>
        <v>34164</v>
      </c>
      <c r="Y325" s="581">
        <f t="shared" si="161"/>
        <v>-0.1740644038294169</v>
      </c>
      <c r="Z325" s="577">
        <f t="shared" si="120"/>
        <v>0.98884781677578171</v>
      </c>
      <c r="AA325" s="577">
        <v>0.27555555555555555</v>
      </c>
      <c r="AB325" s="582"/>
      <c r="AC325" s="576">
        <v>949</v>
      </c>
      <c r="AD325" s="576">
        <f t="shared" si="167"/>
        <v>34164</v>
      </c>
      <c r="AE325" s="711">
        <f>AD325/AD327</f>
        <v>0.90510252742012398</v>
      </c>
      <c r="AF325" s="580">
        <v>0</v>
      </c>
      <c r="AG325" s="576">
        <f t="shared" si="168"/>
        <v>0</v>
      </c>
      <c r="AH325" s="709">
        <f t="shared" si="169"/>
        <v>34164</v>
      </c>
      <c r="AI325" s="709">
        <f t="shared" si="162"/>
        <v>0</v>
      </c>
      <c r="AJ325" s="577">
        <f t="shared" si="163"/>
        <v>0</v>
      </c>
      <c r="AK325" s="582">
        <f t="shared" si="121"/>
        <v>0.98884781677578171</v>
      </c>
      <c r="AL325" s="582">
        <f t="shared" si="146"/>
        <v>0</v>
      </c>
      <c r="AM325" s="580" t="e">
        <f>VLOOKUP(F325,[7]PRM!E:R,14,FALSE)</f>
        <v>#N/A</v>
      </c>
      <c r="AN325" s="576" t="e">
        <f>T325-#REF!</f>
        <v>#REF!</v>
      </c>
      <c r="AO325" s="580"/>
    </row>
    <row r="326" spans="2:41" s="436" customFormat="1" ht="14" hidden="1">
      <c r="B326" s="800">
        <v>2605</v>
      </c>
      <c r="C326" s="1392" t="s">
        <v>307</v>
      </c>
      <c r="D326" s="1392"/>
      <c r="E326" s="1392"/>
      <c r="F326" s="1392" t="s">
        <v>4</v>
      </c>
      <c r="G326" s="566"/>
      <c r="H326" s="566"/>
      <c r="I326" s="566"/>
      <c r="J326" s="566">
        <v>5</v>
      </c>
      <c r="K326" s="566" t="s">
        <v>286</v>
      </c>
      <c r="L326" s="566">
        <v>6</v>
      </c>
      <c r="M326" s="576">
        <v>799</v>
      </c>
      <c r="N326" s="576">
        <f t="shared" si="122"/>
        <v>47940</v>
      </c>
      <c r="O326" s="566">
        <v>6</v>
      </c>
      <c r="P326" s="577">
        <f>IFERROR(_xlfn.XLOOKUP(F326,'[4]By Model'!$A:$A,'[4]By Model'!$K:$K),"")</f>
        <v>1.0758800186904902</v>
      </c>
      <c r="Q326" s="578">
        <f>IFERROR(_xlfn.XLOOKUP(F326,'[5]By Model'!$A:$A,'[5]By Model'!$B:$B),"")</f>
        <v>18</v>
      </c>
      <c r="R326" s="579">
        <f>IFERROR(_xlfn.XLOOKUP(F326,'[4]By Model'!$A:$A,'[4]By Model'!$I:$I),"")</f>
        <v>812.43497911428574</v>
      </c>
      <c r="S326" s="578">
        <f>IFERROR(_xlfn.XLOOKUP(F326,[6]Sum!$G:$G,[6]Sum!$AM:$AM),"")</f>
        <v>42</v>
      </c>
      <c r="T326" s="576">
        <v>799</v>
      </c>
      <c r="U326" s="576">
        <f t="shared" si="158"/>
        <v>47940</v>
      </c>
      <c r="V326" s="580">
        <v>18</v>
      </c>
      <c r="W326" s="576">
        <f t="shared" si="159"/>
        <v>7191</v>
      </c>
      <c r="X326" s="576">
        <f t="shared" si="160"/>
        <v>40749</v>
      </c>
      <c r="Y326" s="581">
        <f t="shared" si="161"/>
        <v>-0.15000000000000002</v>
      </c>
      <c r="Z326" s="577">
        <f t="shared" si="120"/>
        <v>1.0008800186904903</v>
      </c>
      <c r="AA326" s="577">
        <v>0.27555555555555555</v>
      </c>
      <c r="AB326" s="582"/>
      <c r="AC326" s="576">
        <f>T326</f>
        <v>799</v>
      </c>
      <c r="AD326" s="576">
        <f>(T326*((J326*12)-AF326))</f>
        <v>43146</v>
      </c>
      <c r="AE326" s="580">
        <v>149</v>
      </c>
      <c r="AF326" s="583">
        <v>6</v>
      </c>
      <c r="AG326" s="576">
        <f>AE326*AF326</f>
        <v>894</v>
      </c>
      <c r="AH326" s="709">
        <f>AD326+AG326</f>
        <v>44040</v>
      </c>
      <c r="AI326" s="709">
        <f t="shared" si="162"/>
        <v>3291</v>
      </c>
      <c r="AJ326" s="577">
        <f t="shared" si="163"/>
        <v>8.0762718103511738E-2</v>
      </c>
      <c r="AK326" s="582">
        <f t="shared" si="121"/>
        <v>1.0412613777422461</v>
      </c>
      <c r="AL326" s="582">
        <f t="shared" si="146"/>
        <v>0</v>
      </c>
      <c r="AM326" s="580" t="e">
        <f>VLOOKUP(F326,[7]PRM!E:R,14,FALSE)</f>
        <v>#N/A</v>
      </c>
      <c r="AN326" s="576" t="e">
        <f>T326-#REF!</f>
        <v>#REF!</v>
      </c>
      <c r="AO326" s="580"/>
    </row>
    <row r="327" spans="2:41" s="436" customFormat="1" ht="14" hidden="1">
      <c r="B327" s="800">
        <v>2605</v>
      </c>
      <c r="C327" s="1392" t="s">
        <v>307</v>
      </c>
      <c r="D327" s="1392"/>
      <c r="E327" s="1392"/>
      <c r="F327" s="1392" t="s">
        <v>4</v>
      </c>
      <c r="G327" s="566"/>
      <c r="H327" s="566"/>
      <c r="I327" s="566"/>
      <c r="J327" s="566">
        <v>5</v>
      </c>
      <c r="K327" s="566" t="s">
        <v>288</v>
      </c>
      <c r="L327" s="566">
        <v>6</v>
      </c>
      <c r="M327" s="576">
        <v>699</v>
      </c>
      <c r="N327" s="576">
        <f t="shared" si="122"/>
        <v>41940</v>
      </c>
      <c r="O327" s="566">
        <v>6</v>
      </c>
      <c r="P327" s="577">
        <f>IFERROR(_xlfn.XLOOKUP(F327,'[4]By Model'!$A:$A,'[4]By Model'!$K:$K),"")</f>
        <v>1.0758800186904902</v>
      </c>
      <c r="Q327" s="578">
        <f>IFERROR(_xlfn.XLOOKUP(F327,'[5]By Model'!$A:$A,'[5]By Model'!$B:$B),"")</f>
        <v>18</v>
      </c>
      <c r="R327" s="579">
        <f>IFERROR(_xlfn.XLOOKUP(F327,'[4]By Model'!$A:$A,'[4]By Model'!$I:$I),"")</f>
        <v>812.43497911428574</v>
      </c>
      <c r="S327" s="578">
        <f>IFERROR(_xlfn.XLOOKUP(F327,[6]Sum!$G:$G,[6]Sum!$AM:$AM),"")</f>
        <v>42</v>
      </c>
      <c r="T327" s="576">
        <v>699</v>
      </c>
      <c r="U327" s="576">
        <f t="shared" si="158"/>
        <v>41940</v>
      </c>
      <c r="V327" s="580">
        <v>18</v>
      </c>
      <c r="W327" s="576">
        <f t="shared" si="159"/>
        <v>6291</v>
      </c>
      <c r="X327" s="576">
        <f t="shared" si="160"/>
        <v>35649</v>
      </c>
      <c r="Y327" s="581">
        <f t="shared" si="161"/>
        <v>-0.15000000000000002</v>
      </c>
      <c r="Z327" s="577">
        <f t="shared" si="120"/>
        <v>1.0008800186904903</v>
      </c>
      <c r="AA327" s="577">
        <v>0.27555555555555555</v>
      </c>
      <c r="AB327" s="582"/>
      <c r="AC327" s="576">
        <f t="shared" ref="AC327:AC329" si="170">T327</f>
        <v>699</v>
      </c>
      <c r="AD327" s="576">
        <f t="shared" ref="AD327:AD329" si="171">(T327*((J327*12)-AF327))</f>
        <v>37746</v>
      </c>
      <c r="AE327" s="580">
        <v>149</v>
      </c>
      <c r="AF327" s="583">
        <v>6</v>
      </c>
      <c r="AG327" s="576">
        <f t="shared" ref="AG327:AG329" si="172">AE327*AF327</f>
        <v>894</v>
      </c>
      <c r="AH327" s="709">
        <f t="shared" ref="AH327:AH329" si="173">AD327+AG327</f>
        <v>38640</v>
      </c>
      <c r="AI327" s="709">
        <f t="shared" si="162"/>
        <v>2991</v>
      </c>
      <c r="AJ327" s="577">
        <f t="shared" si="163"/>
        <v>8.390137170748127E-2</v>
      </c>
      <c r="AK327" s="582">
        <f t="shared" si="121"/>
        <v>1.0428307045442309</v>
      </c>
      <c r="AL327" s="582">
        <f t="shared" si="146"/>
        <v>0</v>
      </c>
      <c r="AM327" s="580" t="e">
        <f>VLOOKUP(F327,[7]PRM!E:R,14,FALSE)</f>
        <v>#N/A</v>
      </c>
      <c r="AN327" s="576" t="e">
        <f>T327-#REF!</f>
        <v>#REF!</v>
      </c>
      <c r="AO327" s="580"/>
    </row>
    <row r="328" spans="2:41" s="436" customFormat="1" ht="14" hidden="1">
      <c r="B328" s="800">
        <v>2605</v>
      </c>
      <c r="C328" s="1392" t="s">
        <v>307</v>
      </c>
      <c r="D328" s="1392"/>
      <c r="E328" s="1392"/>
      <c r="F328" s="1392" t="s">
        <v>4</v>
      </c>
      <c r="G328" s="566"/>
      <c r="H328" s="566"/>
      <c r="I328" s="566"/>
      <c r="J328" s="566">
        <v>7</v>
      </c>
      <c r="K328" s="566" t="s">
        <v>286</v>
      </c>
      <c r="L328" s="566">
        <v>6</v>
      </c>
      <c r="M328" s="576">
        <v>599</v>
      </c>
      <c r="N328" s="576">
        <f t="shared" si="122"/>
        <v>50316</v>
      </c>
      <c r="O328" s="566">
        <v>6</v>
      </c>
      <c r="P328" s="577">
        <f>IFERROR(_xlfn.XLOOKUP(F328,'[4]By Model'!$A:$A,'[4]By Model'!$K:$K),"")</f>
        <v>1.0758800186904902</v>
      </c>
      <c r="Q328" s="578">
        <f>IFERROR(_xlfn.XLOOKUP(F328,'[5]By Model'!$A:$A,'[5]By Model'!$B:$B),"")</f>
        <v>18</v>
      </c>
      <c r="R328" s="579">
        <f>IFERROR(_xlfn.XLOOKUP(F328,'[4]By Model'!$A:$A,'[4]By Model'!$I:$I),"")</f>
        <v>812.43497911428574</v>
      </c>
      <c r="S328" s="578">
        <f>IFERROR(_xlfn.XLOOKUP(F328,[6]Sum!$G:$G,[6]Sum!$AM:$AM),"")</f>
        <v>42</v>
      </c>
      <c r="T328" s="576">
        <v>599</v>
      </c>
      <c r="U328" s="576">
        <f t="shared" si="158"/>
        <v>50316</v>
      </c>
      <c r="V328" s="580">
        <v>18</v>
      </c>
      <c r="W328" s="576">
        <f t="shared" si="159"/>
        <v>5391</v>
      </c>
      <c r="X328" s="576">
        <f t="shared" si="160"/>
        <v>44925</v>
      </c>
      <c r="Y328" s="581">
        <f t="shared" si="161"/>
        <v>-0.1071428571428571</v>
      </c>
      <c r="Z328" s="577">
        <f t="shared" si="120"/>
        <v>1.0223085901190616</v>
      </c>
      <c r="AA328" s="577">
        <v>0.25846153846153841</v>
      </c>
      <c r="AB328" s="582"/>
      <c r="AC328" s="576">
        <f t="shared" si="170"/>
        <v>599</v>
      </c>
      <c r="AD328" s="576">
        <f t="shared" si="171"/>
        <v>46722</v>
      </c>
      <c r="AE328" s="580">
        <v>149</v>
      </c>
      <c r="AF328" s="583">
        <v>6</v>
      </c>
      <c r="AG328" s="576">
        <f t="shared" si="172"/>
        <v>894</v>
      </c>
      <c r="AH328" s="709">
        <f t="shared" si="173"/>
        <v>47616</v>
      </c>
      <c r="AI328" s="709">
        <f t="shared" si="162"/>
        <v>2691</v>
      </c>
      <c r="AJ328" s="577">
        <f t="shared" si="163"/>
        <v>5.989983305509182E-2</v>
      </c>
      <c r="AK328" s="582">
        <f t="shared" si="121"/>
        <v>1.0522585066466075</v>
      </c>
      <c r="AL328" s="582">
        <f t="shared" si="146"/>
        <v>0</v>
      </c>
      <c r="AM328" s="580" t="e">
        <f>VLOOKUP(F328,[7]PRM!E:R,14,FALSE)</f>
        <v>#N/A</v>
      </c>
      <c r="AN328" s="576" t="e">
        <f>T328-#REF!</f>
        <v>#REF!</v>
      </c>
      <c r="AO328" s="580"/>
    </row>
    <row r="329" spans="2:41" s="436" customFormat="1" ht="14" hidden="1">
      <c r="B329" s="801">
        <v>2605</v>
      </c>
      <c r="C329" s="1393" t="s">
        <v>307</v>
      </c>
      <c r="D329" s="1393"/>
      <c r="E329" s="1393"/>
      <c r="F329" s="1393" t="s">
        <v>4</v>
      </c>
      <c r="G329" s="566"/>
      <c r="H329" s="566"/>
      <c r="I329" s="566"/>
      <c r="J329" s="566">
        <v>7</v>
      </c>
      <c r="K329" s="566" t="s">
        <v>288</v>
      </c>
      <c r="L329" s="566">
        <v>6</v>
      </c>
      <c r="M329" s="576">
        <v>499</v>
      </c>
      <c r="N329" s="576">
        <f t="shared" si="122"/>
        <v>41916</v>
      </c>
      <c r="O329" s="566">
        <v>6</v>
      </c>
      <c r="P329" s="577">
        <f>IFERROR(_xlfn.XLOOKUP(F329,'[4]By Model'!$A:$A,'[4]By Model'!$K:$K),"")</f>
        <v>1.0758800186904902</v>
      </c>
      <c r="Q329" s="578">
        <f>IFERROR(_xlfn.XLOOKUP(F329,'[5]By Model'!$A:$A,'[5]By Model'!$B:$B),"")</f>
        <v>18</v>
      </c>
      <c r="R329" s="579">
        <f>IFERROR(_xlfn.XLOOKUP(F329,'[4]By Model'!$A:$A,'[4]By Model'!$I:$I),"")</f>
        <v>812.43497911428574</v>
      </c>
      <c r="S329" s="578">
        <f>IFERROR(_xlfn.XLOOKUP(F329,[6]Sum!$G:$G,[6]Sum!$AM:$AM),"")</f>
        <v>42</v>
      </c>
      <c r="T329" s="576">
        <v>499</v>
      </c>
      <c r="U329" s="576">
        <f t="shared" si="158"/>
        <v>41916</v>
      </c>
      <c r="V329" s="580">
        <v>18</v>
      </c>
      <c r="W329" s="576">
        <f t="shared" si="159"/>
        <v>4491</v>
      </c>
      <c r="X329" s="576">
        <f t="shared" si="160"/>
        <v>37425</v>
      </c>
      <c r="Y329" s="581">
        <f t="shared" si="161"/>
        <v>-0.1071428571428571</v>
      </c>
      <c r="Z329" s="577">
        <f t="shared" ref="Z329:Z392" si="174">IFERROR(P329+Y329*0.5,"")</f>
        <v>1.0223085901190616</v>
      </c>
      <c r="AA329" s="577">
        <v>0.25846153846153841</v>
      </c>
      <c r="AB329" s="582"/>
      <c r="AC329" s="576">
        <f t="shared" si="170"/>
        <v>499</v>
      </c>
      <c r="AD329" s="576">
        <f t="shared" si="171"/>
        <v>38922</v>
      </c>
      <c r="AE329" s="580">
        <v>149</v>
      </c>
      <c r="AF329" s="583">
        <v>6</v>
      </c>
      <c r="AG329" s="576">
        <f t="shared" si="172"/>
        <v>894</v>
      </c>
      <c r="AH329" s="709">
        <f t="shared" si="173"/>
        <v>39816</v>
      </c>
      <c r="AI329" s="709">
        <f t="shared" si="162"/>
        <v>2391</v>
      </c>
      <c r="AJ329" s="577">
        <f t="shared" si="163"/>
        <v>6.3887775551102199E-2</v>
      </c>
      <c r="AK329" s="582">
        <f t="shared" ref="AK329:AK356" si="175">IFERROR(Z329+AJ329*0.5,"")</f>
        <v>1.0542524778946127</v>
      </c>
      <c r="AL329" s="582">
        <f t="shared" si="146"/>
        <v>0</v>
      </c>
      <c r="AM329" s="580" t="e">
        <f>VLOOKUP(F329,[7]PRM!E:R,14,FALSE)</f>
        <v>#N/A</v>
      </c>
      <c r="AN329" s="576" t="e">
        <f>T329-#REF!</f>
        <v>#REF!</v>
      </c>
      <c r="AO329" s="580"/>
    </row>
    <row r="330" spans="2:41" s="436" customFormat="1" ht="14" hidden="1">
      <c r="B330" s="799">
        <v>2605</v>
      </c>
      <c r="C330" s="1391" t="str">
        <f t="shared" ref="C330" si="176">C331</f>
        <v>Water Care</v>
      </c>
      <c r="D330" s="1391"/>
      <c r="E330" s="1391"/>
      <c r="F330" s="1391" t="s">
        <v>6</v>
      </c>
      <c r="G330" s="566"/>
      <c r="H330" s="566"/>
      <c r="I330" s="566"/>
      <c r="J330" s="566">
        <v>3</v>
      </c>
      <c r="K330" s="566" t="s">
        <v>286</v>
      </c>
      <c r="L330" s="566">
        <f t="shared" ref="L330:O330" si="177">L331</f>
        <v>6</v>
      </c>
      <c r="M330" s="576">
        <v>1399</v>
      </c>
      <c r="N330" s="576">
        <f t="shared" si="122"/>
        <v>50364</v>
      </c>
      <c r="O330" s="566">
        <f t="shared" si="177"/>
        <v>6</v>
      </c>
      <c r="P330" s="577">
        <f>IFERROR(_xlfn.XLOOKUP(F330,'[4]By Model'!$A:$A,'[4]By Model'!$K:$K),"")</f>
        <v>1.086519232589779</v>
      </c>
      <c r="Q330" s="578">
        <f>IFERROR(_xlfn.XLOOKUP(F330,'[5]By Model'!$A:$A,'[5]By Model'!$B:$B),"")</f>
        <v>29</v>
      </c>
      <c r="R330" s="579">
        <f>IFERROR(_xlfn.XLOOKUP(F330,'[4]By Model'!$A:$A,'[4]By Model'!$I:$I),"")</f>
        <v>804.23958468529406</v>
      </c>
      <c r="S330" s="578" t="str">
        <f>IFERROR(_xlfn.XLOOKUP(F330,[6]Sum!$G:$G,[6]Sum!$AM:$AM),"")</f>
        <v/>
      </c>
      <c r="T330" s="576">
        <v>1099</v>
      </c>
      <c r="U330" s="576">
        <f t="shared" si="158"/>
        <v>39564</v>
      </c>
      <c r="V330" s="580">
        <v>0</v>
      </c>
      <c r="W330" s="576">
        <f t="shared" si="159"/>
        <v>0</v>
      </c>
      <c r="X330" s="576">
        <f t="shared" si="160"/>
        <v>39564</v>
      </c>
      <c r="Y330" s="581">
        <f t="shared" si="161"/>
        <v>-0.21443888491779839</v>
      </c>
      <c r="Z330" s="577">
        <f t="shared" si="174"/>
        <v>0.97929979013087975</v>
      </c>
      <c r="AA330" s="577">
        <f t="shared" ref="AA330" si="178">AA331</f>
        <v>0.27555555555555555</v>
      </c>
      <c r="AB330" s="582"/>
      <c r="AC330" s="576">
        <v>1099</v>
      </c>
      <c r="AD330" s="576">
        <f t="shared" si="167"/>
        <v>39564</v>
      </c>
      <c r="AE330" s="711">
        <f>AD330/AD332</f>
        <v>0.91697955778055906</v>
      </c>
      <c r="AF330" s="580">
        <v>0</v>
      </c>
      <c r="AG330" s="576">
        <f t="shared" si="168"/>
        <v>0</v>
      </c>
      <c r="AH330" s="709">
        <f t="shared" si="169"/>
        <v>39564</v>
      </c>
      <c r="AI330" s="709">
        <f t="shared" si="162"/>
        <v>0</v>
      </c>
      <c r="AJ330" s="577">
        <f t="shared" si="163"/>
        <v>0</v>
      </c>
      <c r="AK330" s="582">
        <f t="shared" si="175"/>
        <v>0.97929979013087975</v>
      </c>
      <c r="AL330" s="582">
        <f t="shared" si="146"/>
        <v>0</v>
      </c>
      <c r="AM330" s="580"/>
      <c r="AN330" s="576"/>
      <c r="AO330" s="580"/>
    </row>
    <row r="331" spans="2:41" s="436" customFormat="1" ht="14" hidden="1">
      <c r="B331" s="800">
        <v>2605</v>
      </c>
      <c r="C331" s="1392" t="s">
        <v>307</v>
      </c>
      <c r="D331" s="1392"/>
      <c r="E331" s="1392"/>
      <c r="F331" s="1392" t="s">
        <v>6</v>
      </c>
      <c r="G331" s="566"/>
      <c r="H331" s="566"/>
      <c r="I331" s="566"/>
      <c r="J331" s="566">
        <v>3</v>
      </c>
      <c r="K331" s="566" t="s">
        <v>288</v>
      </c>
      <c r="L331" s="566">
        <v>6</v>
      </c>
      <c r="M331" s="576">
        <v>1149</v>
      </c>
      <c r="N331" s="576">
        <f t="shared" ref="N331:N394" si="179">M331*LEFT(J331,1)*12</f>
        <v>41364</v>
      </c>
      <c r="O331" s="566">
        <v>6</v>
      </c>
      <c r="P331" s="577">
        <f>IFERROR(_xlfn.XLOOKUP(F331,'[4]By Model'!$A:$A,'[4]By Model'!$K:$K),"")</f>
        <v>1.086519232589779</v>
      </c>
      <c r="Q331" s="578">
        <f>IFERROR(_xlfn.XLOOKUP(F331,'[5]By Model'!$A:$A,'[5]By Model'!$B:$B),"")</f>
        <v>29</v>
      </c>
      <c r="R331" s="579">
        <f>IFERROR(_xlfn.XLOOKUP(F331,'[4]By Model'!$A:$A,'[4]By Model'!$I:$I),"")</f>
        <v>804.23958468529406</v>
      </c>
      <c r="S331" s="578" t="str">
        <f>IFERROR(_xlfn.XLOOKUP(F331,[6]Sum!$G:$G,[6]Sum!$AM:$AM),"")</f>
        <v/>
      </c>
      <c r="T331" s="576">
        <v>949</v>
      </c>
      <c r="U331" s="576">
        <f t="shared" si="158"/>
        <v>34164</v>
      </c>
      <c r="V331" s="580">
        <v>0</v>
      </c>
      <c r="W331" s="576">
        <f t="shared" si="159"/>
        <v>0</v>
      </c>
      <c r="X331" s="576">
        <f t="shared" si="160"/>
        <v>34164</v>
      </c>
      <c r="Y331" s="581">
        <f t="shared" si="161"/>
        <v>-0.1740644038294169</v>
      </c>
      <c r="Z331" s="577">
        <f t="shared" si="174"/>
        <v>0.9994870306750705</v>
      </c>
      <c r="AA331" s="577">
        <v>0.27555555555555555</v>
      </c>
      <c r="AB331" s="582"/>
      <c r="AC331" s="576">
        <v>949</v>
      </c>
      <c r="AD331" s="576">
        <f t="shared" si="167"/>
        <v>34164</v>
      </c>
      <c r="AE331" s="711">
        <f>AD331/AD333</f>
        <v>0.90510252742012398</v>
      </c>
      <c r="AF331" s="580">
        <v>0</v>
      </c>
      <c r="AG331" s="576">
        <f t="shared" si="168"/>
        <v>0</v>
      </c>
      <c r="AH331" s="709">
        <f t="shared" si="169"/>
        <v>34164</v>
      </c>
      <c r="AI331" s="709">
        <f t="shared" si="162"/>
        <v>0</v>
      </c>
      <c r="AJ331" s="577">
        <f t="shared" si="163"/>
        <v>0</v>
      </c>
      <c r="AK331" s="582">
        <f t="shared" si="175"/>
        <v>0.9994870306750705</v>
      </c>
      <c r="AL331" s="582">
        <f t="shared" si="146"/>
        <v>0</v>
      </c>
      <c r="AM331" s="580" t="e">
        <f>VLOOKUP(F331,[7]PRM!E:R,14,FALSE)</f>
        <v>#N/A</v>
      </c>
      <c r="AN331" s="576" t="e">
        <f>T331-#REF!</f>
        <v>#REF!</v>
      </c>
      <c r="AO331" s="580"/>
    </row>
    <row r="332" spans="2:41" s="436" customFormat="1" ht="14" hidden="1">
      <c r="B332" s="800">
        <v>2605</v>
      </c>
      <c r="C332" s="1392" t="s">
        <v>307</v>
      </c>
      <c r="D332" s="1392"/>
      <c r="E332" s="1392"/>
      <c r="F332" s="1392" t="s">
        <v>6</v>
      </c>
      <c r="G332" s="566"/>
      <c r="H332" s="566"/>
      <c r="I332" s="566"/>
      <c r="J332" s="566">
        <v>5</v>
      </c>
      <c r="K332" s="566" t="s">
        <v>286</v>
      </c>
      <c r="L332" s="566">
        <v>6</v>
      </c>
      <c r="M332" s="576">
        <v>799</v>
      </c>
      <c r="N332" s="576">
        <f t="shared" si="179"/>
        <v>47940</v>
      </c>
      <c r="O332" s="566">
        <v>6</v>
      </c>
      <c r="P332" s="577">
        <f>IFERROR(_xlfn.XLOOKUP(F332,'[4]By Model'!$A:$A,'[4]By Model'!$K:$K),"")</f>
        <v>1.086519232589779</v>
      </c>
      <c r="Q332" s="578">
        <f>IFERROR(_xlfn.XLOOKUP(F332,'[5]By Model'!$A:$A,'[5]By Model'!$B:$B),"")</f>
        <v>29</v>
      </c>
      <c r="R332" s="579">
        <f>IFERROR(_xlfn.XLOOKUP(F332,'[4]By Model'!$A:$A,'[4]By Model'!$I:$I),"")</f>
        <v>804.23958468529406</v>
      </c>
      <c r="S332" s="578" t="str">
        <f>IFERROR(_xlfn.XLOOKUP(F332,[6]Sum!$G:$G,[6]Sum!$AM:$AM),"")</f>
        <v/>
      </c>
      <c r="T332" s="576">
        <v>799</v>
      </c>
      <c r="U332" s="576">
        <f t="shared" si="158"/>
        <v>47940</v>
      </c>
      <c r="V332" s="580">
        <v>12</v>
      </c>
      <c r="W332" s="576">
        <f t="shared" si="159"/>
        <v>4794</v>
      </c>
      <c r="X332" s="576">
        <f t="shared" si="160"/>
        <v>43146</v>
      </c>
      <c r="Y332" s="581">
        <f t="shared" si="161"/>
        <v>-9.9999999999999978E-2</v>
      </c>
      <c r="Z332" s="577">
        <f t="shared" si="174"/>
        <v>1.036519232589779</v>
      </c>
      <c r="AA332" s="577">
        <v>0.27555555555555555</v>
      </c>
      <c r="AB332" s="582"/>
      <c r="AC332" s="576">
        <f>T332</f>
        <v>799</v>
      </c>
      <c r="AD332" s="576">
        <f>(T332*((J332*12)-AF332))</f>
        <v>43146</v>
      </c>
      <c r="AE332" s="580">
        <v>149</v>
      </c>
      <c r="AF332" s="583">
        <v>6</v>
      </c>
      <c r="AG332" s="576">
        <f>AE332*AF332</f>
        <v>894</v>
      </c>
      <c r="AH332" s="709">
        <f>AD332+AG332</f>
        <v>44040</v>
      </c>
      <c r="AI332" s="709">
        <f t="shared" si="162"/>
        <v>894</v>
      </c>
      <c r="AJ332" s="577">
        <f t="shared" si="163"/>
        <v>2.0720344875538869E-2</v>
      </c>
      <c r="AK332" s="582">
        <f t="shared" si="175"/>
        <v>1.0468794050275485</v>
      </c>
      <c r="AL332" s="582">
        <f t="shared" si="146"/>
        <v>0</v>
      </c>
      <c r="AM332" s="580" t="e">
        <f>VLOOKUP(F332,[7]PRM!E:R,14,FALSE)</f>
        <v>#N/A</v>
      </c>
      <c r="AN332" s="576" t="e">
        <f>T332-#REF!</f>
        <v>#REF!</v>
      </c>
      <c r="AO332" s="580"/>
    </row>
    <row r="333" spans="2:41" s="436" customFormat="1" ht="14" hidden="1">
      <c r="B333" s="800">
        <v>2605</v>
      </c>
      <c r="C333" s="1392" t="s">
        <v>307</v>
      </c>
      <c r="D333" s="1392"/>
      <c r="E333" s="1392"/>
      <c r="F333" s="1392" t="s">
        <v>6</v>
      </c>
      <c r="G333" s="566"/>
      <c r="H333" s="566"/>
      <c r="I333" s="566"/>
      <c r="J333" s="566">
        <v>5</v>
      </c>
      <c r="K333" s="566" t="s">
        <v>288</v>
      </c>
      <c r="L333" s="566">
        <v>6</v>
      </c>
      <c r="M333" s="576">
        <v>699</v>
      </c>
      <c r="N333" s="576">
        <f t="shared" si="179"/>
        <v>41940</v>
      </c>
      <c r="O333" s="566">
        <v>6</v>
      </c>
      <c r="P333" s="577">
        <f>IFERROR(_xlfn.XLOOKUP(F333,'[4]By Model'!$A:$A,'[4]By Model'!$K:$K),"")</f>
        <v>1.086519232589779</v>
      </c>
      <c r="Q333" s="578">
        <f>IFERROR(_xlfn.XLOOKUP(F333,'[5]By Model'!$A:$A,'[5]By Model'!$B:$B),"")</f>
        <v>29</v>
      </c>
      <c r="R333" s="579">
        <f>IFERROR(_xlfn.XLOOKUP(F333,'[4]By Model'!$A:$A,'[4]By Model'!$I:$I),"")</f>
        <v>804.23958468529406</v>
      </c>
      <c r="S333" s="578" t="str">
        <f>IFERROR(_xlfn.XLOOKUP(F333,[6]Sum!$G:$G,[6]Sum!$AM:$AM),"")</f>
        <v/>
      </c>
      <c r="T333" s="576">
        <v>699</v>
      </c>
      <c r="U333" s="576">
        <f t="shared" si="158"/>
        <v>41940</v>
      </c>
      <c r="V333" s="580">
        <v>12</v>
      </c>
      <c r="W333" s="576">
        <f t="shared" si="159"/>
        <v>4194</v>
      </c>
      <c r="X333" s="576">
        <f t="shared" si="160"/>
        <v>37746</v>
      </c>
      <c r="Y333" s="581">
        <f t="shared" si="161"/>
        <v>-9.9999999999999978E-2</v>
      </c>
      <c r="Z333" s="577">
        <f t="shared" si="174"/>
        <v>1.036519232589779</v>
      </c>
      <c r="AA333" s="577">
        <v>0.27555555555555555</v>
      </c>
      <c r="AB333" s="582"/>
      <c r="AC333" s="576">
        <f t="shared" ref="AC333:AC335" si="180">T333</f>
        <v>699</v>
      </c>
      <c r="AD333" s="576">
        <f t="shared" ref="AD333:AD335" si="181">(T333*((J333*12)-AF333))</f>
        <v>37746</v>
      </c>
      <c r="AE333" s="580">
        <v>149</v>
      </c>
      <c r="AF333" s="583">
        <v>6</v>
      </c>
      <c r="AG333" s="576">
        <f t="shared" ref="AG333:AG335" si="182">AE333*AF333</f>
        <v>894</v>
      </c>
      <c r="AH333" s="709">
        <f t="shared" ref="AH333:AH335" si="183">AD333+AG333</f>
        <v>38640</v>
      </c>
      <c r="AI333" s="709">
        <f t="shared" si="162"/>
        <v>894</v>
      </c>
      <c r="AJ333" s="577">
        <f t="shared" si="163"/>
        <v>2.3684628834843426E-2</v>
      </c>
      <c r="AK333" s="582">
        <f t="shared" si="175"/>
        <v>1.0483615470072007</v>
      </c>
      <c r="AL333" s="582">
        <f t="shared" si="146"/>
        <v>0</v>
      </c>
      <c r="AM333" s="580" t="e">
        <f>VLOOKUP(F333,[7]PRM!E:R,14,FALSE)</f>
        <v>#N/A</v>
      </c>
      <c r="AN333" s="576" t="e">
        <f>T333-#REF!</f>
        <v>#REF!</v>
      </c>
      <c r="AO333" s="580"/>
    </row>
    <row r="334" spans="2:41" s="436" customFormat="1" ht="14" hidden="1">
      <c r="B334" s="800">
        <v>2605</v>
      </c>
      <c r="C334" s="1392" t="s">
        <v>307</v>
      </c>
      <c r="D334" s="1392"/>
      <c r="E334" s="1392"/>
      <c r="F334" s="1392" t="s">
        <v>6</v>
      </c>
      <c r="G334" s="566"/>
      <c r="H334" s="566"/>
      <c r="I334" s="566"/>
      <c r="J334" s="566">
        <v>7</v>
      </c>
      <c r="K334" s="566" t="s">
        <v>286</v>
      </c>
      <c r="L334" s="566">
        <v>6</v>
      </c>
      <c r="M334" s="576">
        <v>599</v>
      </c>
      <c r="N334" s="576">
        <f t="shared" si="179"/>
        <v>50316</v>
      </c>
      <c r="O334" s="566">
        <v>6</v>
      </c>
      <c r="P334" s="577">
        <f>IFERROR(_xlfn.XLOOKUP(F334,'[4]By Model'!$A:$A,'[4]By Model'!$K:$K),"")</f>
        <v>1.086519232589779</v>
      </c>
      <c r="Q334" s="578">
        <f>IFERROR(_xlfn.XLOOKUP(F334,'[5]By Model'!$A:$A,'[5]By Model'!$B:$B),"")</f>
        <v>29</v>
      </c>
      <c r="R334" s="579">
        <f>IFERROR(_xlfn.XLOOKUP(F334,'[4]By Model'!$A:$A,'[4]By Model'!$I:$I),"")</f>
        <v>804.23958468529406</v>
      </c>
      <c r="S334" s="578" t="str">
        <f>IFERROR(_xlfn.XLOOKUP(F334,[6]Sum!$G:$G,[6]Sum!$AM:$AM),"")</f>
        <v/>
      </c>
      <c r="T334" s="576">
        <v>599</v>
      </c>
      <c r="U334" s="576">
        <f t="shared" si="158"/>
        <v>50316</v>
      </c>
      <c r="V334" s="580">
        <v>12</v>
      </c>
      <c r="W334" s="576">
        <f t="shared" si="159"/>
        <v>3594</v>
      </c>
      <c r="X334" s="576">
        <f t="shared" si="160"/>
        <v>46722</v>
      </c>
      <c r="Y334" s="581">
        <f t="shared" si="161"/>
        <v>-7.1428571428571397E-2</v>
      </c>
      <c r="Z334" s="577">
        <f t="shared" si="174"/>
        <v>1.0508049468754934</v>
      </c>
      <c r="AA334" s="577">
        <v>0.25846153846153841</v>
      </c>
      <c r="AB334" s="582"/>
      <c r="AC334" s="576">
        <f t="shared" si="180"/>
        <v>599</v>
      </c>
      <c r="AD334" s="576">
        <f t="shared" si="181"/>
        <v>46722</v>
      </c>
      <c r="AE334" s="580">
        <v>149</v>
      </c>
      <c r="AF334" s="583">
        <v>6</v>
      </c>
      <c r="AG334" s="576">
        <f t="shared" si="182"/>
        <v>894</v>
      </c>
      <c r="AH334" s="709">
        <f t="shared" si="183"/>
        <v>47616</v>
      </c>
      <c r="AI334" s="709">
        <f t="shared" si="162"/>
        <v>894</v>
      </c>
      <c r="AJ334" s="577">
        <f t="shared" si="163"/>
        <v>1.9134454860665211E-2</v>
      </c>
      <c r="AK334" s="582">
        <f t="shared" si="175"/>
        <v>1.0603721743058261</v>
      </c>
      <c r="AL334" s="582">
        <f t="shared" si="146"/>
        <v>0</v>
      </c>
      <c r="AM334" s="580" t="e">
        <f>VLOOKUP(F334,[7]PRM!E:R,14,FALSE)</f>
        <v>#N/A</v>
      </c>
      <c r="AN334" s="576" t="e">
        <f>T334-#REF!</f>
        <v>#REF!</v>
      </c>
      <c r="AO334" s="580"/>
    </row>
    <row r="335" spans="2:41" s="436" customFormat="1" ht="14" hidden="1">
      <c r="B335" s="801">
        <v>2605</v>
      </c>
      <c r="C335" s="1393" t="s">
        <v>307</v>
      </c>
      <c r="D335" s="1393"/>
      <c r="E335" s="1393"/>
      <c r="F335" s="1393" t="s">
        <v>6</v>
      </c>
      <c r="G335" s="566"/>
      <c r="H335" s="566"/>
      <c r="I335" s="566"/>
      <c r="J335" s="566">
        <v>7</v>
      </c>
      <c r="K335" s="566" t="s">
        <v>288</v>
      </c>
      <c r="L335" s="566">
        <v>6</v>
      </c>
      <c r="M335" s="576">
        <v>499</v>
      </c>
      <c r="N335" s="576">
        <f t="shared" si="179"/>
        <v>41916</v>
      </c>
      <c r="O335" s="566">
        <v>6</v>
      </c>
      <c r="P335" s="577">
        <f>IFERROR(_xlfn.XLOOKUP(F335,'[4]By Model'!$A:$A,'[4]By Model'!$K:$K),"")</f>
        <v>1.086519232589779</v>
      </c>
      <c r="Q335" s="578">
        <f>IFERROR(_xlfn.XLOOKUP(F335,'[5]By Model'!$A:$A,'[5]By Model'!$B:$B),"")</f>
        <v>29</v>
      </c>
      <c r="R335" s="579">
        <f>IFERROR(_xlfn.XLOOKUP(F335,'[4]By Model'!$A:$A,'[4]By Model'!$I:$I),"")</f>
        <v>804.23958468529406</v>
      </c>
      <c r="S335" s="578" t="str">
        <f>IFERROR(_xlfn.XLOOKUP(F335,[6]Sum!$G:$G,[6]Sum!$AM:$AM),"")</f>
        <v/>
      </c>
      <c r="T335" s="576">
        <v>499</v>
      </c>
      <c r="U335" s="576">
        <f t="shared" si="158"/>
        <v>41916</v>
      </c>
      <c r="V335" s="580">
        <v>12</v>
      </c>
      <c r="W335" s="576">
        <f t="shared" si="159"/>
        <v>2994</v>
      </c>
      <c r="X335" s="576">
        <f t="shared" si="160"/>
        <v>38922</v>
      </c>
      <c r="Y335" s="581">
        <f t="shared" si="161"/>
        <v>-7.1428571428571397E-2</v>
      </c>
      <c r="Z335" s="577">
        <f t="shared" si="174"/>
        <v>1.0508049468754934</v>
      </c>
      <c r="AA335" s="577">
        <v>0.25846153846153841</v>
      </c>
      <c r="AB335" s="582"/>
      <c r="AC335" s="576">
        <f t="shared" si="180"/>
        <v>499</v>
      </c>
      <c r="AD335" s="576">
        <f t="shared" si="181"/>
        <v>38922</v>
      </c>
      <c r="AE335" s="580">
        <v>149</v>
      </c>
      <c r="AF335" s="583">
        <v>6</v>
      </c>
      <c r="AG335" s="576">
        <f t="shared" si="182"/>
        <v>894</v>
      </c>
      <c r="AH335" s="709">
        <f t="shared" si="183"/>
        <v>39816</v>
      </c>
      <c r="AI335" s="709">
        <f t="shared" si="162"/>
        <v>894</v>
      </c>
      <c r="AJ335" s="577">
        <f t="shared" si="163"/>
        <v>2.296901495298289E-2</v>
      </c>
      <c r="AK335" s="582">
        <f t="shared" si="175"/>
        <v>1.062289454351985</v>
      </c>
      <c r="AL335" s="582">
        <f t="shared" si="146"/>
        <v>0</v>
      </c>
      <c r="AM335" s="580" t="e">
        <f>VLOOKUP(F335,[7]PRM!E:R,14,FALSE)</f>
        <v>#N/A</v>
      </c>
      <c r="AN335" s="576" t="e">
        <f>T335-#REF!</f>
        <v>#REF!</v>
      </c>
      <c r="AO335" s="580"/>
    </row>
    <row r="336" spans="2:41" s="436" customFormat="1" ht="14" hidden="1">
      <c r="B336" s="799">
        <v>2605</v>
      </c>
      <c r="C336" s="1391" t="str">
        <f t="shared" ref="C336" si="184">C337</f>
        <v>Water Care</v>
      </c>
      <c r="D336" s="1391"/>
      <c r="E336" s="1391"/>
      <c r="F336" s="1391" t="s">
        <v>8</v>
      </c>
      <c r="G336" s="566"/>
      <c r="H336" s="566"/>
      <c r="I336" s="566"/>
      <c r="J336" s="566">
        <v>3</v>
      </c>
      <c r="K336" s="566" t="s">
        <v>286</v>
      </c>
      <c r="L336" s="566">
        <f t="shared" ref="L336:O336" si="185">L337</f>
        <v>6</v>
      </c>
      <c r="M336" s="576">
        <v>1399</v>
      </c>
      <c r="N336" s="576">
        <f t="shared" si="179"/>
        <v>50364</v>
      </c>
      <c r="O336" s="566">
        <f t="shared" si="185"/>
        <v>6</v>
      </c>
      <c r="P336" s="577">
        <f>IFERROR(_xlfn.XLOOKUP(F336,'[4]By Model'!$A:$A,'[4]By Model'!$K:$K),"")</f>
        <v>0.76867576569512219</v>
      </c>
      <c r="Q336" s="578">
        <f>IFERROR(_xlfn.XLOOKUP(F336,'[5]By Model'!$A:$A,'[5]By Model'!$B:$B),"")</f>
        <v>41</v>
      </c>
      <c r="R336" s="579">
        <f>IFERROR(_xlfn.XLOOKUP(F336,'[4]By Model'!$A:$A,'[4]By Model'!$I:$I),"")</f>
        <v>754.42294712295086</v>
      </c>
      <c r="S336" s="578" t="str">
        <f>IFERROR(_xlfn.XLOOKUP(F336,[6]Sum!$G:$G,[6]Sum!$AM:$AM),"")</f>
        <v/>
      </c>
      <c r="T336" s="576">
        <v>1099</v>
      </c>
      <c r="U336" s="576">
        <f t="shared" si="158"/>
        <v>39564</v>
      </c>
      <c r="V336" s="580">
        <v>0</v>
      </c>
      <c r="W336" s="576">
        <f t="shared" si="159"/>
        <v>0</v>
      </c>
      <c r="X336" s="576">
        <f t="shared" si="160"/>
        <v>39564</v>
      </c>
      <c r="Y336" s="581">
        <f t="shared" si="161"/>
        <v>-0.21443888491779839</v>
      </c>
      <c r="Z336" s="577">
        <f t="shared" si="174"/>
        <v>0.66145632323622294</v>
      </c>
      <c r="AA336" s="577">
        <f t="shared" ref="AA336" si="186">AA337</f>
        <v>0.23555555555555557</v>
      </c>
      <c r="AB336" s="582"/>
      <c r="AC336" s="576">
        <v>1099</v>
      </c>
      <c r="AD336" s="576">
        <f t="shared" si="167"/>
        <v>39564</v>
      </c>
      <c r="AE336" s="711">
        <f>AD336/AD338</f>
        <v>0.91697955778055906</v>
      </c>
      <c r="AF336" s="580">
        <v>0</v>
      </c>
      <c r="AG336" s="576">
        <f t="shared" si="168"/>
        <v>0</v>
      </c>
      <c r="AH336" s="709">
        <f t="shared" si="169"/>
        <v>39564</v>
      </c>
      <c r="AI336" s="709">
        <f t="shared" si="162"/>
        <v>0</v>
      </c>
      <c r="AJ336" s="577">
        <f t="shared" si="163"/>
        <v>0</v>
      </c>
      <c r="AK336" s="582">
        <f t="shared" si="175"/>
        <v>0.66145632323622294</v>
      </c>
      <c r="AL336" s="582">
        <f t="shared" si="146"/>
        <v>0</v>
      </c>
      <c r="AM336" s="580"/>
      <c r="AN336" s="576"/>
      <c r="AO336" s="580"/>
    </row>
    <row r="337" spans="2:41" s="436" customFormat="1" ht="14" hidden="1">
      <c r="B337" s="800">
        <v>2605</v>
      </c>
      <c r="C337" s="1392" t="s">
        <v>307</v>
      </c>
      <c r="D337" s="1392"/>
      <c r="E337" s="1392"/>
      <c r="F337" s="1392" t="s">
        <v>8</v>
      </c>
      <c r="G337" s="566"/>
      <c r="H337" s="566"/>
      <c r="I337" s="566"/>
      <c r="J337" s="566">
        <v>3</v>
      </c>
      <c r="K337" s="566" t="s">
        <v>288</v>
      </c>
      <c r="L337" s="566">
        <v>6</v>
      </c>
      <c r="M337" s="576">
        <v>1149</v>
      </c>
      <c r="N337" s="576">
        <f t="shared" si="179"/>
        <v>41364</v>
      </c>
      <c r="O337" s="566">
        <v>6</v>
      </c>
      <c r="P337" s="577">
        <f>IFERROR(_xlfn.XLOOKUP(F337,'[4]By Model'!$A:$A,'[4]By Model'!$K:$K),"")</f>
        <v>0.76867576569512219</v>
      </c>
      <c r="Q337" s="578">
        <f>IFERROR(_xlfn.XLOOKUP(F337,'[5]By Model'!$A:$A,'[5]By Model'!$B:$B),"")</f>
        <v>41</v>
      </c>
      <c r="R337" s="579">
        <f>IFERROR(_xlfn.XLOOKUP(F337,'[4]By Model'!$A:$A,'[4]By Model'!$I:$I),"")</f>
        <v>754.42294712295086</v>
      </c>
      <c r="S337" s="578" t="str">
        <f>IFERROR(_xlfn.XLOOKUP(F337,[6]Sum!$G:$G,[6]Sum!$AM:$AM),"")</f>
        <v/>
      </c>
      <c r="T337" s="576">
        <v>949</v>
      </c>
      <c r="U337" s="576">
        <f t="shared" si="158"/>
        <v>34164</v>
      </c>
      <c r="V337" s="580">
        <v>0</v>
      </c>
      <c r="W337" s="576">
        <f t="shared" si="159"/>
        <v>0</v>
      </c>
      <c r="X337" s="576">
        <f t="shared" si="160"/>
        <v>34164</v>
      </c>
      <c r="Y337" s="581">
        <f t="shared" si="161"/>
        <v>-0.1740644038294169</v>
      </c>
      <c r="Z337" s="577">
        <f t="shared" si="174"/>
        <v>0.68164356378041369</v>
      </c>
      <c r="AA337" s="577">
        <v>0.23555555555555557</v>
      </c>
      <c r="AB337" s="582"/>
      <c r="AC337" s="576">
        <v>949</v>
      </c>
      <c r="AD337" s="576">
        <f t="shared" si="167"/>
        <v>34164</v>
      </c>
      <c r="AE337" s="711">
        <f>AD337/AD339</f>
        <v>0.90510252742012398</v>
      </c>
      <c r="AF337" s="580">
        <v>0</v>
      </c>
      <c r="AG337" s="576">
        <f t="shared" si="168"/>
        <v>0</v>
      </c>
      <c r="AH337" s="709">
        <f t="shared" si="169"/>
        <v>34164</v>
      </c>
      <c r="AI337" s="709">
        <f t="shared" si="162"/>
        <v>0</v>
      </c>
      <c r="AJ337" s="577">
        <f t="shared" si="163"/>
        <v>0</v>
      </c>
      <c r="AK337" s="582">
        <f t="shared" si="175"/>
        <v>0.68164356378041369</v>
      </c>
      <c r="AL337" s="582">
        <f t="shared" si="146"/>
        <v>0</v>
      </c>
      <c r="AM337" s="580" t="e">
        <f>VLOOKUP(F337,[7]PRM!E:R,14,FALSE)</f>
        <v>#N/A</v>
      </c>
      <c r="AN337" s="576" t="e">
        <f>T337-#REF!</f>
        <v>#REF!</v>
      </c>
      <c r="AO337" s="580"/>
    </row>
    <row r="338" spans="2:41" s="436" customFormat="1" ht="14" hidden="1">
      <c r="B338" s="800">
        <v>2605</v>
      </c>
      <c r="C338" s="1392" t="s">
        <v>307</v>
      </c>
      <c r="D338" s="1392"/>
      <c r="E338" s="1392"/>
      <c r="F338" s="1392" t="s">
        <v>8</v>
      </c>
      <c r="G338" s="566"/>
      <c r="H338" s="566"/>
      <c r="I338" s="566"/>
      <c r="J338" s="566">
        <v>5</v>
      </c>
      <c r="K338" s="566" t="s">
        <v>286</v>
      </c>
      <c r="L338" s="566">
        <v>6</v>
      </c>
      <c r="M338" s="576">
        <v>799</v>
      </c>
      <c r="N338" s="576">
        <f t="shared" si="179"/>
        <v>47940</v>
      </c>
      <c r="O338" s="566">
        <v>6</v>
      </c>
      <c r="P338" s="577">
        <f>IFERROR(_xlfn.XLOOKUP(F338,'[4]By Model'!$A:$A,'[4]By Model'!$K:$K),"")</f>
        <v>0.76867576569512219</v>
      </c>
      <c r="Q338" s="578">
        <f>IFERROR(_xlfn.XLOOKUP(F338,'[5]By Model'!$A:$A,'[5]By Model'!$B:$B),"")</f>
        <v>41</v>
      </c>
      <c r="R338" s="579">
        <f>IFERROR(_xlfn.XLOOKUP(F338,'[4]By Model'!$A:$A,'[4]By Model'!$I:$I),"")</f>
        <v>754.42294712295086</v>
      </c>
      <c r="S338" s="578" t="str">
        <f>IFERROR(_xlfn.XLOOKUP(F338,[6]Sum!$G:$G,[6]Sum!$AM:$AM),"")</f>
        <v/>
      </c>
      <c r="T338" s="576">
        <v>799</v>
      </c>
      <c r="U338" s="576">
        <f t="shared" si="158"/>
        <v>47940</v>
      </c>
      <c r="V338" s="580">
        <v>12</v>
      </c>
      <c r="W338" s="576">
        <f t="shared" si="159"/>
        <v>4794</v>
      </c>
      <c r="X338" s="576">
        <f t="shared" si="160"/>
        <v>43146</v>
      </c>
      <c r="Y338" s="581">
        <f t="shared" si="161"/>
        <v>-9.9999999999999978E-2</v>
      </c>
      <c r="Z338" s="577">
        <f t="shared" si="174"/>
        <v>0.71867576569512215</v>
      </c>
      <c r="AA338" s="577">
        <v>0.23555555555555557</v>
      </c>
      <c r="AB338" s="582"/>
      <c r="AC338" s="576">
        <f>T338</f>
        <v>799</v>
      </c>
      <c r="AD338" s="576">
        <f>(T338*((J338*12)-AF338))</f>
        <v>43146</v>
      </c>
      <c r="AE338" s="580">
        <v>149</v>
      </c>
      <c r="AF338" s="583">
        <v>6</v>
      </c>
      <c r="AG338" s="576">
        <f>AE338*AF338</f>
        <v>894</v>
      </c>
      <c r="AH338" s="709">
        <f>AD338+AG338</f>
        <v>44040</v>
      </c>
      <c r="AI338" s="709">
        <f t="shared" si="162"/>
        <v>894</v>
      </c>
      <c r="AJ338" s="577">
        <f t="shared" si="163"/>
        <v>2.0720344875538869E-2</v>
      </c>
      <c r="AK338" s="582">
        <f t="shared" si="175"/>
        <v>0.72903593813289158</v>
      </c>
      <c r="AL338" s="582">
        <f t="shared" si="146"/>
        <v>0</v>
      </c>
      <c r="AM338" s="580" t="e">
        <f>VLOOKUP(F338,[7]PRM!E:R,14,FALSE)</f>
        <v>#N/A</v>
      </c>
      <c r="AN338" s="576" t="e">
        <f>T338-#REF!</f>
        <v>#REF!</v>
      </c>
      <c r="AO338" s="580"/>
    </row>
    <row r="339" spans="2:41" s="436" customFormat="1" ht="14" hidden="1">
      <c r="B339" s="800">
        <v>2605</v>
      </c>
      <c r="C339" s="1392" t="s">
        <v>307</v>
      </c>
      <c r="D339" s="1392"/>
      <c r="E339" s="1392"/>
      <c r="F339" s="1392" t="s">
        <v>8</v>
      </c>
      <c r="G339" s="566"/>
      <c r="H339" s="566"/>
      <c r="I339" s="566"/>
      <c r="J339" s="566">
        <v>5</v>
      </c>
      <c r="K339" s="566" t="s">
        <v>288</v>
      </c>
      <c r="L339" s="566">
        <v>6</v>
      </c>
      <c r="M339" s="576">
        <v>699</v>
      </c>
      <c r="N339" s="576">
        <f t="shared" si="179"/>
        <v>41940</v>
      </c>
      <c r="O339" s="566">
        <v>6</v>
      </c>
      <c r="P339" s="577">
        <f>IFERROR(_xlfn.XLOOKUP(F339,'[4]By Model'!$A:$A,'[4]By Model'!$K:$K),"")</f>
        <v>0.76867576569512219</v>
      </c>
      <c r="Q339" s="578">
        <f>IFERROR(_xlfn.XLOOKUP(F339,'[5]By Model'!$A:$A,'[5]By Model'!$B:$B),"")</f>
        <v>41</v>
      </c>
      <c r="R339" s="579">
        <f>IFERROR(_xlfn.XLOOKUP(F339,'[4]By Model'!$A:$A,'[4]By Model'!$I:$I),"")</f>
        <v>754.42294712295086</v>
      </c>
      <c r="S339" s="578" t="str">
        <f>IFERROR(_xlfn.XLOOKUP(F339,[6]Sum!$G:$G,[6]Sum!$AM:$AM),"")</f>
        <v/>
      </c>
      <c r="T339" s="576">
        <v>699</v>
      </c>
      <c r="U339" s="576">
        <f t="shared" si="158"/>
        <v>41940</v>
      </c>
      <c r="V339" s="580">
        <v>12</v>
      </c>
      <c r="W339" s="576">
        <f t="shared" si="159"/>
        <v>4194</v>
      </c>
      <c r="X339" s="576">
        <f t="shared" si="160"/>
        <v>37746</v>
      </c>
      <c r="Y339" s="581">
        <f t="shared" si="161"/>
        <v>-9.9999999999999978E-2</v>
      </c>
      <c r="Z339" s="577">
        <f t="shared" si="174"/>
        <v>0.71867576569512215</v>
      </c>
      <c r="AA339" s="577">
        <v>0.23555555555555557</v>
      </c>
      <c r="AB339" s="582"/>
      <c r="AC339" s="576">
        <f t="shared" ref="AC339:AC341" si="187">T339</f>
        <v>699</v>
      </c>
      <c r="AD339" s="576">
        <f t="shared" ref="AD339:AD341" si="188">(T339*((J339*12)-AF339))</f>
        <v>37746</v>
      </c>
      <c r="AE339" s="580">
        <v>149</v>
      </c>
      <c r="AF339" s="583">
        <v>6</v>
      </c>
      <c r="AG339" s="576">
        <f t="shared" ref="AG339:AG341" si="189">AE339*AF339</f>
        <v>894</v>
      </c>
      <c r="AH339" s="709">
        <f t="shared" ref="AH339:AH341" si="190">AD339+AG339</f>
        <v>38640</v>
      </c>
      <c r="AI339" s="709">
        <f t="shared" si="162"/>
        <v>894</v>
      </c>
      <c r="AJ339" s="577">
        <f t="shared" si="163"/>
        <v>2.3684628834843426E-2</v>
      </c>
      <c r="AK339" s="582">
        <f t="shared" si="175"/>
        <v>0.73051808011254382</v>
      </c>
      <c r="AL339" s="582">
        <f t="shared" si="146"/>
        <v>0</v>
      </c>
      <c r="AM339" s="580" t="e">
        <f>VLOOKUP(F339,[7]PRM!E:R,14,FALSE)</f>
        <v>#N/A</v>
      </c>
      <c r="AN339" s="576" t="e">
        <f>T339-#REF!</f>
        <v>#REF!</v>
      </c>
      <c r="AO339" s="580"/>
    </row>
    <row r="340" spans="2:41" s="436" customFormat="1" ht="14" hidden="1">
      <c r="B340" s="800">
        <v>2605</v>
      </c>
      <c r="C340" s="1392" t="s">
        <v>307</v>
      </c>
      <c r="D340" s="1392"/>
      <c r="E340" s="1392"/>
      <c r="F340" s="1392" t="s">
        <v>8</v>
      </c>
      <c r="G340" s="566"/>
      <c r="H340" s="566"/>
      <c r="I340" s="566"/>
      <c r="J340" s="566">
        <v>7</v>
      </c>
      <c r="K340" s="566" t="s">
        <v>286</v>
      </c>
      <c r="L340" s="566">
        <v>6</v>
      </c>
      <c r="M340" s="576">
        <v>599</v>
      </c>
      <c r="N340" s="576">
        <f t="shared" si="179"/>
        <v>50316</v>
      </c>
      <c r="O340" s="566">
        <v>6</v>
      </c>
      <c r="P340" s="577">
        <f>IFERROR(_xlfn.XLOOKUP(F340,'[4]By Model'!$A:$A,'[4]By Model'!$K:$K),"")</f>
        <v>0.76867576569512219</v>
      </c>
      <c r="Q340" s="578">
        <f>IFERROR(_xlfn.XLOOKUP(F340,'[5]By Model'!$A:$A,'[5]By Model'!$B:$B),"")</f>
        <v>41</v>
      </c>
      <c r="R340" s="579">
        <f>IFERROR(_xlfn.XLOOKUP(F340,'[4]By Model'!$A:$A,'[4]By Model'!$I:$I),"")</f>
        <v>754.42294712295086</v>
      </c>
      <c r="S340" s="578" t="str">
        <f>IFERROR(_xlfn.XLOOKUP(F340,[6]Sum!$G:$G,[6]Sum!$AM:$AM),"")</f>
        <v/>
      </c>
      <c r="T340" s="576">
        <v>599</v>
      </c>
      <c r="U340" s="576">
        <f t="shared" si="158"/>
        <v>50316</v>
      </c>
      <c r="V340" s="580">
        <v>12</v>
      </c>
      <c r="W340" s="576">
        <f t="shared" si="159"/>
        <v>3594</v>
      </c>
      <c r="X340" s="576">
        <f t="shared" si="160"/>
        <v>46722</v>
      </c>
      <c r="Y340" s="581">
        <f t="shared" si="161"/>
        <v>-7.1428571428571397E-2</v>
      </c>
      <c r="Z340" s="577">
        <f t="shared" si="174"/>
        <v>0.73296147998083649</v>
      </c>
      <c r="AA340" s="577">
        <v>0.21846153846153843</v>
      </c>
      <c r="AB340" s="582"/>
      <c r="AC340" s="576">
        <f t="shared" si="187"/>
        <v>599</v>
      </c>
      <c r="AD340" s="576">
        <f t="shared" si="188"/>
        <v>46722</v>
      </c>
      <c r="AE340" s="580">
        <v>149</v>
      </c>
      <c r="AF340" s="583">
        <v>6</v>
      </c>
      <c r="AG340" s="576">
        <f t="shared" si="189"/>
        <v>894</v>
      </c>
      <c r="AH340" s="709">
        <f t="shared" si="190"/>
        <v>47616</v>
      </c>
      <c r="AI340" s="709">
        <f t="shared" si="162"/>
        <v>894</v>
      </c>
      <c r="AJ340" s="577">
        <f t="shared" si="163"/>
        <v>1.9134454860665211E-2</v>
      </c>
      <c r="AK340" s="582">
        <f t="shared" si="175"/>
        <v>0.74252870741116905</v>
      </c>
      <c r="AL340" s="582">
        <f t="shared" si="146"/>
        <v>0</v>
      </c>
      <c r="AM340" s="580" t="e">
        <f>VLOOKUP(F340,[7]PRM!E:R,14,FALSE)</f>
        <v>#N/A</v>
      </c>
      <c r="AN340" s="576" t="e">
        <f>T340-#REF!</f>
        <v>#REF!</v>
      </c>
      <c r="AO340" s="580"/>
    </row>
    <row r="341" spans="2:41" s="436" customFormat="1" ht="14" hidden="1">
      <c r="B341" s="801">
        <v>2605</v>
      </c>
      <c r="C341" s="1393" t="s">
        <v>307</v>
      </c>
      <c r="D341" s="1393"/>
      <c r="E341" s="1393"/>
      <c r="F341" s="1393" t="s">
        <v>8</v>
      </c>
      <c r="G341" s="566"/>
      <c r="H341" s="566"/>
      <c r="I341" s="566"/>
      <c r="J341" s="566">
        <v>7</v>
      </c>
      <c r="K341" s="566" t="s">
        <v>288</v>
      </c>
      <c r="L341" s="566">
        <v>6</v>
      </c>
      <c r="M341" s="576">
        <v>499</v>
      </c>
      <c r="N341" s="576">
        <f t="shared" si="179"/>
        <v>41916</v>
      </c>
      <c r="O341" s="566">
        <v>6</v>
      </c>
      <c r="P341" s="577">
        <f>IFERROR(_xlfn.XLOOKUP(F341,'[4]By Model'!$A:$A,'[4]By Model'!$K:$K),"")</f>
        <v>0.76867576569512219</v>
      </c>
      <c r="Q341" s="578">
        <f>IFERROR(_xlfn.XLOOKUP(F341,'[5]By Model'!$A:$A,'[5]By Model'!$B:$B),"")</f>
        <v>41</v>
      </c>
      <c r="R341" s="579">
        <f>IFERROR(_xlfn.XLOOKUP(F341,'[4]By Model'!$A:$A,'[4]By Model'!$I:$I),"")</f>
        <v>754.42294712295086</v>
      </c>
      <c r="S341" s="578" t="str">
        <f>IFERROR(_xlfn.XLOOKUP(F341,[6]Sum!$G:$G,[6]Sum!$AM:$AM),"")</f>
        <v/>
      </c>
      <c r="T341" s="576">
        <v>499</v>
      </c>
      <c r="U341" s="576">
        <f t="shared" si="158"/>
        <v>41916</v>
      </c>
      <c r="V341" s="580">
        <v>12</v>
      </c>
      <c r="W341" s="576">
        <f t="shared" si="159"/>
        <v>2994</v>
      </c>
      <c r="X341" s="576">
        <f t="shared" si="160"/>
        <v>38922</v>
      </c>
      <c r="Y341" s="581">
        <f t="shared" si="161"/>
        <v>-7.1428571428571397E-2</v>
      </c>
      <c r="Z341" s="577">
        <f t="shared" si="174"/>
        <v>0.73296147998083649</v>
      </c>
      <c r="AA341" s="577">
        <v>0.21846153846153843</v>
      </c>
      <c r="AB341" s="582"/>
      <c r="AC341" s="576">
        <f t="shared" si="187"/>
        <v>499</v>
      </c>
      <c r="AD341" s="576">
        <f t="shared" si="188"/>
        <v>38922</v>
      </c>
      <c r="AE341" s="580">
        <v>149</v>
      </c>
      <c r="AF341" s="583">
        <v>6</v>
      </c>
      <c r="AG341" s="576">
        <f t="shared" si="189"/>
        <v>894</v>
      </c>
      <c r="AH341" s="709">
        <f t="shared" si="190"/>
        <v>39816</v>
      </c>
      <c r="AI341" s="709">
        <f t="shared" si="162"/>
        <v>894</v>
      </c>
      <c r="AJ341" s="577">
        <f t="shared" si="163"/>
        <v>2.296901495298289E-2</v>
      </c>
      <c r="AK341" s="582">
        <f t="shared" si="175"/>
        <v>0.74444598745732793</v>
      </c>
      <c r="AL341" s="582">
        <f t="shared" si="146"/>
        <v>0</v>
      </c>
      <c r="AM341" s="580" t="e">
        <f>VLOOKUP(F341,[7]PRM!E:R,14,FALSE)</f>
        <v>#N/A</v>
      </c>
      <c r="AN341" s="576" t="e">
        <f>T341-#REF!</f>
        <v>#REF!</v>
      </c>
      <c r="AO341" s="580"/>
    </row>
    <row r="342" spans="2:41" s="436" customFormat="1" ht="14" hidden="1">
      <c r="B342" s="799">
        <v>2605</v>
      </c>
      <c r="C342" s="1391" t="str">
        <f t="shared" ref="C342" si="191">C343</f>
        <v>Water Care</v>
      </c>
      <c r="D342" s="1391"/>
      <c r="E342" s="1391"/>
      <c r="F342" s="1391" t="s">
        <v>12</v>
      </c>
      <c r="G342" s="566"/>
      <c r="H342" s="566"/>
      <c r="I342" s="566"/>
      <c r="J342" s="566">
        <v>3</v>
      </c>
      <c r="K342" s="566" t="s">
        <v>286</v>
      </c>
      <c r="L342" s="566">
        <f t="shared" ref="L342:O342" si="192">L343</f>
        <v>6</v>
      </c>
      <c r="M342" s="576">
        <v>1399</v>
      </c>
      <c r="N342" s="576">
        <f t="shared" si="179"/>
        <v>50364</v>
      </c>
      <c r="O342" s="566">
        <f t="shared" si="192"/>
        <v>6</v>
      </c>
      <c r="P342" s="577">
        <f>IFERROR(_xlfn.XLOOKUP(F342,'[4]By Model'!$A:$A,'[4]By Model'!$K:$K),"")</f>
        <v>0.81032630445974896</v>
      </c>
      <c r="Q342" s="578">
        <f>IFERROR(_xlfn.XLOOKUP(F342,'[5]By Model'!$A:$A,'[5]By Model'!$B:$B),"")</f>
        <v>37</v>
      </c>
      <c r="R342" s="579">
        <f>IFERROR(_xlfn.XLOOKUP(F342,'[4]By Model'!$A:$A,'[4]By Model'!$I:$I),"")</f>
        <v>768.03785949827591</v>
      </c>
      <c r="S342" s="578" t="str">
        <f>IFERROR(_xlfn.XLOOKUP(F342,[6]Sum!$G:$G,[6]Sum!$AM:$AM),"")</f>
        <v/>
      </c>
      <c r="T342" s="576">
        <v>1099</v>
      </c>
      <c r="U342" s="576">
        <f t="shared" si="158"/>
        <v>39564</v>
      </c>
      <c r="V342" s="580">
        <v>0</v>
      </c>
      <c r="W342" s="576">
        <f t="shared" si="159"/>
        <v>0</v>
      </c>
      <c r="X342" s="576">
        <f t="shared" si="160"/>
        <v>39564</v>
      </c>
      <c r="Y342" s="581">
        <f t="shared" si="161"/>
        <v>-0.21443888491779839</v>
      </c>
      <c r="Z342" s="577">
        <f t="shared" si="174"/>
        <v>0.70310686200084982</v>
      </c>
      <c r="AA342" s="577">
        <f t="shared" ref="AA342" si="193">AA343</f>
        <v>0.23555555555555557</v>
      </c>
      <c r="AB342" s="582"/>
      <c r="AC342" s="576">
        <v>1099</v>
      </c>
      <c r="AD342" s="576">
        <f t="shared" si="167"/>
        <v>39564</v>
      </c>
      <c r="AE342" s="711">
        <f>AD342/AD344</f>
        <v>0.91697955778055906</v>
      </c>
      <c r="AF342" s="580">
        <v>0</v>
      </c>
      <c r="AG342" s="576">
        <f t="shared" si="168"/>
        <v>0</v>
      </c>
      <c r="AH342" s="709">
        <f t="shared" si="169"/>
        <v>39564</v>
      </c>
      <c r="AI342" s="709">
        <f t="shared" si="162"/>
        <v>0</v>
      </c>
      <c r="AJ342" s="577">
        <f t="shared" si="163"/>
        <v>0</v>
      </c>
      <c r="AK342" s="582">
        <f t="shared" si="175"/>
        <v>0.70310686200084982</v>
      </c>
      <c r="AL342" s="582">
        <f t="shared" si="146"/>
        <v>0</v>
      </c>
      <c r="AM342" s="580"/>
      <c r="AN342" s="576"/>
      <c r="AO342" s="580"/>
    </row>
    <row r="343" spans="2:41" s="436" customFormat="1" ht="14" hidden="1">
      <c r="B343" s="800">
        <v>2605</v>
      </c>
      <c r="C343" s="1392" t="s">
        <v>307</v>
      </c>
      <c r="D343" s="1392"/>
      <c r="E343" s="1392"/>
      <c r="F343" s="1392" t="s">
        <v>12</v>
      </c>
      <c r="G343" s="566"/>
      <c r="H343" s="566"/>
      <c r="I343" s="566"/>
      <c r="J343" s="566">
        <v>3</v>
      </c>
      <c r="K343" s="566" t="s">
        <v>288</v>
      </c>
      <c r="L343" s="566">
        <v>6</v>
      </c>
      <c r="M343" s="576">
        <v>1149</v>
      </c>
      <c r="N343" s="576">
        <f t="shared" si="179"/>
        <v>41364</v>
      </c>
      <c r="O343" s="566">
        <v>6</v>
      </c>
      <c r="P343" s="577">
        <f>IFERROR(_xlfn.XLOOKUP(F343,'[4]By Model'!$A:$A,'[4]By Model'!$K:$K),"")</f>
        <v>0.81032630445974896</v>
      </c>
      <c r="Q343" s="578">
        <f>IFERROR(_xlfn.XLOOKUP(F343,'[5]By Model'!$A:$A,'[5]By Model'!$B:$B),"")</f>
        <v>37</v>
      </c>
      <c r="R343" s="579">
        <f>IFERROR(_xlfn.XLOOKUP(F343,'[4]By Model'!$A:$A,'[4]By Model'!$I:$I),"")</f>
        <v>768.03785949827591</v>
      </c>
      <c r="S343" s="578" t="str">
        <f>IFERROR(_xlfn.XLOOKUP(F343,[6]Sum!$G:$G,[6]Sum!$AM:$AM),"")</f>
        <v/>
      </c>
      <c r="T343" s="576">
        <v>949</v>
      </c>
      <c r="U343" s="576">
        <f t="shared" si="158"/>
        <v>34164</v>
      </c>
      <c r="V343" s="580">
        <v>0</v>
      </c>
      <c r="W343" s="576">
        <f t="shared" si="159"/>
        <v>0</v>
      </c>
      <c r="X343" s="576">
        <f t="shared" si="160"/>
        <v>34164</v>
      </c>
      <c r="Y343" s="581">
        <f t="shared" si="161"/>
        <v>-0.1740644038294169</v>
      </c>
      <c r="Z343" s="577">
        <f t="shared" si="174"/>
        <v>0.72329410254504056</v>
      </c>
      <c r="AA343" s="577">
        <v>0.23555555555555557</v>
      </c>
      <c r="AB343" s="582"/>
      <c r="AC343" s="576">
        <v>949</v>
      </c>
      <c r="AD343" s="576">
        <f t="shared" si="167"/>
        <v>34164</v>
      </c>
      <c r="AE343" s="711">
        <f>AD343/AD345</f>
        <v>0.90510252742012398</v>
      </c>
      <c r="AF343" s="580">
        <v>0</v>
      </c>
      <c r="AG343" s="576">
        <f t="shared" si="168"/>
        <v>0</v>
      </c>
      <c r="AH343" s="709">
        <f t="shared" si="169"/>
        <v>34164</v>
      </c>
      <c r="AI343" s="709">
        <f t="shared" si="162"/>
        <v>0</v>
      </c>
      <c r="AJ343" s="577">
        <f t="shared" si="163"/>
        <v>0</v>
      </c>
      <c r="AK343" s="582">
        <f t="shared" si="175"/>
        <v>0.72329410254504056</v>
      </c>
      <c r="AL343" s="582">
        <f t="shared" si="146"/>
        <v>0</v>
      </c>
      <c r="AM343" s="580" t="e">
        <f>VLOOKUP(F343,[7]PRM!E:R,14,FALSE)</f>
        <v>#N/A</v>
      </c>
      <c r="AN343" s="576" t="e">
        <f>T343-#REF!</f>
        <v>#REF!</v>
      </c>
      <c r="AO343" s="580"/>
    </row>
    <row r="344" spans="2:41" s="436" customFormat="1" ht="14" hidden="1">
      <c r="B344" s="800">
        <v>2605</v>
      </c>
      <c r="C344" s="1392" t="s">
        <v>307</v>
      </c>
      <c r="D344" s="1392"/>
      <c r="E344" s="1392"/>
      <c r="F344" s="1392" t="s">
        <v>12</v>
      </c>
      <c r="G344" s="566"/>
      <c r="H344" s="566"/>
      <c r="I344" s="566"/>
      <c r="J344" s="566">
        <v>5</v>
      </c>
      <c r="K344" s="566" t="s">
        <v>286</v>
      </c>
      <c r="L344" s="566">
        <v>6</v>
      </c>
      <c r="M344" s="576">
        <v>799</v>
      </c>
      <c r="N344" s="576">
        <f t="shared" si="179"/>
        <v>47940</v>
      </c>
      <c r="O344" s="566">
        <v>6</v>
      </c>
      <c r="P344" s="577">
        <f>IFERROR(_xlfn.XLOOKUP(F344,'[4]By Model'!$A:$A,'[4]By Model'!$K:$K),"")</f>
        <v>0.81032630445974896</v>
      </c>
      <c r="Q344" s="578">
        <f>IFERROR(_xlfn.XLOOKUP(F344,'[5]By Model'!$A:$A,'[5]By Model'!$B:$B),"")</f>
        <v>37</v>
      </c>
      <c r="R344" s="579">
        <f>IFERROR(_xlfn.XLOOKUP(F344,'[4]By Model'!$A:$A,'[4]By Model'!$I:$I),"")</f>
        <v>768.03785949827591</v>
      </c>
      <c r="S344" s="578" t="str">
        <f>IFERROR(_xlfn.XLOOKUP(F344,[6]Sum!$G:$G,[6]Sum!$AM:$AM),"")</f>
        <v/>
      </c>
      <c r="T344" s="576">
        <v>799</v>
      </c>
      <c r="U344" s="576">
        <f t="shared" si="158"/>
        <v>47940</v>
      </c>
      <c r="V344" s="580">
        <v>12</v>
      </c>
      <c r="W344" s="576">
        <f t="shared" si="159"/>
        <v>4794</v>
      </c>
      <c r="X344" s="576">
        <f t="shared" si="160"/>
        <v>43146</v>
      </c>
      <c r="Y344" s="581">
        <f t="shared" si="161"/>
        <v>-9.9999999999999978E-2</v>
      </c>
      <c r="Z344" s="577">
        <f t="shared" si="174"/>
        <v>0.76032630445974902</v>
      </c>
      <c r="AA344" s="577">
        <v>0.23555555555555557</v>
      </c>
      <c r="AB344" s="582"/>
      <c r="AC344" s="576">
        <f>T344</f>
        <v>799</v>
      </c>
      <c r="AD344" s="576">
        <f>(T344*((J344*12)-AF344))</f>
        <v>43146</v>
      </c>
      <c r="AE344" s="580">
        <v>149</v>
      </c>
      <c r="AF344" s="583">
        <v>6</v>
      </c>
      <c r="AG344" s="576">
        <f>AE344*AF344</f>
        <v>894</v>
      </c>
      <c r="AH344" s="709">
        <f>AD344+AG344</f>
        <v>44040</v>
      </c>
      <c r="AI344" s="709">
        <f t="shared" si="162"/>
        <v>894</v>
      </c>
      <c r="AJ344" s="577">
        <f t="shared" si="163"/>
        <v>2.0720344875538869E-2</v>
      </c>
      <c r="AK344" s="582">
        <f t="shared" si="175"/>
        <v>0.77068647689751846</v>
      </c>
      <c r="AL344" s="582">
        <f t="shared" si="146"/>
        <v>0</v>
      </c>
      <c r="AM344" s="580" t="e">
        <f>VLOOKUP(F344,[7]PRM!E:R,14,FALSE)</f>
        <v>#N/A</v>
      </c>
      <c r="AN344" s="576" t="e">
        <f>T344-#REF!</f>
        <v>#REF!</v>
      </c>
      <c r="AO344" s="580"/>
    </row>
    <row r="345" spans="2:41" s="436" customFormat="1" ht="14" hidden="1">
      <c r="B345" s="800">
        <v>2605</v>
      </c>
      <c r="C345" s="1392" t="s">
        <v>307</v>
      </c>
      <c r="D345" s="1392"/>
      <c r="E345" s="1392"/>
      <c r="F345" s="1392" t="s">
        <v>12</v>
      </c>
      <c r="G345" s="566"/>
      <c r="H345" s="566"/>
      <c r="I345" s="566"/>
      <c r="J345" s="566">
        <v>5</v>
      </c>
      <c r="K345" s="566" t="s">
        <v>288</v>
      </c>
      <c r="L345" s="566">
        <v>6</v>
      </c>
      <c r="M345" s="576">
        <v>699</v>
      </c>
      <c r="N345" s="576">
        <f t="shared" si="179"/>
        <v>41940</v>
      </c>
      <c r="O345" s="566">
        <v>6</v>
      </c>
      <c r="P345" s="577">
        <f>IFERROR(_xlfn.XLOOKUP(F345,'[4]By Model'!$A:$A,'[4]By Model'!$K:$K),"")</f>
        <v>0.81032630445974896</v>
      </c>
      <c r="Q345" s="578">
        <f>IFERROR(_xlfn.XLOOKUP(F345,'[5]By Model'!$A:$A,'[5]By Model'!$B:$B),"")</f>
        <v>37</v>
      </c>
      <c r="R345" s="579">
        <f>IFERROR(_xlfn.XLOOKUP(F345,'[4]By Model'!$A:$A,'[4]By Model'!$I:$I),"")</f>
        <v>768.03785949827591</v>
      </c>
      <c r="S345" s="578" t="str">
        <f>IFERROR(_xlfn.XLOOKUP(F345,[6]Sum!$G:$G,[6]Sum!$AM:$AM),"")</f>
        <v/>
      </c>
      <c r="T345" s="576">
        <v>699</v>
      </c>
      <c r="U345" s="576">
        <f t="shared" si="158"/>
        <v>41940</v>
      </c>
      <c r="V345" s="580">
        <v>12</v>
      </c>
      <c r="W345" s="576">
        <f t="shared" si="159"/>
        <v>4194</v>
      </c>
      <c r="X345" s="576">
        <f t="shared" si="160"/>
        <v>37746</v>
      </c>
      <c r="Y345" s="581">
        <f t="shared" si="161"/>
        <v>-9.9999999999999978E-2</v>
      </c>
      <c r="Z345" s="577">
        <f t="shared" si="174"/>
        <v>0.76032630445974902</v>
      </c>
      <c r="AA345" s="577">
        <v>0.23555555555555557</v>
      </c>
      <c r="AB345" s="582"/>
      <c r="AC345" s="576">
        <f t="shared" ref="AC345:AC347" si="194">T345</f>
        <v>699</v>
      </c>
      <c r="AD345" s="576">
        <f t="shared" ref="AD345:AD347" si="195">(T345*((J345*12)-AF345))</f>
        <v>37746</v>
      </c>
      <c r="AE345" s="580">
        <v>149</v>
      </c>
      <c r="AF345" s="583">
        <v>6</v>
      </c>
      <c r="AG345" s="576">
        <f t="shared" ref="AG345:AG347" si="196">AE345*AF345</f>
        <v>894</v>
      </c>
      <c r="AH345" s="709">
        <f t="shared" ref="AH345:AH347" si="197">AD345+AG345</f>
        <v>38640</v>
      </c>
      <c r="AI345" s="709">
        <f t="shared" si="162"/>
        <v>894</v>
      </c>
      <c r="AJ345" s="577">
        <f t="shared" si="163"/>
        <v>2.3684628834843426E-2</v>
      </c>
      <c r="AK345" s="582">
        <f t="shared" si="175"/>
        <v>0.7721686188771707</v>
      </c>
      <c r="AL345" s="582">
        <f t="shared" si="146"/>
        <v>0</v>
      </c>
      <c r="AM345" s="580" t="e">
        <f>VLOOKUP(F345,[7]PRM!E:R,14,FALSE)</f>
        <v>#N/A</v>
      </c>
      <c r="AN345" s="576" t="e">
        <f>T345-#REF!</f>
        <v>#REF!</v>
      </c>
      <c r="AO345" s="580"/>
    </row>
    <row r="346" spans="2:41" s="436" customFormat="1" ht="14" hidden="1">
      <c r="B346" s="800">
        <v>2605</v>
      </c>
      <c r="C346" s="1392" t="s">
        <v>307</v>
      </c>
      <c r="D346" s="1392"/>
      <c r="E346" s="1392"/>
      <c r="F346" s="1392" t="s">
        <v>12</v>
      </c>
      <c r="G346" s="566"/>
      <c r="H346" s="566"/>
      <c r="I346" s="566"/>
      <c r="J346" s="566">
        <v>7</v>
      </c>
      <c r="K346" s="566" t="s">
        <v>286</v>
      </c>
      <c r="L346" s="566">
        <v>6</v>
      </c>
      <c r="M346" s="576">
        <v>599</v>
      </c>
      <c r="N346" s="576">
        <f t="shared" si="179"/>
        <v>50316</v>
      </c>
      <c r="O346" s="566">
        <v>6</v>
      </c>
      <c r="P346" s="577">
        <f>IFERROR(_xlfn.XLOOKUP(F346,'[4]By Model'!$A:$A,'[4]By Model'!$K:$K),"")</f>
        <v>0.81032630445974896</v>
      </c>
      <c r="Q346" s="578">
        <f>IFERROR(_xlfn.XLOOKUP(F346,'[5]By Model'!$A:$A,'[5]By Model'!$B:$B),"")</f>
        <v>37</v>
      </c>
      <c r="R346" s="579">
        <f>IFERROR(_xlfn.XLOOKUP(F346,'[4]By Model'!$A:$A,'[4]By Model'!$I:$I),"")</f>
        <v>768.03785949827591</v>
      </c>
      <c r="S346" s="578" t="str">
        <f>IFERROR(_xlfn.XLOOKUP(F346,[6]Sum!$G:$G,[6]Sum!$AM:$AM),"")</f>
        <v/>
      </c>
      <c r="T346" s="576">
        <v>599</v>
      </c>
      <c r="U346" s="576">
        <f t="shared" si="158"/>
        <v>50316</v>
      </c>
      <c r="V346" s="580">
        <v>12</v>
      </c>
      <c r="W346" s="576">
        <f t="shared" si="159"/>
        <v>3594</v>
      </c>
      <c r="X346" s="576">
        <f t="shared" si="160"/>
        <v>46722</v>
      </c>
      <c r="Y346" s="581">
        <f t="shared" si="161"/>
        <v>-7.1428571428571397E-2</v>
      </c>
      <c r="Z346" s="577">
        <f t="shared" si="174"/>
        <v>0.77461201874546326</v>
      </c>
      <c r="AA346" s="577">
        <v>0.21846153846153843</v>
      </c>
      <c r="AB346" s="582"/>
      <c r="AC346" s="576">
        <f t="shared" si="194"/>
        <v>599</v>
      </c>
      <c r="AD346" s="576">
        <f t="shared" si="195"/>
        <v>46722</v>
      </c>
      <c r="AE346" s="580">
        <v>149</v>
      </c>
      <c r="AF346" s="583">
        <v>6</v>
      </c>
      <c r="AG346" s="576">
        <f t="shared" si="196"/>
        <v>894</v>
      </c>
      <c r="AH346" s="709">
        <f t="shared" si="197"/>
        <v>47616</v>
      </c>
      <c r="AI346" s="709">
        <f t="shared" si="162"/>
        <v>894</v>
      </c>
      <c r="AJ346" s="577">
        <f t="shared" si="163"/>
        <v>1.9134454860665211E-2</v>
      </c>
      <c r="AK346" s="582">
        <f t="shared" si="175"/>
        <v>0.78417924617579582</v>
      </c>
      <c r="AL346" s="582">
        <f t="shared" si="146"/>
        <v>0</v>
      </c>
      <c r="AM346" s="580" t="e">
        <f>VLOOKUP(F346,[7]PRM!E:R,14,FALSE)</f>
        <v>#N/A</v>
      </c>
      <c r="AN346" s="576" t="e">
        <f>T346-#REF!</f>
        <v>#REF!</v>
      </c>
      <c r="AO346" s="580"/>
    </row>
    <row r="347" spans="2:41" s="436" customFormat="1" ht="14" hidden="1">
      <c r="B347" s="801">
        <v>2605</v>
      </c>
      <c r="C347" s="1393" t="s">
        <v>307</v>
      </c>
      <c r="D347" s="1393"/>
      <c r="E347" s="1393"/>
      <c r="F347" s="1393" t="s">
        <v>12</v>
      </c>
      <c r="G347" s="566"/>
      <c r="H347" s="566"/>
      <c r="I347" s="566"/>
      <c r="J347" s="566">
        <v>7</v>
      </c>
      <c r="K347" s="566" t="s">
        <v>288</v>
      </c>
      <c r="L347" s="566">
        <v>6</v>
      </c>
      <c r="M347" s="576">
        <v>499</v>
      </c>
      <c r="N347" s="576">
        <f t="shared" si="179"/>
        <v>41916</v>
      </c>
      <c r="O347" s="566">
        <v>6</v>
      </c>
      <c r="P347" s="577">
        <f>IFERROR(_xlfn.XLOOKUP(F347,'[4]By Model'!$A:$A,'[4]By Model'!$K:$K),"")</f>
        <v>0.81032630445974896</v>
      </c>
      <c r="Q347" s="578">
        <f>IFERROR(_xlfn.XLOOKUP(F347,'[5]By Model'!$A:$A,'[5]By Model'!$B:$B),"")</f>
        <v>37</v>
      </c>
      <c r="R347" s="579">
        <f>IFERROR(_xlfn.XLOOKUP(F347,'[4]By Model'!$A:$A,'[4]By Model'!$I:$I),"")</f>
        <v>768.03785949827591</v>
      </c>
      <c r="S347" s="578" t="str">
        <f>IFERROR(_xlfn.XLOOKUP(F347,[6]Sum!$G:$G,[6]Sum!$AM:$AM),"")</f>
        <v/>
      </c>
      <c r="T347" s="576">
        <v>499</v>
      </c>
      <c r="U347" s="576">
        <f t="shared" si="158"/>
        <v>41916</v>
      </c>
      <c r="V347" s="580">
        <v>12</v>
      </c>
      <c r="W347" s="576">
        <f t="shared" si="159"/>
        <v>2994</v>
      </c>
      <c r="X347" s="576">
        <f t="shared" si="160"/>
        <v>38922</v>
      </c>
      <c r="Y347" s="581">
        <f t="shared" si="161"/>
        <v>-7.1428571428571397E-2</v>
      </c>
      <c r="Z347" s="577">
        <f t="shared" si="174"/>
        <v>0.77461201874546326</v>
      </c>
      <c r="AA347" s="577">
        <v>0.21846153846153843</v>
      </c>
      <c r="AB347" s="582"/>
      <c r="AC347" s="576">
        <f t="shared" si="194"/>
        <v>499</v>
      </c>
      <c r="AD347" s="576">
        <f t="shared" si="195"/>
        <v>38922</v>
      </c>
      <c r="AE347" s="580">
        <v>149</v>
      </c>
      <c r="AF347" s="583">
        <v>6</v>
      </c>
      <c r="AG347" s="576">
        <f t="shared" si="196"/>
        <v>894</v>
      </c>
      <c r="AH347" s="709">
        <f t="shared" si="197"/>
        <v>39816</v>
      </c>
      <c r="AI347" s="709">
        <f t="shared" si="162"/>
        <v>894</v>
      </c>
      <c r="AJ347" s="577">
        <f t="shared" si="163"/>
        <v>2.296901495298289E-2</v>
      </c>
      <c r="AK347" s="582">
        <f t="shared" si="175"/>
        <v>0.78609652622195469</v>
      </c>
      <c r="AL347" s="582">
        <f t="shared" si="146"/>
        <v>0</v>
      </c>
      <c r="AM347" s="580" t="e">
        <f>VLOOKUP(F347,[7]PRM!E:R,14,FALSE)</f>
        <v>#N/A</v>
      </c>
      <c r="AN347" s="576" t="e">
        <f>T347-#REF!</f>
        <v>#REF!</v>
      </c>
      <c r="AO347" s="580"/>
    </row>
    <row r="348" spans="2:41" s="436" customFormat="1" ht="14" hidden="1">
      <c r="B348" s="799">
        <v>2605</v>
      </c>
      <c r="C348" s="1391" t="str">
        <f t="shared" ref="C348" si="198">C349</f>
        <v>Water Care</v>
      </c>
      <c r="D348" s="1391"/>
      <c r="E348" s="1391"/>
      <c r="F348" s="1391" t="s">
        <v>10</v>
      </c>
      <c r="G348" s="566"/>
      <c r="H348" s="566"/>
      <c r="I348" s="566"/>
      <c r="J348" s="566">
        <v>3</v>
      </c>
      <c r="K348" s="566" t="s">
        <v>286</v>
      </c>
      <c r="L348" s="566">
        <f t="shared" ref="L348:O348" si="199">L349</f>
        <v>6</v>
      </c>
      <c r="M348" s="576">
        <v>1399</v>
      </c>
      <c r="N348" s="576">
        <f t="shared" si="179"/>
        <v>50364</v>
      </c>
      <c r="O348" s="566">
        <f t="shared" si="199"/>
        <v>6</v>
      </c>
      <c r="P348" s="577">
        <f>IFERROR(_xlfn.XLOOKUP(F348,'[4]By Model'!$A:$A,'[4]By Model'!$K:$K),"")</f>
        <v>0.8998291570076421</v>
      </c>
      <c r="Q348" s="578">
        <f>IFERROR(_xlfn.XLOOKUP(F348,'[5]By Model'!$A:$A,'[5]By Model'!$B:$B),"")</f>
        <v>61</v>
      </c>
      <c r="R348" s="579">
        <f>IFERROR(_xlfn.XLOOKUP(F348,'[4]By Model'!$A:$A,'[4]By Model'!$I:$I),"")</f>
        <v>761.14660952272732</v>
      </c>
      <c r="S348" s="578" t="str">
        <f>IFERROR(_xlfn.XLOOKUP(F348,[6]Sum!$G:$G,[6]Sum!$AM:$AM),"")</f>
        <v/>
      </c>
      <c r="T348" s="576">
        <v>1099</v>
      </c>
      <c r="U348" s="576">
        <f t="shared" si="158"/>
        <v>39564</v>
      </c>
      <c r="V348" s="580">
        <v>0</v>
      </c>
      <c r="W348" s="576">
        <f t="shared" si="159"/>
        <v>0</v>
      </c>
      <c r="X348" s="576">
        <f t="shared" si="160"/>
        <v>39564</v>
      </c>
      <c r="Y348" s="581">
        <f t="shared" si="161"/>
        <v>-0.21443888491779839</v>
      </c>
      <c r="Z348" s="577">
        <f t="shared" si="174"/>
        <v>0.79260971454874296</v>
      </c>
      <c r="AA348" s="577">
        <f t="shared" ref="AA348" si="200">AA349</f>
        <v>0.24025603688348773</v>
      </c>
      <c r="AB348" s="582"/>
      <c r="AC348" s="576">
        <v>1099</v>
      </c>
      <c r="AD348" s="576">
        <f t="shared" si="167"/>
        <v>39564</v>
      </c>
      <c r="AE348" s="711">
        <f>AD348/AD350</f>
        <v>0.91697955778055906</v>
      </c>
      <c r="AF348" s="580">
        <v>0</v>
      </c>
      <c r="AG348" s="576">
        <f t="shared" si="168"/>
        <v>0</v>
      </c>
      <c r="AH348" s="709">
        <f t="shared" si="169"/>
        <v>39564</v>
      </c>
      <c r="AI348" s="709">
        <f t="shared" si="162"/>
        <v>0</v>
      </c>
      <c r="AJ348" s="577">
        <f t="shared" si="163"/>
        <v>0</v>
      </c>
      <c r="AK348" s="582">
        <f t="shared" si="175"/>
        <v>0.79260971454874296</v>
      </c>
      <c r="AL348" s="582">
        <f t="shared" si="146"/>
        <v>0</v>
      </c>
      <c r="AM348" s="580"/>
      <c r="AN348" s="576"/>
      <c r="AO348" s="580"/>
    </row>
    <row r="349" spans="2:41" s="436" customFormat="1" ht="14" hidden="1">
      <c r="B349" s="800">
        <v>2605</v>
      </c>
      <c r="C349" s="1392" t="s">
        <v>307</v>
      </c>
      <c r="D349" s="1392"/>
      <c r="E349" s="1392"/>
      <c r="F349" s="1392" t="s">
        <v>10</v>
      </c>
      <c r="G349" s="566"/>
      <c r="H349" s="566"/>
      <c r="I349" s="566"/>
      <c r="J349" s="566">
        <v>3</v>
      </c>
      <c r="K349" s="566" t="s">
        <v>288</v>
      </c>
      <c r="L349" s="566">
        <v>6</v>
      </c>
      <c r="M349" s="576">
        <v>1149</v>
      </c>
      <c r="N349" s="576">
        <f t="shared" si="179"/>
        <v>41364</v>
      </c>
      <c r="O349" s="566">
        <v>6</v>
      </c>
      <c r="P349" s="577">
        <f>IFERROR(_xlfn.XLOOKUP(F349,'[4]By Model'!$A:$A,'[4]By Model'!$K:$K),"")</f>
        <v>0.8998291570076421</v>
      </c>
      <c r="Q349" s="578">
        <f>IFERROR(_xlfn.XLOOKUP(F349,'[5]By Model'!$A:$A,'[5]By Model'!$B:$B),"")</f>
        <v>61</v>
      </c>
      <c r="R349" s="579">
        <f>IFERROR(_xlfn.XLOOKUP(F349,'[4]By Model'!$A:$A,'[4]By Model'!$I:$I),"")</f>
        <v>761.14660952272732</v>
      </c>
      <c r="S349" s="578" t="str">
        <f>IFERROR(_xlfn.XLOOKUP(F349,[6]Sum!$G:$G,[6]Sum!$AM:$AM),"")</f>
        <v/>
      </c>
      <c r="T349" s="576">
        <v>949</v>
      </c>
      <c r="U349" s="576">
        <f t="shared" si="158"/>
        <v>34164</v>
      </c>
      <c r="V349" s="580">
        <v>0</v>
      </c>
      <c r="W349" s="576">
        <f t="shared" si="159"/>
        <v>0</v>
      </c>
      <c r="X349" s="576">
        <f t="shared" si="160"/>
        <v>34164</v>
      </c>
      <c r="Y349" s="581">
        <f t="shared" si="161"/>
        <v>-0.1740644038294169</v>
      </c>
      <c r="Z349" s="577">
        <f t="shared" si="174"/>
        <v>0.8127969550929337</v>
      </c>
      <c r="AA349" s="577">
        <v>0.24025603688348773</v>
      </c>
      <c r="AB349" s="582"/>
      <c r="AC349" s="576">
        <v>949</v>
      </c>
      <c r="AD349" s="576">
        <f t="shared" si="167"/>
        <v>34164</v>
      </c>
      <c r="AE349" s="711">
        <f>AD349/AD351</f>
        <v>0.90510252742012398</v>
      </c>
      <c r="AF349" s="580">
        <v>0</v>
      </c>
      <c r="AG349" s="576">
        <f t="shared" si="168"/>
        <v>0</v>
      </c>
      <c r="AH349" s="709">
        <f t="shared" si="169"/>
        <v>34164</v>
      </c>
      <c r="AI349" s="709">
        <f t="shared" si="162"/>
        <v>0</v>
      </c>
      <c r="AJ349" s="577">
        <f t="shared" si="163"/>
        <v>0</v>
      </c>
      <c r="AK349" s="582">
        <f t="shared" si="175"/>
        <v>0.8127969550929337</v>
      </c>
      <c r="AL349" s="582">
        <f t="shared" si="146"/>
        <v>0</v>
      </c>
      <c r="AM349" s="580" t="e">
        <f>VLOOKUP(F349,[7]PRM!E:R,14,FALSE)</f>
        <v>#N/A</v>
      </c>
      <c r="AN349" s="576" t="e">
        <f>T349-#REF!</f>
        <v>#REF!</v>
      </c>
      <c r="AO349" s="580"/>
    </row>
    <row r="350" spans="2:41" s="436" customFormat="1" ht="14" hidden="1">
      <c r="B350" s="800">
        <v>2605</v>
      </c>
      <c r="C350" s="1392" t="s">
        <v>307</v>
      </c>
      <c r="D350" s="1392"/>
      <c r="E350" s="1392"/>
      <c r="F350" s="1392" t="s">
        <v>10</v>
      </c>
      <c r="G350" s="566"/>
      <c r="H350" s="566"/>
      <c r="I350" s="566"/>
      <c r="J350" s="566">
        <v>5</v>
      </c>
      <c r="K350" s="566" t="s">
        <v>286</v>
      </c>
      <c r="L350" s="566">
        <v>6</v>
      </c>
      <c r="M350" s="576">
        <v>799</v>
      </c>
      <c r="N350" s="576">
        <f t="shared" si="179"/>
        <v>47940</v>
      </c>
      <c r="O350" s="566">
        <v>6</v>
      </c>
      <c r="P350" s="577">
        <f>IFERROR(_xlfn.XLOOKUP(F350,'[4]By Model'!$A:$A,'[4]By Model'!$K:$K),"")</f>
        <v>0.8998291570076421</v>
      </c>
      <c r="Q350" s="578">
        <f>IFERROR(_xlfn.XLOOKUP(F350,'[5]By Model'!$A:$A,'[5]By Model'!$B:$B),"")</f>
        <v>61</v>
      </c>
      <c r="R350" s="579">
        <f>IFERROR(_xlfn.XLOOKUP(F350,'[4]By Model'!$A:$A,'[4]By Model'!$I:$I),"")</f>
        <v>761.14660952272732</v>
      </c>
      <c r="S350" s="578" t="str">
        <f>IFERROR(_xlfn.XLOOKUP(F350,[6]Sum!$G:$G,[6]Sum!$AM:$AM),"")</f>
        <v/>
      </c>
      <c r="T350" s="576">
        <v>799</v>
      </c>
      <c r="U350" s="576">
        <f t="shared" si="158"/>
        <v>47940</v>
      </c>
      <c r="V350" s="580">
        <v>12</v>
      </c>
      <c r="W350" s="576">
        <f t="shared" si="159"/>
        <v>4794</v>
      </c>
      <c r="X350" s="576">
        <f t="shared" si="160"/>
        <v>43146</v>
      </c>
      <c r="Y350" s="581">
        <f t="shared" si="161"/>
        <v>-9.9999999999999978E-2</v>
      </c>
      <c r="Z350" s="577">
        <f t="shared" si="174"/>
        <v>0.84982915700764217</v>
      </c>
      <c r="AA350" s="577">
        <v>0.24025603688348773</v>
      </c>
      <c r="AB350" s="582"/>
      <c r="AC350" s="576">
        <f>T350</f>
        <v>799</v>
      </c>
      <c r="AD350" s="576">
        <f>(T350*((J350*12)-AF350))</f>
        <v>43146</v>
      </c>
      <c r="AE350" s="580">
        <v>149</v>
      </c>
      <c r="AF350" s="583">
        <v>6</v>
      </c>
      <c r="AG350" s="576">
        <f>AE350*AF350</f>
        <v>894</v>
      </c>
      <c r="AH350" s="709">
        <f>AD350+AG350</f>
        <v>44040</v>
      </c>
      <c r="AI350" s="709">
        <f t="shared" si="162"/>
        <v>894</v>
      </c>
      <c r="AJ350" s="577">
        <f t="shared" si="163"/>
        <v>2.0720344875538869E-2</v>
      </c>
      <c r="AK350" s="582">
        <f t="shared" si="175"/>
        <v>0.8601893294454116</v>
      </c>
      <c r="AL350" s="582">
        <f t="shared" si="146"/>
        <v>0</v>
      </c>
      <c r="AM350" s="580" t="e">
        <f>VLOOKUP(F350,[7]PRM!E:R,14,FALSE)</f>
        <v>#N/A</v>
      </c>
      <c r="AN350" s="576" t="e">
        <f>T350-#REF!</f>
        <v>#REF!</v>
      </c>
      <c r="AO350" s="580"/>
    </row>
    <row r="351" spans="2:41" s="436" customFormat="1" ht="14" hidden="1">
      <c r="B351" s="800">
        <v>2605</v>
      </c>
      <c r="C351" s="1392" t="s">
        <v>307</v>
      </c>
      <c r="D351" s="1392"/>
      <c r="E351" s="1392"/>
      <c r="F351" s="1392" t="s">
        <v>10</v>
      </c>
      <c r="G351" s="566"/>
      <c r="H351" s="566"/>
      <c r="I351" s="566"/>
      <c r="J351" s="566">
        <v>5</v>
      </c>
      <c r="K351" s="566" t="s">
        <v>288</v>
      </c>
      <c r="L351" s="566">
        <v>6</v>
      </c>
      <c r="M351" s="576">
        <v>699</v>
      </c>
      <c r="N351" s="576">
        <f t="shared" si="179"/>
        <v>41940</v>
      </c>
      <c r="O351" s="566">
        <v>6</v>
      </c>
      <c r="P351" s="577">
        <f>IFERROR(_xlfn.XLOOKUP(F351,'[4]By Model'!$A:$A,'[4]By Model'!$K:$K),"")</f>
        <v>0.8998291570076421</v>
      </c>
      <c r="Q351" s="578">
        <f>IFERROR(_xlfn.XLOOKUP(F351,'[5]By Model'!$A:$A,'[5]By Model'!$B:$B),"")</f>
        <v>61</v>
      </c>
      <c r="R351" s="579">
        <f>IFERROR(_xlfn.XLOOKUP(F351,'[4]By Model'!$A:$A,'[4]By Model'!$I:$I),"")</f>
        <v>761.14660952272732</v>
      </c>
      <c r="S351" s="578" t="str">
        <f>IFERROR(_xlfn.XLOOKUP(F351,[6]Sum!$G:$G,[6]Sum!$AM:$AM),"")</f>
        <v/>
      </c>
      <c r="T351" s="576">
        <v>699</v>
      </c>
      <c r="U351" s="576">
        <f t="shared" si="158"/>
        <v>41940</v>
      </c>
      <c r="V351" s="580">
        <v>12</v>
      </c>
      <c r="W351" s="576">
        <f t="shared" si="159"/>
        <v>4194</v>
      </c>
      <c r="X351" s="576">
        <f t="shared" si="160"/>
        <v>37746</v>
      </c>
      <c r="Y351" s="581">
        <f t="shared" si="161"/>
        <v>-9.9999999999999978E-2</v>
      </c>
      <c r="Z351" s="577">
        <f t="shared" si="174"/>
        <v>0.84982915700764217</v>
      </c>
      <c r="AA351" s="577">
        <v>0.24025603688348773</v>
      </c>
      <c r="AB351" s="582"/>
      <c r="AC351" s="576">
        <f t="shared" ref="AC351:AC353" si="201">T351</f>
        <v>699</v>
      </c>
      <c r="AD351" s="576">
        <f t="shared" ref="AD351:AD353" si="202">(T351*((J351*12)-AF351))</f>
        <v>37746</v>
      </c>
      <c r="AE351" s="580">
        <v>149</v>
      </c>
      <c r="AF351" s="583">
        <v>6</v>
      </c>
      <c r="AG351" s="576">
        <f t="shared" ref="AG351:AG353" si="203">AE351*AF351</f>
        <v>894</v>
      </c>
      <c r="AH351" s="709">
        <f t="shared" ref="AH351:AH353" si="204">AD351+AG351</f>
        <v>38640</v>
      </c>
      <c r="AI351" s="709">
        <f t="shared" si="162"/>
        <v>894</v>
      </c>
      <c r="AJ351" s="577">
        <f t="shared" si="163"/>
        <v>2.3684628834843426E-2</v>
      </c>
      <c r="AK351" s="582">
        <f t="shared" si="175"/>
        <v>0.86167147142506384</v>
      </c>
      <c r="AL351" s="582">
        <f t="shared" si="146"/>
        <v>0</v>
      </c>
      <c r="AM351" s="580" t="e">
        <f>VLOOKUP(F351,[7]PRM!E:R,14,FALSE)</f>
        <v>#N/A</v>
      </c>
      <c r="AN351" s="576" t="e">
        <f>T351-#REF!</f>
        <v>#REF!</v>
      </c>
      <c r="AO351" s="580"/>
    </row>
    <row r="352" spans="2:41" s="436" customFormat="1" ht="14" hidden="1">
      <c r="B352" s="800">
        <v>2605</v>
      </c>
      <c r="C352" s="1392" t="s">
        <v>307</v>
      </c>
      <c r="D352" s="1392"/>
      <c r="E352" s="1392"/>
      <c r="F352" s="1392" t="s">
        <v>10</v>
      </c>
      <c r="G352" s="566"/>
      <c r="H352" s="566"/>
      <c r="I352" s="566"/>
      <c r="J352" s="566">
        <v>7</v>
      </c>
      <c r="K352" s="566" t="s">
        <v>286</v>
      </c>
      <c r="L352" s="566">
        <v>6</v>
      </c>
      <c r="M352" s="576">
        <v>599</v>
      </c>
      <c r="N352" s="576">
        <f t="shared" si="179"/>
        <v>50316</v>
      </c>
      <c r="O352" s="566">
        <v>6</v>
      </c>
      <c r="P352" s="577">
        <f>IFERROR(_xlfn.XLOOKUP(F352,'[4]By Model'!$A:$A,'[4]By Model'!$K:$K),"")</f>
        <v>0.8998291570076421</v>
      </c>
      <c r="Q352" s="578">
        <f>IFERROR(_xlfn.XLOOKUP(F352,'[5]By Model'!$A:$A,'[5]By Model'!$B:$B),"")</f>
        <v>61</v>
      </c>
      <c r="R352" s="579">
        <f>IFERROR(_xlfn.XLOOKUP(F352,'[4]By Model'!$A:$A,'[4]By Model'!$I:$I),"")</f>
        <v>761.14660952272732</v>
      </c>
      <c r="S352" s="578" t="str">
        <f>IFERROR(_xlfn.XLOOKUP(F352,[6]Sum!$G:$G,[6]Sum!$AM:$AM),"")</f>
        <v/>
      </c>
      <c r="T352" s="576">
        <v>599</v>
      </c>
      <c r="U352" s="576">
        <f t="shared" si="158"/>
        <v>50316</v>
      </c>
      <c r="V352" s="580">
        <v>12</v>
      </c>
      <c r="W352" s="576">
        <f t="shared" si="159"/>
        <v>3594</v>
      </c>
      <c r="X352" s="576">
        <f t="shared" si="160"/>
        <v>46722</v>
      </c>
      <c r="Y352" s="581">
        <f t="shared" si="161"/>
        <v>-7.1428571428571397E-2</v>
      </c>
      <c r="Z352" s="577">
        <f t="shared" si="174"/>
        <v>0.8641148712933564</v>
      </c>
      <c r="AA352" s="577">
        <v>0.22316201978947059</v>
      </c>
      <c r="AB352" s="582"/>
      <c r="AC352" s="576">
        <f t="shared" si="201"/>
        <v>599</v>
      </c>
      <c r="AD352" s="576">
        <f t="shared" si="202"/>
        <v>46722</v>
      </c>
      <c r="AE352" s="580">
        <v>149</v>
      </c>
      <c r="AF352" s="583">
        <v>6</v>
      </c>
      <c r="AG352" s="576">
        <f t="shared" si="203"/>
        <v>894</v>
      </c>
      <c r="AH352" s="709" t="s">
        <v>763</v>
      </c>
      <c r="AI352" s="709" t="e">
        <f t="shared" si="162"/>
        <v>#VALUE!</v>
      </c>
      <c r="AJ352" s="577" t="e">
        <f t="shared" si="163"/>
        <v>#VALUE!</v>
      </c>
      <c r="AK352" s="582" t="str">
        <f t="shared" si="175"/>
        <v/>
      </c>
      <c r="AL352" s="582">
        <f t="shared" si="146"/>
        <v>0</v>
      </c>
      <c r="AM352" s="580" t="e">
        <f>VLOOKUP(F352,[7]PRM!E:R,14,FALSE)</f>
        <v>#N/A</v>
      </c>
      <c r="AN352" s="576" t="e">
        <f>T352-#REF!</f>
        <v>#REF!</v>
      </c>
      <c r="AO352" s="580"/>
    </row>
    <row r="353" spans="1:69" s="436" customFormat="1" ht="14" hidden="1">
      <c r="B353" s="801">
        <v>2605</v>
      </c>
      <c r="C353" s="1393" t="s">
        <v>307</v>
      </c>
      <c r="D353" s="1393"/>
      <c r="E353" s="1393"/>
      <c r="F353" s="1393" t="s">
        <v>10</v>
      </c>
      <c r="G353" s="566"/>
      <c r="H353" s="566"/>
      <c r="I353" s="566"/>
      <c r="J353" s="566">
        <v>7</v>
      </c>
      <c r="K353" s="566" t="s">
        <v>288</v>
      </c>
      <c r="L353" s="566">
        <v>6</v>
      </c>
      <c r="M353" s="576">
        <v>499</v>
      </c>
      <c r="N353" s="576">
        <f t="shared" si="179"/>
        <v>41916</v>
      </c>
      <c r="O353" s="566">
        <v>6</v>
      </c>
      <c r="P353" s="577">
        <f>IFERROR(_xlfn.XLOOKUP(F353,'[4]By Model'!$A:$A,'[4]By Model'!$K:$K),"")</f>
        <v>0.8998291570076421</v>
      </c>
      <c r="Q353" s="578">
        <f>IFERROR(_xlfn.XLOOKUP(F353,'[5]By Model'!$A:$A,'[5]By Model'!$B:$B),"")</f>
        <v>61</v>
      </c>
      <c r="R353" s="579">
        <f>IFERROR(_xlfn.XLOOKUP(F353,'[4]By Model'!$A:$A,'[4]By Model'!$I:$I),"")</f>
        <v>761.14660952272732</v>
      </c>
      <c r="S353" s="578" t="str">
        <f>IFERROR(_xlfn.XLOOKUP(F353,[6]Sum!$G:$G,[6]Sum!$AM:$AM),"")</f>
        <v/>
      </c>
      <c r="T353" s="576">
        <v>499</v>
      </c>
      <c r="U353" s="576">
        <f t="shared" si="158"/>
        <v>41916</v>
      </c>
      <c r="V353" s="580">
        <v>12</v>
      </c>
      <c r="W353" s="576">
        <f t="shared" si="159"/>
        <v>2994</v>
      </c>
      <c r="X353" s="576">
        <f t="shared" si="160"/>
        <v>38922</v>
      </c>
      <c r="Y353" s="581">
        <f t="shared" si="161"/>
        <v>-7.1428571428571397E-2</v>
      </c>
      <c r="Z353" s="577">
        <f t="shared" si="174"/>
        <v>0.8641148712933564</v>
      </c>
      <c r="AA353" s="577">
        <v>0.22316201978947059</v>
      </c>
      <c r="AB353" s="582"/>
      <c r="AC353" s="576">
        <f t="shared" si="201"/>
        <v>499</v>
      </c>
      <c r="AD353" s="576">
        <f t="shared" si="202"/>
        <v>38922</v>
      </c>
      <c r="AE353" s="580">
        <v>149</v>
      </c>
      <c r="AF353" s="583">
        <v>6</v>
      </c>
      <c r="AG353" s="576">
        <f t="shared" si="203"/>
        <v>894</v>
      </c>
      <c r="AH353" s="709">
        <f t="shared" si="204"/>
        <v>39816</v>
      </c>
      <c r="AI353" s="709">
        <f t="shared" si="162"/>
        <v>894</v>
      </c>
      <c r="AJ353" s="577">
        <f t="shared" si="163"/>
        <v>2.296901495298289E-2</v>
      </c>
      <c r="AK353" s="582">
        <f t="shared" si="175"/>
        <v>0.87559937876984784</v>
      </c>
      <c r="AL353" s="582">
        <f t="shared" si="146"/>
        <v>0</v>
      </c>
      <c r="AM353" s="580" t="e">
        <f>VLOOKUP(F353,[7]PRM!E:R,14,FALSE)</f>
        <v>#N/A</v>
      </c>
      <c r="AN353" s="576" t="e">
        <f>T353-#REF!</f>
        <v>#REF!</v>
      </c>
      <c r="AO353" s="580"/>
    </row>
    <row r="354" spans="1:69" s="436" customFormat="1" ht="14" hidden="1">
      <c r="B354" s="799">
        <v>2605</v>
      </c>
      <c r="C354" s="1391" t="str">
        <f t="shared" ref="C354:AA354" si="205">C355</f>
        <v>Water Care</v>
      </c>
      <c r="D354" s="1391"/>
      <c r="E354" s="1391"/>
      <c r="F354" s="1391" t="s">
        <v>388</v>
      </c>
      <c r="G354" s="566"/>
      <c r="H354" s="566"/>
      <c r="I354" s="566"/>
      <c r="J354" s="566">
        <v>3</v>
      </c>
      <c r="K354" s="566" t="s">
        <v>286</v>
      </c>
      <c r="L354" s="566">
        <f t="shared" si="205"/>
        <v>3</v>
      </c>
      <c r="M354" s="576">
        <v>1749</v>
      </c>
      <c r="N354" s="576">
        <f t="shared" si="179"/>
        <v>62964</v>
      </c>
      <c r="O354" s="566">
        <f t="shared" si="205"/>
        <v>3</v>
      </c>
      <c r="P354" s="577">
        <f>IFERROR(_xlfn.XLOOKUP($F$354,'[4]By Model'!$A:$A,'[4]By Model'!$K:$K),"")</f>
        <v>0.60137309334030953</v>
      </c>
      <c r="Q354" s="578">
        <f>IFERROR(_xlfn.XLOOKUP($F$354,'[5]By Model'!$A:$A,'[5]By Model'!$B:$B),"")</f>
        <v>20</v>
      </c>
      <c r="R354" s="579">
        <f>IFERROR(_xlfn.XLOOKUP(F354,'[4]By Model'!$A:$A,'[4]By Model'!$I:$I),"")</f>
        <v>879.72889387272733</v>
      </c>
      <c r="S354" s="578">
        <f>IFERROR(_xlfn.XLOOKUP(F354,[6]Sum!$G:$G,[6]Sum!$AM:$AM),"")</f>
        <v>51</v>
      </c>
      <c r="T354" s="576">
        <v>1399</v>
      </c>
      <c r="U354" s="576">
        <f t="shared" si="158"/>
        <v>50364</v>
      </c>
      <c r="V354" s="580">
        <v>0</v>
      </c>
      <c r="W354" s="576">
        <f t="shared" si="159"/>
        <v>0</v>
      </c>
      <c r="X354" s="576">
        <f t="shared" si="160"/>
        <v>50364</v>
      </c>
      <c r="Y354" s="581">
        <f t="shared" si="161"/>
        <v>-0.20011435105774733</v>
      </c>
      <c r="Z354" s="577">
        <f t="shared" si="174"/>
        <v>0.50131591781143592</v>
      </c>
      <c r="AA354" s="577">
        <f t="shared" si="205"/>
        <v>0.15555555555555559</v>
      </c>
      <c r="AB354" s="582"/>
      <c r="AC354" s="576">
        <v>1399</v>
      </c>
      <c r="AD354" s="576">
        <f t="shared" si="167"/>
        <v>50364</v>
      </c>
      <c r="AE354" s="711">
        <f>AD354/AD356</f>
        <v>0.76053275346561566</v>
      </c>
      <c r="AF354" s="580">
        <v>0</v>
      </c>
      <c r="AG354" s="576">
        <f t="shared" si="168"/>
        <v>0</v>
      </c>
      <c r="AH354" s="709">
        <f t="shared" si="169"/>
        <v>50364</v>
      </c>
      <c r="AI354" s="709">
        <f t="shared" si="162"/>
        <v>0</v>
      </c>
      <c r="AJ354" s="577">
        <f t="shared" si="163"/>
        <v>0</v>
      </c>
      <c r="AK354" s="582">
        <f t="shared" si="175"/>
        <v>0.50131591781143592</v>
      </c>
      <c r="AL354" s="582">
        <f t="shared" si="146"/>
        <v>0</v>
      </c>
      <c r="AM354" s="580"/>
      <c r="AN354" s="576"/>
      <c r="AO354" s="580"/>
    </row>
    <row r="355" spans="1:69" s="436" customFormat="1" ht="14" hidden="1">
      <c r="B355" s="800">
        <v>2605</v>
      </c>
      <c r="C355" s="1392" t="s">
        <v>307</v>
      </c>
      <c r="D355" s="1392"/>
      <c r="E355" s="1392"/>
      <c r="F355" s="1392"/>
      <c r="G355" s="566"/>
      <c r="H355" s="566"/>
      <c r="I355" s="566"/>
      <c r="J355" s="566">
        <v>5</v>
      </c>
      <c r="K355" s="566" t="s">
        <v>286</v>
      </c>
      <c r="L355" s="566">
        <v>3</v>
      </c>
      <c r="M355" s="576">
        <v>1049</v>
      </c>
      <c r="N355" s="576">
        <f t="shared" si="179"/>
        <v>62940</v>
      </c>
      <c r="O355" s="566">
        <v>3</v>
      </c>
      <c r="P355" s="577">
        <f>IFERROR(_xlfn.XLOOKUP($F$354,'[4]By Model'!$A:$A,'[4]By Model'!$K:$K),"")</f>
        <v>0.60137309334030953</v>
      </c>
      <c r="Q355" s="578">
        <f>IFERROR(_xlfn.XLOOKUP(F355,'[5]By Model'!$A:$A,'[5]By Model'!$B:$B),"")</f>
        <v>0</v>
      </c>
      <c r="R355" s="579">
        <f>IFERROR(_xlfn.XLOOKUP(F355,'[4]By Model'!$A:$A,'[4]By Model'!$I:$I),"")</f>
        <v>0</v>
      </c>
      <c r="S355" s="578">
        <f>IFERROR(_xlfn.XLOOKUP(F355,[6]Sum!$G:$G,[6]Sum!$AM:$AM),"")</f>
        <v>0</v>
      </c>
      <c r="T355" s="576">
        <v>1049</v>
      </c>
      <c r="U355" s="576">
        <f t="shared" si="158"/>
        <v>62940</v>
      </c>
      <c r="V355" s="580">
        <v>18</v>
      </c>
      <c r="W355" s="576">
        <f t="shared" si="159"/>
        <v>9441</v>
      </c>
      <c r="X355" s="576">
        <f t="shared" si="160"/>
        <v>53499</v>
      </c>
      <c r="Y355" s="581">
        <f t="shared" si="161"/>
        <v>-0.15000000000000002</v>
      </c>
      <c r="Z355" s="577">
        <f t="shared" si="174"/>
        <v>0.52637309334030946</v>
      </c>
      <c r="AA355" s="577">
        <v>0.15555555555555559</v>
      </c>
      <c r="AB355" s="582"/>
      <c r="AC355" s="576">
        <f>T355</f>
        <v>1049</v>
      </c>
      <c r="AD355" s="576">
        <f>(T355*((J355*12)-AF355))</f>
        <v>56646</v>
      </c>
      <c r="AE355" s="580">
        <v>149</v>
      </c>
      <c r="AF355" s="583">
        <v>6</v>
      </c>
      <c r="AG355" s="576">
        <f>AE355*AF355</f>
        <v>894</v>
      </c>
      <c r="AH355" s="709">
        <f>AD355+AG355</f>
        <v>57540</v>
      </c>
      <c r="AI355" s="709">
        <f t="shared" si="162"/>
        <v>4041</v>
      </c>
      <c r="AJ355" s="577">
        <f t="shared" si="163"/>
        <v>7.5534122133123979E-2</v>
      </c>
      <c r="AK355" s="582">
        <f t="shared" si="175"/>
        <v>0.56414015440687149</v>
      </c>
      <c r="AL355" s="582">
        <f t="shared" si="146"/>
        <v>0</v>
      </c>
      <c r="AM355" s="580" t="e">
        <f>VLOOKUP(F355,[7]PRM!E:R,14,FALSE)</f>
        <v>#N/A</v>
      </c>
      <c r="AN355" s="576" t="e">
        <f>T355-#REF!</f>
        <v>#REF!</v>
      </c>
      <c r="AO355" s="580"/>
    </row>
    <row r="356" spans="1:69" s="436" customFormat="1" ht="14" hidden="1">
      <c r="B356" s="801">
        <v>2605</v>
      </c>
      <c r="C356" s="1393" t="s">
        <v>307</v>
      </c>
      <c r="D356" s="1393"/>
      <c r="E356" s="1393"/>
      <c r="F356" s="1393"/>
      <c r="G356" s="566"/>
      <c r="H356" s="566"/>
      <c r="I356" s="566"/>
      <c r="J356" s="566">
        <v>7</v>
      </c>
      <c r="K356" s="566" t="s">
        <v>286</v>
      </c>
      <c r="L356" s="566">
        <v>3</v>
      </c>
      <c r="M356" s="576">
        <v>849</v>
      </c>
      <c r="N356" s="576">
        <f t="shared" si="179"/>
        <v>71316</v>
      </c>
      <c r="O356" s="566">
        <v>3</v>
      </c>
      <c r="P356" s="577">
        <f>IFERROR(_xlfn.XLOOKUP($F$354,'[4]By Model'!$A:$A,'[4]By Model'!$K:$K),"")</f>
        <v>0.60137309334030953</v>
      </c>
      <c r="Q356" s="578">
        <f>IFERROR(_xlfn.XLOOKUP(F356,'[5]By Model'!$A:$A,'[5]By Model'!$B:$B),"")</f>
        <v>0</v>
      </c>
      <c r="R356" s="579">
        <f>IFERROR(_xlfn.XLOOKUP(F356,'[4]By Model'!$A:$A,'[4]By Model'!$I:$I),"")</f>
        <v>0</v>
      </c>
      <c r="S356" s="578" t="str">
        <f>IFERROR(_xlfn.XLOOKUP(F356,[6]Sum!$G:$G,[6]Sum!$AM:$AM),"")</f>
        <v/>
      </c>
      <c r="T356" s="576">
        <v>849</v>
      </c>
      <c r="U356" s="576">
        <f t="shared" si="158"/>
        <v>71316</v>
      </c>
      <c r="V356" s="580">
        <v>18</v>
      </c>
      <c r="W356" s="576">
        <f t="shared" si="159"/>
        <v>7641</v>
      </c>
      <c r="X356" s="576">
        <f t="shared" si="160"/>
        <v>63675</v>
      </c>
      <c r="Y356" s="581">
        <f t="shared" si="161"/>
        <v>-0.1071428571428571</v>
      </c>
      <c r="Z356" s="577">
        <f t="shared" si="174"/>
        <v>0.54780166476888104</v>
      </c>
      <c r="AA356" s="577">
        <v>0.13846153846153844</v>
      </c>
      <c r="AB356" s="582"/>
      <c r="AC356" s="576">
        <f>T356</f>
        <v>849</v>
      </c>
      <c r="AD356" s="576">
        <f>(T356*((J356*12)-AF356))</f>
        <v>66222</v>
      </c>
      <c r="AE356" s="580">
        <v>149</v>
      </c>
      <c r="AF356" s="583">
        <v>6</v>
      </c>
      <c r="AG356" s="576">
        <f>AE356*AF356</f>
        <v>894</v>
      </c>
      <c r="AH356" s="709">
        <f>AD356+AG356</f>
        <v>67116</v>
      </c>
      <c r="AI356" s="709">
        <f t="shared" si="162"/>
        <v>3441</v>
      </c>
      <c r="AJ356" s="577">
        <f t="shared" si="163"/>
        <v>5.404004711425206E-2</v>
      </c>
      <c r="AK356" s="582">
        <f t="shared" si="175"/>
        <v>0.57482168832600711</v>
      </c>
      <c r="AL356" s="582">
        <f t="shared" si="146"/>
        <v>0</v>
      </c>
      <c r="AM356" s="580" t="e">
        <f>VLOOKUP(F356,[7]PRM!E:R,14,FALSE)</f>
        <v>#N/A</v>
      </c>
      <c r="AN356" s="576" t="e">
        <f>T356-#REF!</f>
        <v>#REF!</v>
      </c>
      <c r="AO356" s="580"/>
    </row>
    <row r="357" spans="1:69" s="436" customFormat="1" ht="14" hidden="1">
      <c r="A357" s="609"/>
      <c r="B357" s="720">
        <v>2605</v>
      </c>
      <c r="C357" s="720" t="s">
        <v>290</v>
      </c>
      <c r="D357" s="720" t="s">
        <v>323</v>
      </c>
      <c r="E357" s="720"/>
      <c r="F357" s="720" t="s">
        <v>98</v>
      </c>
      <c r="G357" s="720"/>
      <c r="H357" s="720"/>
      <c r="I357" s="720"/>
      <c r="J357" s="720" t="s">
        <v>209</v>
      </c>
      <c r="K357" s="720" t="s">
        <v>215</v>
      </c>
      <c r="L357" s="720" t="s">
        <v>760</v>
      </c>
      <c r="M357" s="721">
        <v>59</v>
      </c>
      <c r="N357" s="722">
        <f t="shared" si="179"/>
        <v>4248</v>
      </c>
      <c r="O357" s="721" t="s">
        <v>760</v>
      </c>
      <c r="P357" s="723">
        <f>IFERROR(_xlfn.XLOOKUP(F357,'[4]By Model'!$A:$A,'[4]By Model'!$K:$K),"")</f>
        <v>0.48009756571384093</v>
      </c>
      <c r="Q357" s="721">
        <f>IFERROR(_xlfn.XLOOKUP(F357,'[5]By Model'!$A:$A,'[5]By Model'!$B:$B),"")</f>
        <v>9</v>
      </c>
      <c r="R357" s="721">
        <f>IFERROR(_xlfn.XLOOKUP(F357,'[5]By Model'!$A:$A,'[5]By Model'!$I:$I),"")</f>
        <v>112.48555555555555</v>
      </c>
      <c r="S357" s="721" t="str">
        <f>IFERROR(_xlfn.XLOOKUP(F357,[6]Sum!$G:$G,[6]Sum!$AM:$AM),"")</f>
        <v/>
      </c>
      <c r="T357" s="721">
        <v>59</v>
      </c>
      <c r="U357" s="722">
        <f>T357*LEFT(J357,1)*12</f>
        <v>4248</v>
      </c>
      <c r="V357" s="721">
        <v>0</v>
      </c>
      <c r="W357" s="722">
        <f t="shared" si="159"/>
        <v>0</v>
      </c>
      <c r="X357" s="722">
        <f>U357-W357</f>
        <v>4248</v>
      </c>
      <c r="Y357" s="724">
        <f t="shared" si="161"/>
        <v>0</v>
      </c>
      <c r="Z357" s="721">
        <f t="shared" si="174"/>
        <v>0.48009756571384093</v>
      </c>
      <c r="AA357" s="721">
        <v>0.13100636039554256</v>
      </c>
      <c r="AB357" s="721"/>
      <c r="AC357" s="721">
        <v>59</v>
      </c>
      <c r="AD357" s="722">
        <f t="shared" si="167"/>
        <v>4248</v>
      </c>
      <c r="AE357" s="720"/>
      <c r="AF357" s="720">
        <v>0</v>
      </c>
      <c r="AG357" s="722">
        <f t="shared" si="168"/>
        <v>0</v>
      </c>
      <c r="AH357" s="725">
        <f t="shared" si="169"/>
        <v>4248</v>
      </c>
      <c r="AI357" s="725">
        <f t="shared" si="162"/>
        <v>0</v>
      </c>
      <c r="AJ357" s="724">
        <f t="shared" si="163"/>
        <v>0</v>
      </c>
      <c r="AK357" s="726">
        <f>IFERROR(Z357+AJ357*0.5,"")</f>
        <v>0.48009756571384093</v>
      </c>
      <c r="AL357" s="720"/>
      <c r="AM357" s="720" t="e">
        <f>VLOOKUP(F357,[7]PRM!E:R,14,FALSE)</f>
        <v>#N/A</v>
      </c>
      <c r="AN357" s="720" t="e">
        <f>T357-#REF!</f>
        <v>#REF!</v>
      </c>
      <c r="AO357" s="720"/>
      <c r="AP357" s="600"/>
      <c r="AQ357" s="600"/>
      <c r="AR357" s="600"/>
      <c r="AS357" s="601"/>
      <c r="AT357" s="601"/>
      <c r="AU357" s="600"/>
      <c r="AV357" s="602"/>
      <c r="AW357" s="603"/>
      <c r="AX357" s="579"/>
      <c r="AY357" s="603"/>
      <c r="AZ357" s="601"/>
      <c r="BA357" s="601"/>
      <c r="BB357" s="604"/>
      <c r="BC357" s="601"/>
      <c r="BD357" s="601"/>
      <c r="BE357" s="602"/>
      <c r="BF357" s="602"/>
      <c r="BG357" s="602"/>
      <c r="BH357" s="604"/>
      <c r="BI357" s="601"/>
      <c r="BJ357" s="601"/>
      <c r="BK357" s="604"/>
      <c r="BL357" s="601"/>
      <c r="BM357" s="605"/>
      <c r="BN357" s="605"/>
      <c r="BO357" s="606"/>
      <c r="BP357" s="607"/>
      <c r="BQ357" s="604"/>
    </row>
    <row r="358" spans="1:69" s="609" customFormat="1" ht="14" hidden="1">
      <c r="B358" s="720">
        <v>2605</v>
      </c>
      <c r="C358" s="720" t="s">
        <v>472</v>
      </c>
      <c r="D358" s="720" t="s">
        <v>323</v>
      </c>
      <c r="E358" s="720"/>
      <c r="F358" s="720" t="s">
        <v>387</v>
      </c>
      <c r="G358" s="720"/>
      <c r="H358" s="720"/>
      <c r="I358" s="720"/>
      <c r="J358" s="720" t="s">
        <v>209</v>
      </c>
      <c r="K358" s="720" t="s">
        <v>288</v>
      </c>
      <c r="L358" s="720">
        <v>12</v>
      </c>
      <c r="M358" s="721">
        <v>1099</v>
      </c>
      <c r="N358" s="722">
        <f t="shared" si="179"/>
        <v>79128</v>
      </c>
      <c r="O358" s="721">
        <v>12</v>
      </c>
      <c r="P358" s="723" t="str">
        <f>IFERROR(_xlfn.XLOOKUP(F358,'[4]By Model'!$A:$A,'[4]By Model'!$K:$K),"")</f>
        <v/>
      </c>
      <c r="Q358" s="721">
        <f>IFERROR(_xlfn.XLOOKUP(F358,'[5]By Model'!$A:$A,'[5]By Model'!$B:$B),"")</f>
        <v>1</v>
      </c>
      <c r="R358" s="721">
        <f>IFERROR(_xlfn.XLOOKUP(F358,'[5]By Model'!$A:$A,'[5]By Model'!$I:$I),"")</f>
        <v>2039.94</v>
      </c>
      <c r="S358" s="721" t="str">
        <f>IFERROR(_xlfn.XLOOKUP(F358,[6]Sum!$G:$G,[6]Sum!$AM:$AM),"")</f>
        <v/>
      </c>
      <c r="T358" s="721">
        <v>1099</v>
      </c>
      <c r="U358" s="722">
        <f t="shared" si="158"/>
        <v>79128</v>
      </c>
      <c r="V358" s="721"/>
      <c r="W358" s="722">
        <f t="shared" si="159"/>
        <v>0</v>
      </c>
      <c r="X358" s="722">
        <f t="shared" si="160"/>
        <v>79128</v>
      </c>
      <c r="Y358" s="724">
        <f t="shared" si="161"/>
        <v>0</v>
      </c>
      <c r="Z358" s="721" t="str">
        <f t="shared" si="174"/>
        <v/>
      </c>
      <c r="AA358" s="721">
        <v>0.30467559165213354</v>
      </c>
      <c r="AB358" s="721"/>
      <c r="AC358" s="721">
        <v>1099</v>
      </c>
      <c r="AD358" s="722">
        <f t="shared" si="167"/>
        <v>79128</v>
      </c>
      <c r="AE358" s="720"/>
      <c r="AF358" s="720"/>
      <c r="AG358" s="722">
        <f t="shared" si="168"/>
        <v>0</v>
      </c>
      <c r="AH358" s="725">
        <f t="shared" si="169"/>
        <v>79128</v>
      </c>
      <c r="AI358" s="725">
        <f t="shared" si="162"/>
        <v>0</v>
      </c>
      <c r="AJ358" s="724">
        <f t="shared" si="163"/>
        <v>0</v>
      </c>
      <c r="AK358" s="726"/>
      <c r="AL358" s="720"/>
      <c r="AM358" s="720" t="e">
        <f>VLOOKUP(F358,[7]PRM!E:R,14,FALSE)</f>
        <v>#N/A</v>
      </c>
      <c r="AN358" s="720" t="e">
        <f>T358-#REF!</f>
        <v>#REF!</v>
      </c>
      <c r="AO358" s="727"/>
    </row>
    <row r="359" spans="1:69" s="609" customFormat="1" ht="14" hidden="1">
      <c r="B359" s="720">
        <v>2605</v>
      </c>
      <c r="C359" s="720" t="s">
        <v>472</v>
      </c>
      <c r="D359" s="720" t="s">
        <v>323</v>
      </c>
      <c r="E359" s="720"/>
      <c r="F359" s="720" t="s">
        <v>387</v>
      </c>
      <c r="G359" s="720"/>
      <c r="H359" s="720"/>
      <c r="I359" s="720"/>
      <c r="J359" s="720" t="s">
        <v>86</v>
      </c>
      <c r="K359" s="720" t="s">
        <v>288</v>
      </c>
      <c r="L359" s="720">
        <v>12</v>
      </c>
      <c r="M359" s="721">
        <v>1299</v>
      </c>
      <c r="N359" s="722">
        <f t="shared" si="179"/>
        <v>77940</v>
      </c>
      <c r="O359" s="721">
        <v>12</v>
      </c>
      <c r="P359" s="723" t="str">
        <f>IFERROR(_xlfn.XLOOKUP(F359,'[4]By Model'!$A:$A,'[4]By Model'!$K:$K),"")</f>
        <v/>
      </c>
      <c r="Q359" s="721">
        <f>IFERROR(_xlfn.XLOOKUP(F359,'[5]By Model'!$A:$A,'[5]By Model'!$B:$B),"")</f>
        <v>1</v>
      </c>
      <c r="R359" s="721">
        <f>IFERROR(_xlfn.XLOOKUP(F359,'[5]By Model'!$A:$A,'[5]By Model'!$I:$I),"")</f>
        <v>2039.94</v>
      </c>
      <c r="S359" s="721" t="str">
        <f>IFERROR(_xlfn.XLOOKUP(F359,[6]Sum!$G:$G,[6]Sum!$AM:$AM),"")</f>
        <v/>
      </c>
      <c r="T359" s="721">
        <v>1299</v>
      </c>
      <c r="U359" s="722">
        <f t="shared" si="158"/>
        <v>77940</v>
      </c>
      <c r="V359" s="721"/>
      <c r="W359" s="722">
        <f t="shared" si="159"/>
        <v>0</v>
      </c>
      <c r="X359" s="722">
        <f t="shared" si="160"/>
        <v>77940</v>
      </c>
      <c r="Y359" s="724">
        <f t="shared" si="161"/>
        <v>0</v>
      </c>
      <c r="Z359" s="721" t="str">
        <f t="shared" si="174"/>
        <v/>
      </c>
      <c r="AA359" s="721">
        <v>0.26709107346686434</v>
      </c>
      <c r="AB359" s="721"/>
      <c r="AC359" s="721">
        <v>1299</v>
      </c>
      <c r="AD359" s="722">
        <f t="shared" si="167"/>
        <v>77940</v>
      </c>
      <c r="AE359" s="720"/>
      <c r="AF359" s="720"/>
      <c r="AG359" s="722">
        <f t="shared" si="168"/>
        <v>0</v>
      </c>
      <c r="AH359" s="725">
        <f t="shared" si="169"/>
        <v>77940</v>
      </c>
      <c r="AI359" s="725">
        <f t="shared" si="162"/>
        <v>0</v>
      </c>
      <c r="AJ359" s="724">
        <f t="shared" si="163"/>
        <v>0</v>
      </c>
      <c r="AK359" s="726"/>
      <c r="AL359" s="720"/>
      <c r="AM359" s="720" t="e">
        <f>VLOOKUP(F359,[7]PRM!E:R,14,FALSE)</f>
        <v>#N/A</v>
      </c>
      <c r="AN359" s="720" t="e">
        <f>T359-#REF!</f>
        <v>#REF!</v>
      </c>
      <c r="AO359" s="727"/>
    </row>
    <row r="360" spans="1:69" s="609" customFormat="1" ht="14" hidden="1">
      <c r="B360" s="720">
        <v>2605</v>
      </c>
      <c r="C360" s="720" t="s">
        <v>14</v>
      </c>
      <c r="D360" s="720" t="s">
        <v>323</v>
      </c>
      <c r="E360" s="720"/>
      <c r="F360" s="720" t="s">
        <v>381</v>
      </c>
      <c r="G360" s="720"/>
      <c r="H360" s="720"/>
      <c r="I360" s="720" t="s">
        <v>764</v>
      </c>
      <c r="J360" s="720" t="s">
        <v>86</v>
      </c>
      <c r="K360" s="720" t="s">
        <v>286</v>
      </c>
      <c r="L360" s="720">
        <v>24</v>
      </c>
      <c r="M360" s="721">
        <v>949</v>
      </c>
      <c r="N360" s="722">
        <f t="shared" si="179"/>
        <v>56940</v>
      </c>
      <c r="O360" s="721">
        <v>24</v>
      </c>
      <c r="P360" s="723" t="str">
        <f>IFERROR(_xlfn.XLOOKUP(F360,'[4]By Model'!$A:$A,'[4]By Model'!$K:$K),"")</f>
        <v/>
      </c>
      <c r="Q360" s="721">
        <f>IFERROR(_xlfn.XLOOKUP(F360,'[5]By Model'!$A:$A,'[5]By Model'!$B:$B),"")</f>
        <v>3</v>
      </c>
      <c r="R360" s="721">
        <f>IFERROR(_xlfn.XLOOKUP(F360,'[5]By Model'!$A:$A,'[5]By Model'!$I:$I),"")</f>
        <v>1573.9766666666667</v>
      </c>
      <c r="S360" s="721" t="str">
        <f>IFERROR(_xlfn.XLOOKUP(F360,[6]Sum!$G:$G,[6]Sum!$AM:$AM),"")</f>
        <v/>
      </c>
      <c r="T360" s="721">
        <v>949</v>
      </c>
      <c r="U360" s="722">
        <f t="shared" si="158"/>
        <v>56940</v>
      </c>
      <c r="V360" s="721"/>
      <c r="W360" s="722">
        <f t="shared" si="159"/>
        <v>0</v>
      </c>
      <c r="X360" s="722">
        <f t="shared" si="160"/>
        <v>56940</v>
      </c>
      <c r="Y360" s="724">
        <f t="shared" si="161"/>
        <v>0</v>
      </c>
      <c r="Z360" s="721" t="str">
        <f t="shared" si="174"/>
        <v/>
      </c>
      <c r="AA360" s="721"/>
      <c r="AB360" s="721"/>
      <c r="AC360" s="721">
        <v>949</v>
      </c>
      <c r="AD360" s="722">
        <f t="shared" si="167"/>
        <v>56940</v>
      </c>
      <c r="AE360" s="720"/>
      <c r="AF360" s="720"/>
      <c r="AG360" s="722">
        <f t="shared" si="168"/>
        <v>0</v>
      </c>
      <c r="AH360" s="725">
        <f t="shared" si="169"/>
        <v>56940</v>
      </c>
      <c r="AI360" s="725">
        <f t="shared" si="162"/>
        <v>0</v>
      </c>
      <c r="AJ360" s="724">
        <f t="shared" si="163"/>
        <v>0</v>
      </c>
      <c r="AK360" s="726"/>
      <c r="AL360" s="720"/>
      <c r="AM360" s="720"/>
      <c r="AN360" s="720"/>
      <c r="AO360" s="727"/>
    </row>
    <row r="361" spans="1:69" s="609" customFormat="1" ht="14" hidden="1">
      <c r="B361" s="720">
        <v>2605</v>
      </c>
      <c r="C361" s="720" t="s">
        <v>14</v>
      </c>
      <c r="D361" s="720" t="s">
        <v>323</v>
      </c>
      <c r="E361" s="720"/>
      <c r="F361" s="720" t="s">
        <v>381</v>
      </c>
      <c r="G361" s="720"/>
      <c r="H361" s="720"/>
      <c r="I361" s="720" t="s">
        <v>764</v>
      </c>
      <c r="J361" s="720" t="s">
        <v>209</v>
      </c>
      <c r="K361" s="720" t="s">
        <v>286</v>
      </c>
      <c r="L361" s="720">
        <v>24</v>
      </c>
      <c r="M361" s="721">
        <v>799</v>
      </c>
      <c r="N361" s="722">
        <f t="shared" si="179"/>
        <v>57528</v>
      </c>
      <c r="O361" s="721">
        <v>24</v>
      </c>
      <c r="P361" s="723" t="str">
        <f>IFERROR(_xlfn.XLOOKUP(F361,'[4]By Model'!$A:$A,'[4]By Model'!$K:$K),"")</f>
        <v/>
      </c>
      <c r="Q361" s="721">
        <f>IFERROR(_xlfn.XLOOKUP(F361,'[5]By Model'!$A:$A,'[5]By Model'!$B:$B),"")</f>
        <v>3</v>
      </c>
      <c r="R361" s="721">
        <f>IFERROR(_xlfn.XLOOKUP(F361,'[5]By Model'!$A:$A,'[5]By Model'!$I:$I),"")</f>
        <v>1573.9766666666667</v>
      </c>
      <c r="S361" s="721" t="str">
        <f>IFERROR(_xlfn.XLOOKUP(F361,[6]Sum!$G:$G,[6]Sum!$AM:$AM),"")</f>
        <v/>
      </c>
      <c r="T361" s="721">
        <v>799</v>
      </c>
      <c r="U361" s="722">
        <f t="shared" si="158"/>
        <v>57528</v>
      </c>
      <c r="V361" s="721"/>
      <c r="W361" s="722">
        <f t="shared" si="159"/>
        <v>0</v>
      </c>
      <c r="X361" s="722">
        <f t="shared" si="160"/>
        <v>57528</v>
      </c>
      <c r="Y361" s="724">
        <f t="shared" si="161"/>
        <v>0</v>
      </c>
      <c r="Z361" s="721" t="str">
        <f t="shared" si="174"/>
        <v/>
      </c>
      <c r="AA361" s="721"/>
      <c r="AB361" s="721"/>
      <c r="AC361" s="721">
        <v>799</v>
      </c>
      <c r="AD361" s="722">
        <f t="shared" si="167"/>
        <v>57528</v>
      </c>
      <c r="AE361" s="720"/>
      <c r="AF361" s="720"/>
      <c r="AG361" s="722">
        <f t="shared" si="168"/>
        <v>0</v>
      </c>
      <c r="AH361" s="725">
        <f t="shared" si="169"/>
        <v>57528</v>
      </c>
      <c r="AI361" s="725">
        <f t="shared" si="162"/>
        <v>0</v>
      </c>
      <c r="AJ361" s="724">
        <f t="shared" si="163"/>
        <v>0</v>
      </c>
      <c r="AK361" s="726"/>
      <c r="AL361" s="720"/>
      <c r="AM361" s="720"/>
      <c r="AN361" s="720"/>
      <c r="AO361" s="727"/>
    </row>
    <row r="362" spans="1:69" s="436" customFormat="1" ht="14" hidden="1">
      <c r="A362" s="609"/>
      <c r="B362" s="720">
        <v>2605</v>
      </c>
      <c r="C362" s="720" t="s">
        <v>14</v>
      </c>
      <c r="D362" s="720" t="s">
        <v>323</v>
      </c>
      <c r="E362" s="720"/>
      <c r="F362" s="720" t="s">
        <v>377</v>
      </c>
      <c r="G362" s="720" t="s">
        <v>100</v>
      </c>
      <c r="H362" s="720"/>
      <c r="I362" s="720"/>
      <c r="J362" s="720" t="s">
        <v>86</v>
      </c>
      <c r="K362" s="720" t="s">
        <v>286</v>
      </c>
      <c r="L362" s="720">
        <v>24</v>
      </c>
      <c r="M362" s="721">
        <v>1099</v>
      </c>
      <c r="N362" s="722">
        <f t="shared" si="179"/>
        <v>65940</v>
      </c>
      <c r="O362" s="721">
        <v>24</v>
      </c>
      <c r="P362" s="723" t="str">
        <f>IFERROR(_xlfn.XLOOKUP(F362,'[4]By Model'!$A:$A,'[4]By Model'!$K:$K),"")</f>
        <v/>
      </c>
      <c r="Q362" s="721" t="str">
        <f>IFERROR(_xlfn.XLOOKUP(F362,'[5]By Model'!$A:$A,'[5]By Model'!$B:$B),"")</f>
        <v/>
      </c>
      <c r="R362" s="721" t="str">
        <f>IFERROR(_xlfn.XLOOKUP(F362,'[5]By Model'!$A:$A,'[5]By Model'!$I:$I),"")</f>
        <v/>
      </c>
      <c r="S362" s="721" t="str">
        <f>IFERROR(_xlfn.XLOOKUP(F362,[6]Sum!$G:$G,[6]Sum!$AM:$AM),"")</f>
        <v/>
      </c>
      <c r="T362" s="721">
        <v>1099</v>
      </c>
      <c r="U362" s="722">
        <f t="shared" si="158"/>
        <v>65940</v>
      </c>
      <c r="V362" s="721">
        <v>12</v>
      </c>
      <c r="W362" s="722">
        <f t="shared" si="159"/>
        <v>6594</v>
      </c>
      <c r="X362" s="722">
        <f t="shared" si="160"/>
        <v>59346</v>
      </c>
      <c r="Y362" s="724">
        <f t="shared" si="161"/>
        <v>-9.9999999999999978E-2</v>
      </c>
      <c r="Z362" s="721" t="str">
        <f t="shared" si="174"/>
        <v/>
      </c>
      <c r="AA362" s="721">
        <v>0.18206331500973563</v>
      </c>
      <c r="AB362" s="721" t="s">
        <v>242</v>
      </c>
      <c r="AC362" s="721">
        <v>1099</v>
      </c>
      <c r="AD362" s="722">
        <f t="shared" si="167"/>
        <v>65940</v>
      </c>
      <c r="AE362" s="720"/>
      <c r="AF362" s="720">
        <v>12</v>
      </c>
      <c r="AG362" s="722">
        <f t="shared" si="168"/>
        <v>6594</v>
      </c>
      <c r="AH362" s="725">
        <f t="shared" si="169"/>
        <v>59346</v>
      </c>
      <c r="AI362" s="725">
        <f t="shared" si="162"/>
        <v>0</v>
      </c>
      <c r="AJ362" s="724">
        <f t="shared" si="163"/>
        <v>0</v>
      </c>
      <c r="AK362" s="726" t="str">
        <f>IFERROR(Z362+AJ362*0.5,"")</f>
        <v/>
      </c>
      <c r="AL362" s="720"/>
      <c r="AM362" s="720" t="e">
        <f>VLOOKUP(F362,[7]PRM!E:R,14,FALSE)</f>
        <v>#N/A</v>
      </c>
      <c r="AN362" s="720" t="e">
        <f>T362-#REF!</f>
        <v>#REF!</v>
      </c>
      <c r="AO362" s="727"/>
      <c r="AP362" s="609"/>
      <c r="AQ362" s="609"/>
      <c r="AR362" s="609"/>
      <c r="AS362" s="609"/>
      <c r="AT362" s="609"/>
      <c r="AU362" s="609"/>
      <c r="AV362" s="609"/>
      <c r="AW362" s="609"/>
      <c r="AX362" s="609"/>
      <c r="AY362" s="609"/>
      <c r="AZ362" s="609"/>
      <c r="BA362" s="609"/>
      <c r="BB362" s="609"/>
      <c r="BC362" s="609"/>
      <c r="BD362" s="609"/>
      <c r="BE362" s="609"/>
      <c r="BF362" s="609"/>
      <c r="BG362" s="609"/>
      <c r="BH362" s="609"/>
      <c r="BI362" s="609"/>
      <c r="BJ362" s="609"/>
      <c r="BK362" s="609"/>
      <c r="BL362" s="609"/>
      <c r="BM362" s="609"/>
      <c r="BN362" s="609"/>
      <c r="BO362" s="609"/>
      <c r="BP362" s="609"/>
      <c r="BQ362" s="609"/>
    </row>
    <row r="363" spans="1:69" s="436" customFormat="1" ht="14" hidden="1">
      <c r="A363" s="609"/>
      <c r="B363" s="720">
        <v>2605</v>
      </c>
      <c r="C363" s="720" t="s">
        <v>14</v>
      </c>
      <c r="D363" s="720" t="s">
        <v>323</v>
      </c>
      <c r="E363" s="720"/>
      <c r="F363" s="720" t="s">
        <v>377</v>
      </c>
      <c r="G363" s="720" t="s">
        <v>100</v>
      </c>
      <c r="H363" s="720"/>
      <c r="I363" s="720"/>
      <c r="J363" s="720" t="s">
        <v>209</v>
      </c>
      <c r="K363" s="720" t="s">
        <v>286</v>
      </c>
      <c r="L363" s="720">
        <v>24</v>
      </c>
      <c r="M363" s="721">
        <v>1049</v>
      </c>
      <c r="N363" s="722">
        <f t="shared" si="179"/>
        <v>75528</v>
      </c>
      <c r="O363" s="721">
        <v>24</v>
      </c>
      <c r="P363" s="723" t="str">
        <f>IFERROR(_xlfn.XLOOKUP(F363,'[4]By Model'!$A:$A,'[4]By Model'!$K:$K),"")</f>
        <v/>
      </c>
      <c r="Q363" s="721" t="str">
        <f>IFERROR(_xlfn.XLOOKUP(F363,'[5]By Model'!$A:$A,'[5]By Model'!$B:$B),"")</f>
        <v/>
      </c>
      <c r="R363" s="721" t="str">
        <f>IFERROR(_xlfn.XLOOKUP(F363,'[5]By Model'!$A:$A,'[5]By Model'!$I:$I),"")</f>
        <v/>
      </c>
      <c r="S363" s="721" t="str">
        <f>IFERROR(_xlfn.XLOOKUP(F363,[6]Sum!$G:$G,[6]Sum!$AM:$AM),"")</f>
        <v/>
      </c>
      <c r="T363" s="721">
        <v>1049</v>
      </c>
      <c r="U363" s="722">
        <f t="shared" si="158"/>
        <v>75528</v>
      </c>
      <c r="V363" s="721">
        <v>12</v>
      </c>
      <c r="W363" s="722">
        <f t="shared" si="159"/>
        <v>6294</v>
      </c>
      <c r="X363" s="722">
        <f t="shared" si="160"/>
        <v>69234</v>
      </c>
      <c r="Y363" s="724">
        <f t="shared" si="161"/>
        <v>-8.333333333333337E-2</v>
      </c>
      <c r="Z363" s="721" t="str">
        <f t="shared" si="174"/>
        <v/>
      </c>
      <c r="AA363" s="721">
        <v>0.18325611887174822</v>
      </c>
      <c r="AB363" s="721" t="s">
        <v>242</v>
      </c>
      <c r="AC363" s="721">
        <v>1049</v>
      </c>
      <c r="AD363" s="722">
        <f t="shared" si="167"/>
        <v>75528</v>
      </c>
      <c r="AE363" s="720"/>
      <c r="AF363" s="720">
        <v>12</v>
      </c>
      <c r="AG363" s="722">
        <f t="shared" si="168"/>
        <v>6294</v>
      </c>
      <c r="AH363" s="725">
        <f t="shared" si="169"/>
        <v>69234</v>
      </c>
      <c r="AI363" s="725">
        <f t="shared" si="162"/>
        <v>0</v>
      </c>
      <c r="AJ363" s="724">
        <f t="shared" si="163"/>
        <v>0</v>
      </c>
      <c r="AK363" s="726" t="str">
        <f>IFERROR(Z363+AJ363*0.5,"")</f>
        <v/>
      </c>
      <c r="AL363" s="720"/>
      <c r="AM363" s="720" t="e">
        <f>VLOOKUP(F363,[7]PRM!E:R,14,FALSE)</f>
        <v>#N/A</v>
      </c>
      <c r="AN363" s="720" t="e">
        <f>T363-#REF!</f>
        <v>#REF!</v>
      </c>
      <c r="AO363" s="727"/>
      <c r="AP363" s="609"/>
      <c r="AQ363" s="609"/>
      <c r="AR363" s="609"/>
      <c r="AS363" s="609"/>
      <c r="AT363" s="609"/>
      <c r="AU363" s="609"/>
      <c r="AV363" s="609"/>
      <c r="AW363" s="609"/>
      <c r="AX363" s="609"/>
      <c r="AY363" s="609"/>
      <c r="AZ363" s="609"/>
      <c r="BA363" s="609"/>
      <c r="BB363" s="609"/>
      <c r="BC363" s="609"/>
      <c r="BD363" s="609"/>
      <c r="BE363" s="609"/>
      <c r="BF363" s="609"/>
      <c r="BG363" s="609"/>
      <c r="BH363" s="609"/>
      <c r="BI363" s="609"/>
      <c r="BJ363" s="609"/>
      <c r="BK363" s="609"/>
      <c r="BL363" s="609"/>
      <c r="BM363" s="609"/>
      <c r="BN363" s="609"/>
      <c r="BO363" s="609"/>
      <c r="BP363" s="609"/>
      <c r="BQ363" s="609"/>
    </row>
    <row r="364" spans="1:69" s="609" customFormat="1" ht="14" hidden="1">
      <c r="B364" s="720">
        <v>2605</v>
      </c>
      <c r="C364" s="720" t="s">
        <v>23</v>
      </c>
      <c r="D364" s="720" t="s">
        <v>323</v>
      </c>
      <c r="E364" s="720"/>
      <c r="F364" s="720" t="s">
        <v>62</v>
      </c>
      <c r="G364" s="720"/>
      <c r="H364" s="720"/>
      <c r="I364" s="720" t="s">
        <v>764</v>
      </c>
      <c r="J364" s="720" t="s">
        <v>86</v>
      </c>
      <c r="K364" s="720" t="s">
        <v>286</v>
      </c>
      <c r="L364" s="720">
        <v>12</v>
      </c>
      <c r="M364" s="721">
        <v>1049</v>
      </c>
      <c r="N364" s="722">
        <f t="shared" si="179"/>
        <v>62940</v>
      </c>
      <c r="O364" s="721">
        <v>12</v>
      </c>
      <c r="P364" s="723">
        <f>IFERROR(_xlfn.XLOOKUP(F364,'[4]By Model'!$A:$A,'[4]By Model'!$K:$K),"")</f>
        <v>0.54546093648124105</v>
      </c>
      <c r="Q364" s="721" t="str">
        <f>IFERROR(_xlfn.XLOOKUP(F364,'[5]By Model'!$A:$A,'[5]By Model'!$B:$B),"")</f>
        <v/>
      </c>
      <c r="R364" s="721" t="str">
        <f>IFERROR(_xlfn.XLOOKUP(F364,'[5]By Model'!$A:$A,'[5]By Model'!$I:$I),"")</f>
        <v/>
      </c>
      <c r="S364" s="721" t="str">
        <f>IFERROR(_xlfn.XLOOKUP(F364,[6]Sum!$G:$G,[6]Sum!$AM:$AM),"")</f>
        <v/>
      </c>
      <c r="T364" s="721">
        <v>1049</v>
      </c>
      <c r="U364" s="722">
        <f t="shared" si="158"/>
        <v>62940</v>
      </c>
      <c r="V364" s="721"/>
      <c r="W364" s="722">
        <f t="shared" si="159"/>
        <v>0</v>
      </c>
      <c r="X364" s="722">
        <f t="shared" si="160"/>
        <v>62940</v>
      </c>
      <c r="Y364" s="724">
        <f t="shared" si="161"/>
        <v>0</v>
      </c>
      <c r="Z364" s="721">
        <f t="shared" si="174"/>
        <v>0.54546093648124105</v>
      </c>
      <c r="AA364" s="721">
        <v>0.24342602892102336</v>
      </c>
      <c r="AB364" s="721"/>
      <c r="AC364" s="721">
        <v>1049</v>
      </c>
      <c r="AD364" s="722">
        <f t="shared" si="167"/>
        <v>62940</v>
      </c>
      <c r="AE364" s="720"/>
      <c r="AF364" s="720"/>
      <c r="AG364" s="722">
        <f t="shared" si="168"/>
        <v>0</v>
      </c>
      <c r="AH364" s="725">
        <f t="shared" si="169"/>
        <v>62940</v>
      </c>
      <c r="AI364" s="725">
        <f t="shared" si="162"/>
        <v>0</v>
      </c>
      <c r="AJ364" s="724">
        <f t="shared" si="163"/>
        <v>0</v>
      </c>
      <c r="AK364" s="726"/>
      <c r="AL364" s="720"/>
      <c r="AM364" s="720" t="e">
        <f>VLOOKUP(F364,[7]PRM!E:R,14,FALSE)</f>
        <v>#N/A</v>
      </c>
      <c r="AN364" s="720" t="e">
        <f>T364-#REF!</f>
        <v>#REF!</v>
      </c>
      <c r="AO364" s="727"/>
    </row>
    <row r="365" spans="1:69" s="609" customFormat="1" ht="14" hidden="1">
      <c r="B365" s="720">
        <v>2605</v>
      </c>
      <c r="C365" s="720" t="s">
        <v>23</v>
      </c>
      <c r="D365" s="720" t="s">
        <v>323</v>
      </c>
      <c r="E365" s="720"/>
      <c r="F365" s="720" t="s">
        <v>63</v>
      </c>
      <c r="G365" s="720"/>
      <c r="H365" s="720"/>
      <c r="I365" s="720" t="s">
        <v>764</v>
      </c>
      <c r="J365" s="720" t="s">
        <v>86</v>
      </c>
      <c r="K365" s="720" t="s">
        <v>286</v>
      </c>
      <c r="L365" s="720">
        <v>12</v>
      </c>
      <c r="M365" s="721">
        <v>1199</v>
      </c>
      <c r="N365" s="722">
        <f t="shared" si="179"/>
        <v>71940</v>
      </c>
      <c r="O365" s="721">
        <v>12</v>
      </c>
      <c r="P365" s="723">
        <f>IFERROR(_xlfn.XLOOKUP(F365,'[4]By Model'!$A:$A,'[4]By Model'!$K:$K),"")</f>
        <v>0.58983493270855136</v>
      </c>
      <c r="Q365" s="721" t="str">
        <f>IFERROR(_xlfn.XLOOKUP(F365,'[5]By Model'!$A:$A,'[5]By Model'!$B:$B),"")</f>
        <v/>
      </c>
      <c r="R365" s="721" t="str">
        <f>IFERROR(_xlfn.XLOOKUP(F365,'[5]By Model'!$A:$A,'[5]By Model'!$I:$I),"")</f>
        <v/>
      </c>
      <c r="S365" s="721" t="str">
        <f>IFERROR(_xlfn.XLOOKUP(F365,[6]Sum!$G:$G,[6]Sum!$AM:$AM),"")</f>
        <v/>
      </c>
      <c r="T365" s="721">
        <v>1199</v>
      </c>
      <c r="U365" s="722">
        <f t="shared" si="158"/>
        <v>71940</v>
      </c>
      <c r="V365" s="721"/>
      <c r="W365" s="722">
        <f t="shared" si="159"/>
        <v>0</v>
      </c>
      <c r="X365" s="722">
        <f t="shared" si="160"/>
        <v>71940</v>
      </c>
      <c r="Y365" s="724">
        <f t="shared" si="161"/>
        <v>0</v>
      </c>
      <c r="Z365" s="721">
        <f t="shared" si="174"/>
        <v>0.58983493270855136</v>
      </c>
      <c r="AA365" s="721">
        <v>0.2454959053685169</v>
      </c>
      <c r="AB365" s="721"/>
      <c r="AC365" s="721">
        <v>1199</v>
      </c>
      <c r="AD365" s="722">
        <f t="shared" si="167"/>
        <v>71940</v>
      </c>
      <c r="AE365" s="720"/>
      <c r="AF365" s="720"/>
      <c r="AG365" s="722">
        <f t="shared" si="168"/>
        <v>0</v>
      </c>
      <c r="AH365" s="725">
        <f t="shared" si="169"/>
        <v>71940</v>
      </c>
      <c r="AI365" s="725">
        <f t="shared" si="162"/>
        <v>0</v>
      </c>
      <c r="AJ365" s="724">
        <f t="shared" si="163"/>
        <v>0</v>
      </c>
      <c r="AK365" s="726"/>
      <c r="AL365" s="720"/>
      <c r="AM365" s="720" t="e">
        <f>VLOOKUP(F365,[7]PRM!E:R,14,FALSE)</f>
        <v>#N/A</v>
      </c>
      <c r="AN365" s="720" t="e">
        <f>T365-#REF!</f>
        <v>#REF!</v>
      </c>
      <c r="AO365" s="727"/>
    </row>
    <row r="366" spans="1:69" s="609" customFormat="1" ht="14" hidden="1">
      <c r="B366" s="720">
        <v>2605</v>
      </c>
      <c r="C366" s="720" t="s">
        <v>23</v>
      </c>
      <c r="D366" s="720" t="s">
        <v>323</v>
      </c>
      <c r="E366" s="720"/>
      <c r="F366" s="720" t="s">
        <v>62</v>
      </c>
      <c r="G366" s="720"/>
      <c r="H366" s="720"/>
      <c r="I366" s="720" t="s">
        <v>764</v>
      </c>
      <c r="J366" s="720" t="s">
        <v>86</v>
      </c>
      <c r="K366" s="720" t="s">
        <v>286</v>
      </c>
      <c r="L366" s="720">
        <v>6</v>
      </c>
      <c r="M366" s="721">
        <v>1149</v>
      </c>
      <c r="N366" s="722">
        <f t="shared" si="179"/>
        <v>68940</v>
      </c>
      <c r="O366" s="721">
        <v>6</v>
      </c>
      <c r="P366" s="723">
        <f>IFERROR(_xlfn.XLOOKUP(F366,'[4]By Model'!$A:$A,'[4]By Model'!$K:$K),"")</f>
        <v>0.54546093648124105</v>
      </c>
      <c r="Q366" s="721" t="str">
        <f>IFERROR(_xlfn.XLOOKUP(F366,'[5]By Model'!$A:$A,'[5]By Model'!$B:$B),"")</f>
        <v/>
      </c>
      <c r="R366" s="721" t="str">
        <f>IFERROR(_xlfn.XLOOKUP(F366,'[5]By Model'!$A:$A,'[5]By Model'!$I:$I),"")</f>
        <v/>
      </c>
      <c r="S366" s="721" t="str">
        <f>IFERROR(_xlfn.XLOOKUP(F366,[6]Sum!$G:$G,[6]Sum!$AM:$AM),"")</f>
        <v/>
      </c>
      <c r="T366" s="721">
        <v>1149</v>
      </c>
      <c r="U366" s="722">
        <f t="shared" si="158"/>
        <v>68940</v>
      </c>
      <c r="V366" s="721"/>
      <c r="W366" s="722">
        <f t="shared" si="159"/>
        <v>0</v>
      </c>
      <c r="X366" s="722">
        <f t="shared" si="160"/>
        <v>68940</v>
      </c>
      <c r="Y366" s="724">
        <f t="shared" si="161"/>
        <v>0</v>
      </c>
      <c r="Z366" s="721">
        <f t="shared" si="174"/>
        <v>0.54546093648124105</v>
      </c>
      <c r="AA366" s="721">
        <v>0.23507507507507505</v>
      </c>
      <c r="AB366" s="721"/>
      <c r="AC366" s="721">
        <v>1149</v>
      </c>
      <c r="AD366" s="722">
        <f t="shared" si="167"/>
        <v>68940</v>
      </c>
      <c r="AE366" s="720"/>
      <c r="AF366" s="720"/>
      <c r="AG366" s="722">
        <f t="shared" si="168"/>
        <v>0</v>
      </c>
      <c r="AH366" s="725">
        <f t="shared" si="169"/>
        <v>68940</v>
      </c>
      <c r="AI366" s="725">
        <f t="shared" si="162"/>
        <v>0</v>
      </c>
      <c r="AJ366" s="724">
        <f t="shared" si="163"/>
        <v>0</v>
      </c>
      <c r="AK366" s="726"/>
      <c r="AL366" s="720"/>
      <c r="AM366" s="720" t="e">
        <f>VLOOKUP(F366,[7]PRM!E:R,14,FALSE)</f>
        <v>#N/A</v>
      </c>
      <c r="AN366" s="720" t="e">
        <f>T366-#REF!</f>
        <v>#REF!</v>
      </c>
      <c r="AO366" s="727"/>
    </row>
    <row r="367" spans="1:69" s="609" customFormat="1" ht="14" hidden="1">
      <c r="B367" s="720">
        <v>2605</v>
      </c>
      <c r="C367" s="720" t="s">
        <v>23</v>
      </c>
      <c r="D367" s="720" t="s">
        <v>323</v>
      </c>
      <c r="E367" s="720"/>
      <c r="F367" s="720" t="s">
        <v>63</v>
      </c>
      <c r="G367" s="720"/>
      <c r="H367" s="720"/>
      <c r="I367" s="720" t="s">
        <v>764</v>
      </c>
      <c r="J367" s="720" t="s">
        <v>86</v>
      </c>
      <c r="K367" s="720" t="s">
        <v>286</v>
      </c>
      <c r="L367" s="720">
        <v>6</v>
      </c>
      <c r="M367" s="721">
        <v>1299</v>
      </c>
      <c r="N367" s="722">
        <f t="shared" si="179"/>
        <v>77940</v>
      </c>
      <c r="O367" s="721">
        <v>6</v>
      </c>
      <c r="P367" s="723">
        <f>IFERROR(_xlfn.XLOOKUP(F367,'[4]By Model'!$A:$A,'[4]By Model'!$K:$K),"")</f>
        <v>0.58983493270855136</v>
      </c>
      <c r="Q367" s="721" t="str">
        <f>IFERROR(_xlfn.XLOOKUP(F367,'[5]By Model'!$A:$A,'[5]By Model'!$B:$B),"")</f>
        <v/>
      </c>
      <c r="R367" s="721" t="str">
        <f>IFERROR(_xlfn.XLOOKUP(F367,'[5]By Model'!$A:$A,'[5]By Model'!$I:$I),"")</f>
        <v/>
      </c>
      <c r="S367" s="721" t="str">
        <f>IFERROR(_xlfn.XLOOKUP(F367,[6]Sum!$G:$G,[6]Sum!$AM:$AM),"")</f>
        <v/>
      </c>
      <c r="T367" s="721">
        <v>1299</v>
      </c>
      <c r="U367" s="722">
        <f t="shared" si="158"/>
        <v>77940</v>
      </c>
      <c r="V367" s="721"/>
      <c r="W367" s="722">
        <f t="shared" si="159"/>
        <v>0</v>
      </c>
      <c r="X367" s="722">
        <f t="shared" si="160"/>
        <v>77940</v>
      </c>
      <c r="Y367" s="724">
        <f t="shared" si="161"/>
        <v>0</v>
      </c>
      <c r="Z367" s="721">
        <f t="shared" si="174"/>
        <v>0.58983493270855136</v>
      </c>
      <c r="AA367" s="721">
        <v>0.24170141784820681</v>
      </c>
      <c r="AB367" s="721"/>
      <c r="AC367" s="721">
        <v>1299</v>
      </c>
      <c r="AD367" s="722">
        <f t="shared" si="167"/>
        <v>77940</v>
      </c>
      <c r="AE367" s="720"/>
      <c r="AF367" s="720"/>
      <c r="AG367" s="722">
        <f t="shared" si="168"/>
        <v>0</v>
      </c>
      <c r="AH367" s="725">
        <f t="shared" si="169"/>
        <v>77940</v>
      </c>
      <c r="AI367" s="725">
        <f t="shared" si="162"/>
        <v>0</v>
      </c>
      <c r="AJ367" s="724">
        <f t="shared" si="163"/>
        <v>0</v>
      </c>
      <c r="AK367" s="726"/>
      <c r="AL367" s="720"/>
      <c r="AM367" s="720" t="e">
        <f>VLOOKUP(F367,[7]PRM!E:R,14,FALSE)</f>
        <v>#N/A</v>
      </c>
      <c r="AN367" s="720" t="e">
        <f>T367-#REF!</f>
        <v>#REF!</v>
      </c>
      <c r="AO367" s="727"/>
    </row>
    <row r="368" spans="1:69" s="609" customFormat="1" ht="14" hidden="1">
      <c r="B368" s="720">
        <v>2605</v>
      </c>
      <c r="C368" s="720" t="s">
        <v>23</v>
      </c>
      <c r="D368" s="720" t="s">
        <v>323</v>
      </c>
      <c r="E368" s="720"/>
      <c r="F368" s="720" t="s">
        <v>58</v>
      </c>
      <c r="G368" s="720"/>
      <c r="H368" s="720"/>
      <c r="I368" s="720" t="s">
        <v>764</v>
      </c>
      <c r="J368" s="720" t="s">
        <v>86</v>
      </c>
      <c r="K368" s="720" t="s">
        <v>286</v>
      </c>
      <c r="L368" s="720">
        <v>12</v>
      </c>
      <c r="M368" s="721">
        <v>599</v>
      </c>
      <c r="N368" s="722">
        <f t="shared" si="179"/>
        <v>35940</v>
      </c>
      <c r="O368" s="721">
        <v>12</v>
      </c>
      <c r="P368" s="723">
        <f>IFERROR(_xlfn.XLOOKUP(F368,'[4]By Model'!$A:$A,'[4]By Model'!$K:$K),"")</f>
        <v>0.32273826633676334</v>
      </c>
      <c r="Q368" s="721" t="str">
        <f>IFERROR(_xlfn.XLOOKUP(F368,'[5]By Model'!$A:$A,'[5]By Model'!$B:$B),"")</f>
        <v/>
      </c>
      <c r="R368" s="721" t="str">
        <f>IFERROR(_xlfn.XLOOKUP(F368,'[5]By Model'!$A:$A,'[5]By Model'!$I:$I),"")</f>
        <v/>
      </c>
      <c r="S368" s="721" t="str">
        <f>IFERROR(_xlfn.XLOOKUP(F368,[6]Sum!$G:$G,[6]Sum!$AM:$AM),"")</f>
        <v/>
      </c>
      <c r="T368" s="721">
        <v>599</v>
      </c>
      <c r="U368" s="722">
        <f t="shared" si="158"/>
        <v>35940</v>
      </c>
      <c r="V368" s="721"/>
      <c r="W368" s="722">
        <f t="shared" si="159"/>
        <v>0</v>
      </c>
      <c r="X368" s="722">
        <f t="shared" si="160"/>
        <v>35940</v>
      </c>
      <c r="Y368" s="724">
        <f t="shared" si="161"/>
        <v>0</v>
      </c>
      <c r="Z368" s="721">
        <f t="shared" si="174"/>
        <v>0.32273826633676334</v>
      </c>
      <c r="AA368" s="721">
        <v>0.1202004008016032</v>
      </c>
      <c r="AB368" s="721"/>
      <c r="AC368" s="721">
        <v>599</v>
      </c>
      <c r="AD368" s="722">
        <f t="shared" si="167"/>
        <v>35940</v>
      </c>
      <c r="AE368" s="720"/>
      <c r="AF368" s="720"/>
      <c r="AG368" s="722">
        <f t="shared" si="168"/>
        <v>0</v>
      </c>
      <c r="AH368" s="725">
        <f t="shared" si="169"/>
        <v>35940</v>
      </c>
      <c r="AI368" s="725">
        <f t="shared" si="162"/>
        <v>0</v>
      </c>
      <c r="AJ368" s="724">
        <f t="shared" si="163"/>
        <v>0</v>
      </c>
      <c r="AK368" s="726"/>
      <c r="AL368" s="720"/>
      <c r="AM368" s="720" t="e">
        <f>VLOOKUP(F368,[7]PRM!E:R,14,FALSE)</f>
        <v>#N/A</v>
      </c>
      <c r="AN368" s="720" t="e">
        <f>T368-#REF!</f>
        <v>#REF!</v>
      </c>
      <c r="AO368" s="727"/>
    </row>
    <row r="369" spans="2:41" s="609" customFormat="1" ht="14" hidden="1">
      <c r="B369" s="720">
        <v>2605</v>
      </c>
      <c r="C369" s="720" t="s">
        <v>23</v>
      </c>
      <c r="D369" s="720" t="s">
        <v>323</v>
      </c>
      <c r="E369" s="720"/>
      <c r="F369" s="720" t="s">
        <v>59</v>
      </c>
      <c r="G369" s="720"/>
      <c r="H369" s="720"/>
      <c r="I369" s="720" t="s">
        <v>764</v>
      </c>
      <c r="J369" s="720" t="s">
        <v>86</v>
      </c>
      <c r="K369" s="720" t="s">
        <v>286</v>
      </c>
      <c r="L369" s="720">
        <v>12</v>
      </c>
      <c r="M369" s="721">
        <v>699</v>
      </c>
      <c r="N369" s="722">
        <f t="shared" si="179"/>
        <v>41940</v>
      </c>
      <c r="O369" s="721">
        <v>12</v>
      </c>
      <c r="P369" s="723">
        <f>IFERROR(_xlfn.XLOOKUP(F369,'[4]By Model'!$A:$A,'[4]By Model'!$K:$K),"")</f>
        <v>0.46415176338781622</v>
      </c>
      <c r="Q369" s="721" t="str">
        <f>IFERROR(_xlfn.XLOOKUP(F369,'[5]By Model'!$A:$A,'[5]By Model'!$B:$B),"")</f>
        <v/>
      </c>
      <c r="R369" s="721" t="str">
        <f>IFERROR(_xlfn.XLOOKUP(F369,'[5]By Model'!$A:$A,'[5]By Model'!$I:$I),"")</f>
        <v/>
      </c>
      <c r="S369" s="721" t="str">
        <f>IFERROR(_xlfn.XLOOKUP(F369,[6]Sum!$G:$G,[6]Sum!$AM:$AM),"")</f>
        <v/>
      </c>
      <c r="T369" s="721">
        <v>699</v>
      </c>
      <c r="U369" s="722">
        <f t="shared" si="158"/>
        <v>41940</v>
      </c>
      <c r="V369" s="721"/>
      <c r="W369" s="722">
        <f t="shared" si="159"/>
        <v>0</v>
      </c>
      <c r="X369" s="722">
        <f t="shared" si="160"/>
        <v>41940</v>
      </c>
      <c r="Y369" s="724">
        <f t="shared" si="161"/>
        <v>0</v>
      </c>
      <c r="Z369" s="721">
        <f t="shared" si="174"/>
        <v>0.46415176338781622</v>
      </c>
      <c r="AA369" s="721">
        <v>0.16347245409015027</v>
      </c>
      <c r="AB369" s="721"/>
      <c r="AC369" s="721">
        <v>699</v>
      </c>
      <c r="AD369" s="722">
        <f t="shared" si="167"/>
        <v>41940</v>
      </c>
      <c r="AE369" s="720"/>
      <c r="AF369" s="720"/>
      <c r="AG369" s="722">
        <f t="shared" si="168"/>
        <v>0</v>
      </c>
      <c r="AH369" s="725">
        <f t="shared" si="169"/>
        <v>41940</v>
      </c>
      <c r="AI369" s="725">
        <f t="shared" si="162"/>
        <v>0</v>
      </c>
      <c r="AJ369" s="724">
        <f t="shared" si="163"/>
        <v>0</v>
      </c>
      <c r="AK369" s="726"/>
      <c r="AL369" s="720"/>
      <c r="AM369" s="720" t="e">
        <f>VLOOKUP(F369,[7]PRM!E:R,14,FALSE)</f>
        <v>#N/A</v>
      </c>
      <c r="AN369" s="720" t="e">
        <f>T369-#REF!</f>
        <v>#REF!</v>
      </c>
      <c r="AO369" s="727"/>
    </row>
    <row r="370" spans="2:41" s="609" customFormat="1" ht="14" hidden="1">
      <c r="B370" s="720">
        <v>2605</v>
      </c>
      <c r="C370" s="720" t="s">
        <v>23</v>
      </c>
      <c r="D370" s="720" t="s">
        <v>323</v>
      </c>
      <c r="E370" s="720"/>
      <c r="F370" s="720" t="s">
        <v>60</v>
      </c>
      <c r="G370" s="720"/>
      <c r="H370" s="720"/>
      <c r="I370" s="720" t="s">
        <v>764</v>
      </c>
      <c r="J370" s="720" t="s">
        <v>86</v>
      </c>
      <c r="K370" s="720" t="s">
        <v>286</v>
      </c>
      <c r="L370" s="720">
        <v>12</v>
      </c>
      <c r="M370" s="721">
        <v>899</v>
      </c>
      <c r="N370" s="722">
        <f t="shared" si="179"/>
        <v>53940</v>
      </c>
      <c r="O370" s="721">
        <v>12</v>
      </c>
      <c r="P370" s="723">
        <f>IFERROR(_xlfn.XLOOKUP(F370,'[4]By Model'!$A:$A,'[4]By Model'!$K:$K),"")</f>
        <v>0.34676034083172635</v>
      </c>
      <c r="Q370" s="721" t="str">
        <f>IFERROR(_xlfn.XLOOKUP(F370,'[5]By Model'!$A:$A,'[5]By Model'!$B:$B),"")</f>
        <v/>
      </c>
      <c r="R370" s="721" t="str">
        <f>IFERROR(_xlfn.XLOOKUP(F370,'[5]By Model'!$A:$A,'[5]By Model'!$I:$I),"")</f>
        <v/>
      </c>
      <c r="S370" s="721" t="str">
        <f>IFERROR(_xlfn.XLOOKUP(F370,[6]Sum!$G:$G,[6]Sum!$AM:$AM),"")</f>
        <v/>
      </c>
      <c r="T370" s="721">
        <v>899</v>
      </c>
      <c r="U370" s="722">
        <f t="shared" si="158"/>
        <v>53940</v>
      </c>
      <c r="V370" s="721"/>
      <c r="W370" s="722">
        <f t="shared" si="159"/>
        <v>0</v>
      </c>
      <c r="X370" s="722">
        <f t="shared" si="160"/>
        <v>53940</v>
      </c>
      <c r="Y370" s="724">
        <f t="shared" si="161"/>
        <v>0</v>
      </c>
      <c r="Z370" s="721">
        <f t="shared" si="174"/>
        <v>0.34676034083172635</v>
      </c>
      <c r="AA370" s="721">
        <v>0.24257822277847313</v>
      </c>
      <c r="AB370" s="721"/>
      <c r="AC370" s="721">
        <v>899</v>
      </c>
      <c r="AD370" s="722">
        <f t="shared" si="167"/>
        <v>53940</v>
      </c>
      <c r="AE370" s="720"/>
      <c r="AF370" s="720"/>
      <c r="AG370" s="722">
        <f t="shared" si="168"/>
        <v>0</v>
      </c>
      <c r="AH370" s="725">
        <f t="shared" si="169"/>
        <v>53940</v>
      </c>
      <c r="AI370" s="725">
        <f t="shared" si="162"/>
        <v>0</v>
      </c>
      <c r="AJ370" s="724">
        <f t="shared" si="163"/>
        <v>0</v>
      </c>
      <c r="AK370" s="726"/>
      <c r="AL370" s="720"/>
      <c r="AM370" s="720" t="e">
        <f>VLOOKUP(F370,[7]PRM!E:R,14,FALSE)</f>
        <v>#N/A</v>
      </c>
      <c r="AN370" s="720" t="e">
        <f>T370-#REF!</f>
        <v>#REF!</v>
      </c>
      <c r="AO370" s="727"/>
    </row>
    <row r="371" spans="2:41" s="609" customFormat="1" ht="14" hidden="1">
      <c r="B371" s="720">
        <v>2605</v>
      </c>
      <c r="C371" s="720" t="s">
        <v>23</v>
      </c>
      <c r="D371" s="720" t="s">
        <v>323</v>
      </c>
      <c r="E371" s="720"/>
      <c r="F371" s="720" t="s">
        <v>61</v>
      </c>
      <c r="G371" s="720"/>
      <c r="H371" s="720"/>
      <c r="I371" s="720" t="s">
        <v>764</v>
      </c>
      <c r="J371" s="720" t="s">
        <v>86</v>
      </c>
      <c r="K371" s="720" t="s">
        <v>286</v>
      </c>
      <c r="L371" s="720">
        <v>12</v>
      </c>
      <c r="M371" s="721">
        <v>1099</v>
      </c>
      <c r="N371" s="722">
        <f t="shared" si="179"/>
        <v>65940</v>
      </c>
      <c r="O371" s="721">
        <v>12</v>
      </c>
      <c r="P371" s="723">
        <f>IFERROR(_xlfn.XLOOKUP(F371,'[4]By Model'!$A:$A,'[4]By Model'!$K:$K),"")</f>
        <v>0.51463105460115877</v>
      </c>
      <c r="Q371" s="721" t="str">
        <f>IFERROR(_xlfn.XLOOKUP(F371,'[5]By Model'!$A:$A,'[5]By Model'!$B:$B),"")</f>
        <v/>
      </c>
      <c r="R371" s="721" t="str">
        <f>IFERROR(_xlfn.XLOOKUP(F371,'[5]By Model'!$A:$A,'[5]By Model'!$I:$I),"")</f>
        <v/>
      </c>
      <c r="S371" s="721" t="str">
        <f>IFERROR(_xlfn.XLOOKUP(F371,[6]Sum!$G:$G,[6]Sum!$AM:$AM),"")</f>
        <v/>
      </c>
      <c r="T371" s="721">
        <v>1099</v>
      </c>
      <c r="U371" s="722">
        <f t="shared" si="158"/>
        <v>65940</v>
      </c>
      <c r="V371" s="721"/>
      <c r="W371" s="722">
        <f t="shared" si="159"/>
        <v>0</v>
      </c>
      <c r="X371" s="722">
        <f t="shared" si="160"/>
        <v>65940</v>
      </c>
      <c r="Y371" s="724">
        <f t="shared" si="161"/>
        <v>0</v>
      </c>
      <c r="Z371" s="721">
        <f t="shared" si="174"/>
        <v>0.51463105460115877</v>
      </c>
      <c r="AA371" s="721">
        <v>0.22005005005005004</v>
      </c>
      <c r="AB371" s="721"/>
      <c r="AC371" s="721">
        <v>1099</v>
      </c>
      <c r="AD371" s="722">
        <f t="shared" si="167"/>
        <v>65940</v>
      </c>
      <c r="AE371" s="720"/>
      <c r="AF371" s="720"/>
      <c r="AG371" s="722">
        <f t="shared" si="168"/>
        <v>0</v>
      </c>
      <c r="AH371" s="725">
        <f t="shared" si="169"/>
        <v>65940</v>
      </c>
      <c r="AI371" s="725">
        <f t="shared" si="162"/>
        <v>0</v>
      </c>
      <c r="AJ371" s="724">
        <f t="shared" si="163"/>
        <v>0</v>
      </c>
      <c r="AK371" s="726"/>
      <c r="AL371" s="720"/>
      <c r="AM371" s="720" t="e">
        <f>VLOOKUP(F371,[7]PRM!E:R,14,FALSE)</f>
        <v>#N/A</v>
      </c>
      <c r="AN371" s="720" t="e">
        <f>T371-#REF!</f>
        <v>#REF!</v>
      </c>
      <c r="AO371" s="727"/>
    </row>
    <row r="372" spans="2:41" s="609" customFormat="1" ht="14" hidden="1">
      <c r="B372" s="720">
        <v>2605</v>
      </c>
      <c r="C372" s="720" t="s">
        <v>23</v>
      </c>
      <c r="D372" s="720" t="s">
        <v>323</v>
      </c>
      <c r="E372" s="720"/>
      <c r="F372" s="720" t="s">
        <v>58</v>
      </c>
      <c r="G372" s="720"/>
      <c r="H372" s="720"/>
      <c r="I372" s="720" t="s">
        <v>764</v>
      </c>
      <c r="J372" s="720" t="s">
        <v>86</v>
      </c>
      <c r="K372" s="720" t="s">
        <v>286</v>
      </c>
      <c r="L372" s="720">
        <v>6</v>
      </c>
      <c r="M372" s="721">
        <v>699</v>
      </c>
      <c r="N372" s="722">
        <f t="shared" si="179"/>
        <v>41940</v>
      </c>
      <c r="O372" s="721">
        <v>6</v>
      </c>
      <c r="P372" s="723">
        <f>IFERROR(_xlfn.XLOOKUP(F372,'[4]By Model'!$A:$A,'[4]By Model'!$K:$K),"")</f>
        <v>0.32273826633676334</v>
      </c>
      <c r="Q372" s="721" t="str">
        <f>IFERROR(_xlfn.XLOOKUP(F372,'[5]By Model'!$A:$A,'[5]By Model'!$B:$B),"")</f>
        <v/>
      </c>
      <c r="R372" s="721" t="str">
        <f>IFERROR(_xlfn.XLOOKUP(F372,'[5]By Model'!$A:$A,'[5]By Model'!$I:$I),"")</f>
        <v/>
      </c>
      <c r="S372" s="721" t="str">
        <f>IFERROR(_xlfn.XLOOKUP(F372,[6]Sum!$G:$G,[6]Sum!$AM:$AM),"")</f>
        <v/>
      </c>
      <c r="T372" s="721">
        <v>699</v>
      </c>
      <c r="U372" s="722">
        <f t="shared" si="158"/>
        <v>41940</v>
      </c>
      <c r="V372" s="721"/>
      <c r="W372" s="722">
        <f t="shared" si="159"/>
        <v>0</v>
      </c>
      <c r="X372" s="722">
        <f t="shared" si="160"/>
        <v>41940</v>
      </c>
      <c r="Y372" s="724">
        <f t="shared" si="161"/>
        <v>0</v>
      </c>
      <c r="Z372" s="721">
        <f t="shared" si="174"/>
        <v>0.32273826633676334</v>
      </c>
      <c r="AA372" s="721">
        <v>0.10347245409015025</v>
      </c>
      <c r="AB372" s="721"/>
      <c r="AC372" s="721">
        <v>699</v>
      </c>
      <c r="AD372" s="722">
        <f t="shared" si="167"/>
        <v>41940</v>
      </c>
      <c r="AE372" s="720"/>
      <c r="AF372" s="720"/>
      <c r="AG372" s="722">
        <f t="shared" si="168"/>
        <v>0</v>
      </c>
      <c r="AH372" s="725">
        <f t="shared" si="169"/>
        <v>41940</v>
      </c>
      <c r="AI372" s="725">
        <f t="shared" si="162"/>
        <v>0</v>
      </c>
      <c r="AJ372" s="724">
        <f t="shared" si="163"/>
        <v>0</v>
      </c>
      <c r="AK372" s="726"/>
      <c r="AL372" s="720"/>
      <c r="AM372" s="720" t="e">
        <f>VLOOKUP(F372,[7]PRM!E:R,14,FALSE)</f>
        <v>#N/A</v>
      </c>
      <c r="AN372" s="720" t="e">
        <f>T372-#REF!</f>
        <v>#REF!</v>
      </c>
      <c r="AO372" s="727"/>
    </row>
    <row r="373" spans="2:41" s="609" customFormat="1" ht="14" hidden="1">
      <c r="B373" s="720">
        <v>2605</v>
      </c>
      <c r="C373" s="720" t="s">
        <v>23</v>
      </c>
      <c r="D373" s="720" t="s">
        <v>323</v>
      </c>
      <c r="E373" s="720"/>
      <c r="F373" s="720" t="s">
        <v>59</v>
      </c>
      <c r="G373" s="720"/>
      <c r="H373" s="720"/>
      <c r="I373" s="720" t="s">
        <v>764</v>
      </c>
      <c r="J373" s="720" t="s">
        <v>86</v>
      </c>
      <c r="K373" s="720" t="s">
        <v>286</v>
      </c>
      <c r="L373" s="720">
        <v>6</v>
      </c>
      <c r="M373" s="721">
        <v>799</v>
      </c>
      <c r="N373" s="722">
        <f t="shared" si="179"/>
        <v>47940</v>
      </c>
      <c r="O373" s="721">
        <v>6</v>
      </c>
      <c r="P373" s="723">
        <f>IFERROR(_xlfn.XLOOKUP(F373,'[4]By Model'!$A:$A,'[4]By Model'!$K:$K),"")</f>
        <v>0.46415176338781622</v>
      </c>
      <c r="Q373" s="721" t="str">
        <f>IFERROR(_xlfn.XLOOKUP(F373,'[5]By Model'!$A:$A,'[5]By Model'!$B:$B),"")</f>
        <v/>
      </c>
      <c r="R373" s="721" t="str">
        <f>IFERROR(_xlfn.XLOOKUP(F373,'[5]By Model'!$A:$A,'[5]By Model'!$I:$I),"")</f>
        <v/>
      </c>
      <c r="S373" s="721" t="str">
        <f>IFERROR(_xlfn.XLOOKUP(F373,[6]Sum!$G:$G,[6]Sum!$AM:$AM),"")</f>
        <v/>
      </c>
      <c r="T373" s="721">
        <v>799</v>
      </c>
      <c r="U373" s="722">
        <f t="shared" si="158"/>
        <v>47940</v>
      </c>
      <c r="V373" s="721"/>
      <c r="W373" s="722">
        <f t="shared" si="159"/>
        <v>0</v>
      </c>
      <c r="X373" s="722">
        <f t="shared" si="160"/>
        <v>47940</v>
      </c>
      <c r="Y373" s="724">
        <f t="shared" si="161"/>
        <v>0</v>
      </c>
      <c r="Z373" s="721">
        <f t="shared" si="174"/>
        <v>0.46415176338781622</v>
      </c>
      <c r="AA373" s="721">
        <v>0.15153075822603718</v>
      </c>
      <c r="AB373" s="721"/>
      <c r="AC373" s="721">
        <v>799</v>
      </c>
      <c r="AD373" s="722">
        <f t="shared" si="167"/>
        <v>47940</v>
      </c>
      <c r="AE373" s="720"/>
      <c r="AF373" s="720"/>
      <c r="AG373" s="722">
        <f t="shared" si="168"/>
        <v>0</v>
      </c>
      <c r="AH373" s="725">
        <f t="shared" si="169"/>
        <v>47940</v>
      </c>
      <c r="AI373" s="725">
        <f t="shared" si="162"/>
        <v>0</v>
      </c>
      <c r="AJ373" s="724">
        <f t="shared" si="163"/>
        <v>0</v>
      </c>
      <c r="AK373" s="726"/>
      <c r="AL373" s="720"/>
      <c r="AM373" s="720" t="e">
        <f>VLOOKUP(F373,[7]PRM!E:R,14,FALSE)</f>
        <v>#N/A</v>
      </c>
      <c r="AN373" s="720" t="e">
        <f>T373-#REF!</f>
        <v>#REF!</v>
      </c>
      <c r="AO373" s="727"/>
    </row>
    <row r="374" spans="2:41" s="609" customFormat="1" ht="14" hidden="1">
      <c r="B374" s="720">
        <v>2605</v>
      </c>
      <c r="C374" s="720" t="s">
        <v>23</v>
      </c>
      <c r="D374" s="720" t="s">
        <v>323</v>
      </c>
      <c r="E374" s="720"/>
      <c r="F374" s="720" t="s">
        <v>60</v>
      </c>
      <c r="G374" s="720"/>
      <c r="H374" s="720"/>
      <c r="I374" s="720" t="s">
        <v>764</v>
      </c>
      <c r="J374" s="720" t="s">
        <v>86</v>
      </c>
      <c r="K374" s="720" t="s">
        <v>286</v>
      </c>
      <c r="L374" s="720">
        <v>6</v>
      </c>
      <c r="M374" s="721">
        <v>999</v>
      </c>
      <c r="N374" s="722">
        <f t="shared" si="179"/>
        <v>59940</v>
      </c>
      <c r="O374" s="721">
        <v>6</v>
      </c>
      <c r="P374" s="723">
        <f>IFERROR(_xlfn.XLOOKUP(F374,'[4]By Model'!$A:$A,'[4]By Model'!$K:$K),"")</f>
        <v>0.34676034083172635</v>
      </c>
      <c r="Q374" s="721" t="str">
        <f>IFERROR(_xlfn.XLOOKUP(F374,'[5]By Model'!$A:$A,'[5]By Model'!$B:$B),"")</f>
        <v/>
      </c>
      <c r="R374" s="721" t="str">
        <f>IFERROR(_xlfn.XLOOKUP(F374,'[5]By Model'!$A:$A,'[5]By Model'!$I:$I),"")</f>
        <v/>
      </c>
      <c r="S374" s="721" t="str">
        <f>IFERROR(_xlfn.XLOOKUP(F374,[6]Sum!$G:$G,[6]Sum!$AM:$AM),"")</f>
        <v/>
      </c>
      <c r="T374" s="721">
        <v>999</v>
      </c>
      <c r="U374" s="722">
        <f t="shared" si="158"/>
        <v>59940</v>
      </c>
      <c r="V374" s="721"/>
      <c r="W374" s="722">
        <f t="shared" si="159"/>
        <v>0</v>
      </c>
      <c r="X374" s="722">
        <f t="shared" si="160"/>
        <v>59940</v>
      </c>
      <c r="Y374" s="724">
        <f t="shared" si="161"/>
        <v>0</v>
      </c>
      <c r="Z374" s="721">
        <f t="shared" si="174"/>
        <v>0.34676034083172635</v>
      </c>
      <c r="AA374" s="721">
        <v>0.23561735261401556</v>
      </c>
      <c r="AB374" s="721"/>
      <c r="AC374" s="721">
        <v>999</v>
      </c>
      <c r="AD374" s="722">
        <f t="shared" si="167"/>
        <v>59940</v>
      </c>
      <c r="AE374" s="720"/>
      <c r="AF374" s="720"/>
      <c r="AG374" s="722">
        <f t="shared" si="168"/>
        <v>0</v>
      </c>
      <c r="AH374" s="725">
        <f t="shared" si="169"/>
        <v>59940</v>
      </c>
      <c r="AI374" s="725">
        <f t="shared" si="162"/>
        <v>0</v>
      </c>
      <c r="AJ374" s="724">
        <f t="shared" si="163"/>
        <v>0</v>
      </c>
      <c r="AK374" s="726"/>
      <c r="AL374" s="720"/>
      <c r="AM374" s="720" t="e">
        <f>VLOOKUP(F374,[7]PRM!E:R,14,FALSE)</f>
        <v>#N/A</v>
      </c>
      <c r="AN374" s="720" t="e">
        <f>T374-#REF!</f>
        <v>#REF!</v>
      </c>
      <c r="AO374" s="727"/>
    </row>
    <row r="375" spans="2:41" s="609" customFormat="1" ht="14" hidden="1">
      <c r="B375" s="720">
        <v>2605</v>
      </c>
      <c r="C375" s="720" t="s">
        <v>23</v>
      </c>
      <c r="D375" s="720" t="s">
        <v>323</v>
      </c>
      <c r="E375" s="720"/>
      <c r="F375" s="720" t="s">
        <v>61</v>
      </c>
      <c r="G375" s="720"/>
      <c r="H375" s="720"/>
      <c r="I375" s="720" t="s">
        <v>764</v>
      </c>
      <c r="J375" s="720" t="s">
        <v>86</v>
      </c>
      <c r="K375" s="720" t="s">
        <v>286</v>
      </c>
      <c r="L375" s="720">
        <v>6</v>
      </c>
      <c r="M375" s="721">
        <v>1199</v>
      </c>
      <c r="N375" s="722">
        <f t="shared" si="179"/>
        <v>71940</v>
      </c>
      <c r="O375" s="721">
        <v>6</v>
      </c>
      <c r="P375" s="723">
        <f>IFERROR(_xlfn.XLOOKUP(F375,'[4]By Model'!$A:$A,'[4]By Model'!$K:$K),"")</f>
        <v>0.51463105460115877</v>
      </c>
      <c r="Q375" s="721" t="str">
        <f>IFERROR(_xlfn.XLOOKUP(F375,'[5]By Model'!$A:$A,'[5]By Model'!$B:$B),"")</f>
        <v/>
      </c>
      <c r="R375" s="721" t="str">
        <f>IFERROR(_xlfn.XLOOKUP(F375,'[5]By Model'!$A:$A,'[5]By Model'!$I:$I),"")</f>
        <v/>
      </c>
      <c r="S375" s="721" t="str">
        <f>IFERROR(_xlfn.XLOOKUP(F375,[6]Sum!$G:$G,[6]Sum!$AM:$AM),"")</f>
        <v/>
      </c>
      <c r="T375" s="721">
        <v>1199</v>
      </c>
      <c r="U375" s="722">
        <f t="shared" si="158"/>
        <v>71940</v>
      </c>
      <c r="V375" s="721"/>
      <c r="W375" s="722">
        <f t="shared" si="159"/>
        <v>0</v>
      </c>
      <c r="X375" s="722">
        <f t="shared" si="160"/>
        <v>71940</v>
      </c>
      <c r="Y375" s="724">
        <f t="shared" si="161"/>
        <v>0</v>
      </c>
      <c r="Z375" s="721">
        <f t="shared" si="174"/>
        <v>0.51463105460115877</v>
      </c>
      <c r="AA375" s="721">
        <v>0.2154959053685169</v>
      </c>
      <c r="AB375" s="721"/>
      <c r="AC375" s="721">
        <v>1199</v>
      </c>
      <c r="AD375" s="722">
        <f t="shared" si="167"/>
        <v>71940</v>
      </c>
      <c r="AE375" s="720"/>
      <c r="AF375" s="720"/>
      <c r="AG375" s="722">
        <f t="shared" si="168"/>
        <v>0</v>
      </c>
      <c r="AH375" s="725">
        <f t="shared" si="169"/>
        <v>71940</v>
      </c>
      <c r="AI375" s="725">
        <f t="shared" si="162"/>
        <v>0</v>
      </c>
      <c r="AJ375" s="724">
        <f t="shared" si="163"/>
        <v>0</v>
      </c>
      <c r="AK375" s="726"/>
      <c r="AL375" s="720"/>
      <c r="AM375" s="720" t="e">
        <f>VLOOKUP(F375,[7]PRM!E:R,14,FALSE)</f>
        <v>#N/A</v>
      </c>
      <c r="AN375" s="720" t="e">
        <f>T375-#REF!</f>
        <v>#REF!</v>
      </c>
      <c r="AO375" s="727"/>
    </row>
    <row r="376" spans="2:41" s="609" customFormat="1" ht="14" hidden="1">
      <c r="B376" s="720">
        <v>2605</v>
      </c>
      <c r="C376" s="720" t="s">
        <v>23</v>
      </c>
      <c r="D376" s="720" t="s">
        <v>323</v>
      </c>
      <c r="E376" s="720"/>
      <c r="F376" s="720" t="s">
        <v>474</v>
      </c>
      <c r="G376" s="720"/>
      <c r="H376" s="720"/>
      <c r="I376" s="720" t="s">
        <v>764</v>
      </c>
      <c r="J376" s="720" t="s">
        <v>86</v>
      </c>
      <c r="K376" s="720" t="s">
        <v>286</v>
      </c>
      <c r="L376" s="720">
        <v>12</v>
      </c>
      <c r="M376" s="721">
        <v>549</v>
      </c>
      <c r="N376" s="722">
        <f t="shared" si="179"/>
        <v>32940</v>
      </c>
      <c r="O376" s="721">
        <v>12</v>
      </c>
      <c r="P376" s="723">
        <f>IFERROR(_xlfn.XLOOKUP(F376,'[4]By Model'!$A:$A,'[4]By Model'!$K:$K),"")</f>
        <v>1.028983000945122</v>
      </c>
      <c r="Q376" s="721" t="str">
        <f>IFERROR(_xlfn.XLOOKUP(F376,'[5]By Model'!$A:$A,'[5]By Model'!$B:$B),"")</f>
        <v/>
      </c>
      <c r="R376" s="721" t="str">
        <f>IFERROR(_xlfn.XLOOKUP(F376,'[5]By Model'!$A:$A,'[5]By Model'!$I:$I),"")</f>
        <v/>
      </c>
      <c r="S376" s="721" t="str">
        <f>IFERROR(_xlfn.XLOOKUP(F376,[6]Sum!$G:$G,[6]Sum!$AM:$AM),"")</f>
        <v/>
      </c>
      <c r="T376" s="721">
        <v>549</v>
      </c>
      <c r="U376" s="722">
        <f t="shared" si="158"/>
        <v>32940</v>
      </c>
      <c r="V376" s="721"/>
      <c r="W376" s="722">
        <f t="shared" si="159"/>
        <v>0</v>
      </c>
      <c r="X376" s="722">
        <f t="shared" si="160"/>
        <v>32940</v>
      </c>
      <c r="Y376" s="724">
        <f t="shared" si="161"/>
        <v>0</v>
      </c>
      <c r="Z376" s="721">
        <f t="shared" si="174"/>
        <v>1.028983000945122</v>
      </c>
      <c r="AA376" s="721">
        <v>0.161358574610245</v>
      </c>
      <c r="AB376" s="721"/>
      <c r="AC376" s="721">
        <v>549</v>
      </c>
      <c r="AD376" s="722">
        <f t="shared" si="167"/>
        <v>32940</v>
      </c>
      <c r="AE376" s="720"/>
      <c r="AF376" s="720"/>
      <c r="AG376" s="722">
        <f t="shared" si="168"/>
        <v>0</v>
      </c>
      <c r="AH376" s="725">
        <f t="shared" si="169"/>
        <v>32940</v>
      </c>
      <c r="AI376" s="725">
        <f t="shared" si="162"/>
        <v>0</v>
      </c>
      <c r="AJ376" s="724">
        <f t="shared" si="163"/>
        <v>0</v>
      </c>
      <c r="AK376" s="726"/>
      <c r="AL376" s="720"/>
      <c r="AM376" s="720" t="e">
        <f>VLOOKUP(F376,[7]PRM!E:R,14,FALSE)</f>
        <v>#N/A</v>
      </c>
      <c r="AN376" s="720" t="e">
        <f>T376-#REF!</f>
        <v>#REF!</v>
      </c>
      <c r="AO376" s="727"/>
    </row>
    <row r="377" spans="2:41" s="609" customFormat="1" ht="14" hidden="1">
      <c r="B377" s="720">
        <v>2605</v>
      </c>
      <c r="C377" s="720" t="s">
        <v>23</v>
      </c>
      <c r="D377" s="720" t="s">
        <v>323</v>
      </c>
      <c r="E377" s="720"/>
      <c r="F377" s="720" t="s">
        <v>474</v>
      </c>
      <c r="G377" s="720"/>
      <c r="H377" s="720"/>
      <c r="I377" s="720" t="s">
        <v>764</v>
      </c>
      <c r="J377" s="720" t="s">
        <v>86</v>
      </c>
      <c r="K377" s="720" t="s">
        <v>286</v>
      </c>
      <c r="L377" s="720">
        <v>6</v>
      </c>
      <c r="M377" s="721">
        <v>649</v>
      </c>
      <c r="N377" s="722">
        <f t="shared" si="179"/>
        <v>38940</v>
      </c>
      <c r="O377" s="721">
        <v>6</v>
      </c>
      <c r="P377" s="723">
        <f>IFERROR(_xlfn.XLOOKUP(F377,'[4]By Model'!$A:$A,'[4]By Model'!$K:$K),"")</f>
        <v>1.028983000945122</v>
      </c>
      <c r="Q377" s="721" t="str">
        <f>IFERROR(_xlfn.XLOOKUP(F377,'[5]By Model'!$A:$A,'[5]By Model'!$B:$B),"")</f>
        <v/>
      </c>
      <c r="R377" s="721" t="str">
        <f>IFERROR(_xlfn.XLOOKUP(F377,'[5]By Model'!$A:$A,'[5]By Model'!$I:$I),"")</f>
        <v/>
      </c>
      <c r="S377" s="721" t="str">
        <f>IFERROR(_xlfn.XLOOKUP(F377,[6]Sum!$G:$G,[6]Sum!$AM:$AM),"")</f>
        <v/>
      </c>
      <c r="T377" s="721">
        <v>649</v>
      </c>
      <c r="U377" s="722">
        <f t="shared" si="158"/>
        <v>38940</v>
      </c>
      <c r="V377" s="721"/>
      <c r="W377" s="722">
        <f t="shared" si="159"/>
        <v>0</v>
      </c>
      <c r="X377" s="722">
        <f t="shared" si="160"/>
        <v>38940</v>
      </c>
      <c r="Y377" s="724">
        <f t="shared" si="161"/>
        <v>0</v>
      </c>
      <c r="Z377" s="721">
        <f t="shared" si="174"/>
        <v>1.028983000945122</v>
      </c>
      <c r="AA377" s="721">
        <v>0.14107468123861561</v>
      </c>
      <c r="AB377" s="721"/>
      <c r="AC377" s="721">
        <v>649</v>
      </c>
      <c r="AD377" s="722">
        <f t="shared" si="167"/>
        <v>38940</v>
      </c>
      <c r="AE377" s="720"/>
      <c r="AF377" s="720"/>
      <c r="AG377" s="722">
        <f t="shared" si="168"/>
        <v>0</v>
      </c>
      <c r="AH377" s="725">
        <f t="shared" si="169"/>
        <v>38940</v>
      </c>
      <c r="AI377" s="725">
        <f t="shared" si="162"/>
        <v>0</v>
      </c>
      <c r="AJ377" s="724">
        <f t="shared" si="163"/>
        <v>0</v>
      </c>
      <c r="AK377" s="726"/>
      <c r="AL377" s="720"/>
      <c r="AM377" s="720" t="e">
        <f>VLOOKUP(F377,[7]PRM!E:R,14,FALSE)</f>
        <v>#N/A</v>
      </c>
      <c r="AN377" s="720" t="e">
        <f>T377-#REF!</f>
        <v>#REF!</v>
      </c>
      <c r="AO377" s="727"/>
    </row>
    <row r="378" spans="2:41" s="609" customFormat="1" ht="14" hidden="1">
      <c r="B378" s="720">
        <v>2605</v>
      </c>
      <c r="C378" s="720" t="s">
        <v>23</v>
      </c>
      <c r="D378" s="720" t="s">
        <v>323</v>
      </c>
      <c r="E378" s="720"/>
      <c r="F378" s="720" t="s">
        <v>475</v>
      </c>
      <c r="G378" s="720"/>
      <c r="H378" s="720"/>
      <c r="I378" s="720" t="s">
        <v>764</v>
      </c>
      <c r="J378" s="720" t="s">
        <v>86</v>
      </c>
      <c r="K378" s="720" t="s">
        <v>286</v>
      </c>
      <c r="L378" s="720">
        <v>12</v>
      </c>
      <c r="M378" s="721">
        <v>749</v>
      </c>
      <c r="N378" s="722">
        <f t="shared" si="179"/>
        <v>44940</v>
      </c>
      <c r="O378" s="721">
        <v>12</v>
      </c>
      <c r="P378" s="723" t="str">
        <f>IFERROR(_xlfn.XLOOKUP(F378,'[4]By Model'!$A:$A,'[4]By Model'!$K:$K),"")</f>
        <v/>
      </c>
      <c r="Q378" s="721" t="str">
        <f>IFERROR(_xlfn.XLOOKUP(F378,'[5]By Model'!$A:$A,'[5]By Model'!$B:$B),"")</f>
        <v/>
      </c>
      <c r="R378" s="721" t="str">
        <f>IFERROR(_xlfn.XLOOKUP(F378,'[5]By Model'!$A:$A,'[5]By Model'!$I:$I),"")</f>
        <v/>
      </c>
      <c r="S378" s="721" t="str">
        <f>IFERROR(_xlfn.XLOOKUP(F378,[6]Sum!$G:$G,[6]Sum!$AM:$AM),"")</f>
        <v/>
      </c>
      <c r="T378" s="721">
        <v>749</v>
      </c>
      <c r="U378" s="722">
        <f t="shared" si="158"/>
        <v>44940</v>
      </c>
      <c r="V378" s="721"/>
      <c r="W378" s="722">
        <f t="shared" si="159"/>
        <v>0</v>
      </c>
      <c r="X378" s="722">
        <f t="shared" si="160"/>
        <v>44940</v>
      </c>
      <c r="Y378" s="724">
        <f t="shared" si="161"/>
        <v>0</v>
      </c>
      <c r="Z378" s="721" t="str">
        <f t="shared" si="174"/>
        <v/>
      </c>
      <c r="AA378" s="721">
        <v>0.17704160246533132</v>
      </c>
      <c r="AB378" s="721"/>
      <c r="AC378" s="721">
        <v>749</v>
      </c>
      <c r="AD378" s="722">
        <f t="shared" si="167"/>
        <v>44940</v>
      </c>
      <c r="AE378" s="720"/>
      <c r="AF378" s="720"/>
      <c r="AG378" s="722">
        <f t="shared" si="168"/>
        <v>0</v>
      </c>
      <c r="AH378" s="725">
        <f t="shared" si="169"/>
        <v>44940</v>
      </c>
      <c r="AI378" s="725">
        <f t="shared" si="162"/>
        <v>0</v>
      </c>
      <c r="AJ378" s="724">
        <f t="shared" si="163"/>
        <v>0</v>
      </c>
      <c r="AK378" s="726"/>
      <c r="AL378" s="720"/>
      <c r="AM378" s="720" t="e">
        <f>VLOOKUP(F378,[7]PRM!E:R,14,FALSE)</f>
        <v>#N/A</v>
      </c>
      <c r="AN378" s="720" t="e">
        <f>T378-#REF!</f>
        <v>#REF!</v>
      </c>
      <c r="AO378" s="727"/>
    </row>
    <row r="379" spans="2:41" s="609" customFormat="1" ht="14" hidden="1">
      <c r="B379" s="720">
        <v>2605</v>
      </c>
      <c r="C379" s="720" t="s">
        <v>23</v>
      </c>
      <c r="D379" s="720" t="s">
        <v>323</v>
      </c>
      <c r="E379" s="720"/>
      <c r="F379" s="720" t="s">
        <v>475</v>
      </c>
      <c r="G379" s="720"/>
      <c r="H379" s="720"/>
      <c r="I379" s="720" t="s">
        <v>764</v>
      </c>
      <c r="J379" s="720" t="s">
        <v>86</v>
      </c>
      <c r="K379" s="720" t="s">
        <v>286</v>
      </c>
      <c r="L379" s="720">
        <v>6</v>
      </c>
      <c r="M379" s="721">
        <v>849</v>
      </c>
      <c r="N379" s="722">
        <f t="shared" si="179"/>
        <v>50940</v>
      </c>
      <c r="O379" s="721">
        <v>6</v>
      </c>
      <c r="P379" s="723" t="str">
        <f>IFERROR(_xlfn.XLOOKUP(F379,'[4]By Model'!$A:$A,'[4]By Model'!$K:$K),"")</f>
        <v/>
      </c>
      <c r="Q379" s="721" t="str">
        <f>IFERROR(_xlfn.XLOOKUP(F379,'[5]By Model'!$A:$A,'[5]By Model'!$B:$B),"")</f>
        <v/>
      </c>
      <c r="R379" s="721" t="str">
        <f>IFERROR(_xlfn.XLOOKUP(F379,'[5]By Model'!$A:$A,'[5]By Model'!$I:$I),"")</f>
        <v/>
      </c>
      <c r="S379" s="721" t="str">
        <f>IFERROR(_xlfn.XLOOKUP(F379,[6]Sum!$G:$G,[6]Sum!$AM:$AM),"")</f>
        <v/>
      </c>
      <c r="T379" s="721">
        <v>849</v>
      </c>
      <c r="U379" s="722">
        <f t="shared" si="158"/>
        <v>50940</v>
      </c>
      <c r="V379" s="721"/>
      <c r="W379" s="722">
        <f t="shared" si="159"/>
        <v>0</v>
      </c>
      <c r="X379" s="722">
        <f t="shared" si="160"/>
        <v>50940</v>
      </c>
      <c r="Y379" s="724">
        <f t="shared" si="161"/>
        <v>0</v>
      </c>
      <c r="Z379" s="721" t="str">
        <f t="shared" si="174"/>
        <v/>
      </c>
      <c r="AA379" s="721">
        <v>0.16675567423230978</v>
      </c>
      <c r="AB379" s="721"/>
      <c r="AC379" s="721">
        <v>849</v>
      </c>
      <c r="AD379" s="722">
        <f t="shared" si="167"/>
        <v>50940</v>
      </c>
      <c r="AE379" s="720"/>
      <c r="AF379" s="720"/>
      <c r="AG379" s="722">
        <f t="shared" si="168"/>
        <v>0</v>
      </c>
      <c r="AH379" s="725">
        <f t="shared" si="169"/>
        <v>50940</v>
      </c>
      <c r="AI379" s="725">
        <f t="shared" si="162"/>
        <v>0</v>
      </c>
      <c r="AJ379" s="724">
        <f t="shared" si="163"/>
        <v>0</v>
      </c>
      <c r="AK379" s="726"/>
      <c r="AL379" s="720"/>
      <c r="AM379" s="720" t="e">
        <f>VLOOKUP(F379,[7]PRM!E:R,14,FALSE)</f>
        <v>#N/A</v>
      </c>
      <c r="AN379" s="720" t="e">
        <f>T379-#REF!</f>
        <v>#REF!</v>
      </c>
      <c r="AO379" s="727"/>
    </row>
    <row r="380" spans="2:41" s="609" customFormat="1" ht="14" hidden="1">
      <c r="B380" s="720">
        <v>2605</v>
      </c>
      <c r="C380" s="720" t="s">
        <v>23</v>
      </c>
      <c r="D380" s="720" t="s">
        <v>323</v>
      </c>
      <c r="E380" s="720"/>
      <c r="F380" s="720" t="s">
        <v>476</v>
      </c>
      <c r="G380" s="720"/>
      <c r="H380" s="720"/>
      <c r="I380" s="720" t="s">
        <v>764</v>
      </c>
      <c r="J380" s="720" t="s">
        <v>86</v>
      </c>
      <c r="K380" s="720" t="s">
        <v>286</v>
      </c>
      <c r="L380" s="720">
        <v>12</v>
      </c>
      <c r="M380" s="721">
        <v>899</v>
      </c>
      <c r="N380" s="722">
        <f t="shared" si="179"/>
        <v>53940</v>
      </c>
      <c r="O380" s="721">
        <v>12</v>
      </c>
      <c r="P380" s="723">
        <f>IFERROR(_xlfn.XLOOKUP(F380,'[4]By Model'!$A:$A,'[4]By Model'!$K:$K),"")</f>
        <v>0.4517623809708245</v>
      </c>
      <c r="Q380" s="721" t="str">
        <f>IFERROR(_xlfn.XLOOKUP(F380,'[5]By Model'!$A:$A,'[5]By Model'!$B:$B),"")</f>
        <v/>
      </c>
      <c r="R380" s="721" t="str">
        <f>IFERROR(_xlfn.XLOOKUP(F380,'[5]By Model'!$A:$A,'[5]By Model'!$I:$I),"")</f>
        <v/>
      </c>
      <c r="S380" s="721" t="str">
        <f>IFERROR(_xlfn.XLOOKUP(F380,[6]Sum!$G:$G,[6]Sum!$AM:$AM),"")</f>
        <v/>
      </c>
      <c r="T380" s="721">
        <v>899</v>
      </c>
      <c r="U380" s="722">
        <f t="shared" si="158"/>
        <v>53940</v>
      </c>
      <c r="V380" s="721"/>
      <c r="W380" s="722">
        <f t="shared" si="159"/>
        <v>0</v>
      </c>
      <c r="X380" s="722">
        <f t="shared" si="160"/>
        <v>53940</v>
      </c>
      <c r="Y380" s="724">
        <f t="shared" si="161"/>
        <v>0</v>
      </c>
      <c r="Z380" s="721">
        <f t="shared" si="174"/>
        <v>0.4517623809708245</v>
      </c>
      <c r="AA380" s="721"/>
      <c r="AB380" s="721"/>
      <c r="AC380" s="721">
        <v>899</v>
      </c>
      <c r="AD380" s="722">
        <f t="shared" si="167"/>
        <v>53940</v>
      </c>
      <c r="AE380" s="720"/>
      <c r="AF380" s="720"/>
      <c r="AG380" s="722">
        <f t="shared" si="168"/>
        <v>0</v>
      </c>
      <c r="AH380" s="725">
        <f t="shared" si="169"/>
        <v>53940</v>
      </c>
      <c r="AI380" s="725">
        <f t="shared" si="162"/>
        <v>0</v>
      </c>
      <c r="AJ380" s="724">
        <f t="shared" si="163"/>
        <v>0</v>
      </c>
      <c r="AK380" s="726"/>
      <c r="AL380" s="720"/>
      <c r="AM380" s="720"/>
      <c r="AN380" s="720"/>
      <c r="AO380" s="727"/>
    </row>
    <row r="381" spans="2:41" s="609" customFormat="1" ht="14" hidden="1">
      <c r="B381" s="720">
        <v>2605</v>
      </c>
      <c r="C381" s="720" t="s">
        <v>23</v>
      </c>
      <c r="D381" s="720" t="s">
        <v>323</v>
      </c>
      <c r="E381" s="720"/>
      <c r="F381" s="720" t="s">
        <v>476</v>
      </c>
      <c r="G381" s="720"/>
      <c r="H381" s="720"/>
      <c r="I381" s="720" t="s">
        <v>764</v>
      </c>
      <c r="J381" s="720" t="s">
        <v>86</v>
      </c>
      <c r="K381" s="720" t="s">
        <v>286</v>
      </c>
      <c r="L381" s="720">
        <v>6</v>
      </c>
      <c r="M381" s="721">
        <v>999</v>
      </c>
      <c r="N381" s="722">
        <f t="shared" si="179"/>
        <v>59940</v>
      </c>
      <c r="O381" s="721">
        <v>6</v>
      </c>
      <c r="P381" s="723">
        <f>IFERROR(_xlfn.XLOOKUP(F381,'[4]By Model'!$A:$A,'[4]By Model'!$K:$K),"")</f>
        <v>0.4517623809708245</v>
      </c>
      <c r="Q381" s="721" t="str">
        <f>IFERROR(_xlfn.XLOOKUP(F381,'[5]By Model'!$A:$A,'[5]By Model'!$B:$B),"")</f>
        <v/>
      </c>
      <c r="R381" s="721" t="str">
        <f>IFERROR(_xlfn.XLOOKUP(F381,'[5]By Model'!$A:$A,'[5]By Model'!$I:$I),"")</f>
        <v/>
      </c>
      <c r="S381" s="721" t="str">
        <f>IFERROR(_xlfn.XLOOKUP(F381,[6]Sum!$G:$G,[6]Sum!$AM:$AM),"")</f>
        <v/>
      </c>
      <c r="T381" s="721">
        <v>999</v>
      </c>
      <c r="U381" s="722">
        <f t="shared" si="158"/>
        <v>59940</v>
      </c>
      <c r="V381" s="721"/>
      <c r="W381" s="722">
        <f t="shared" si="159"/>
        <v>0</v>
      </c>
      <c r="X381" s="722">
        <f t="shared" si="160"/>
        <v>59940</v>
      </c>
      <c r="Y381" s="724">
        <f t="shared" si="161"/>
        <v>0</v>
      </c>
      <c r="Z381" s="721">
        <f t="shared" si="174"/>
        <v>0.4517623809708245</v>
      </c>
      <c r="AA381" s="721"/>
      <c r="AB381" s="721"/>
      <c r="AC381" s="721">
        <v>999</v>
      </c>
      <c r="AD381" s="722">
        <f t="shared" si="167"/>
        <v>59940</v>
      </c>
      <c r="AE381" s="720"/>
      <c r="AF381" s="720"/>
      <c r="AG381" s="722">
        <f t="shared" si="168"/>
        <v>0</v>
      </c>
      <c r="AH381" s="725">
        <f t="shared" si="169"/>
        <v>59940</v>
      </c>
      <c r="AI381" s="725">
        <f t="shared" si="162"/>
        <v>0</v>
      </c>
      <c r="AJ381" s="724">
        <f t="shared" si="163"/>
        <v>0</v>
      </c>
      <c r="AK381" s="726"/>
      <c r="AL381" s="720"/>
      <c r="AM381" s="720"/>
      <c r="AN381" s="720"/>
      <c r="AO381" s="727"/>
    </row>
    <row r="382" spans="2:41" s="609" customFormat="1" ht="14" hidden="1">
      <c r="B382" s="720">
        <v>2605</v>
      </c>
      <c r="C382" s="720" t="s">
        <v>44</v>
      </c>
      <c r="D382" s="720" t="s">
        <v>323</v>
      </c>
      <c r="E382" s="720" t="s">
        <v>271</v>
      </c>
      <c r="F382" s="720" t="s">
        <v>376</v>
      </c>
      <c r="G382" s="720"/>
      <c r="H382" s="720"/>
      <c r="I382" s="720"/>
      <c r="J382" s="720" t="s">
        <v>86</v>
      </c>
      <c r="K382" s="720" t="s">
        <v>215</v>
      </c>
      <c r="L382" s="720" t="s">
        <v>760</v>
      </c>
      <c r="M382" s="721">
        <v>69</v>
      </c>
      <c r="N382" s="722">
        <f t="shared" si="179"/>
        <v>4140</v>
      </c>
      <c r="O382" s="721" t="s">
        <v>760</v>
      </c>
      <c r="P382" s="723" t="str">
        <f>IFERROR(_xlfn.XLOOKUP(F382,'[4]By Model'!$A:$A,'[4]By Model'!$K:$K),"")</f>
        <v/>
      </c>
      <c r="Q382" s="721">
        <f>IFERROR(_xlfn.XLOOKUP(F382,'[5]By Model'!$A:$A,'[5]By Model'!$B:$B),"")</f>
        <v>0</v>
      </c>
      <c r="R382" s="721" t="str">
        <f>IFERROR(_xlfn.XLOOKUP(F382,'[5]By Model'!$A:$A,'[5]By Model'!$I:$I),"")</f>
        <v/>
      </c>
      <c r="S382" s="721" t="str">
        <f>IFERROR(_xlfn.XLOOKUP(F382,[6]Sum!$G:$G,[6]Sum!$AM:$AM),"")</f>
        <v/>
      </c>
      <c r="T382" s="721">
        <v>69</v>
      </c>
      <c r="U382" s="722">
        <f t="shared" si="158"/>
        <v>4140</v>
      </c>
      <c r="V382" s="721"/>
      <c r="W382" s="722">
        <f t="shared" si="159"/>
        <v>0</v>
      </c>
      <c r="X382" s="722">
        <f t="shared" si="160"/>
        <v>4140</v>
      </c>
      <c r="Y382" s="724">
        <f t="shared" si="161"/>
        <v>0</v>
      </c>
      <c r="Z382" s="721" t="str">
        <f t="shared" si="174"/>
        <v/>
      </c>
      <c r="AA382" s="721">
        <v>-6.3721749799875466E-2</v>
      </c>
      <c r="AB382" s="721"/>
      <c r="AC382" s="721">
        <v>69</v>
      </c>
      <c r="AD382" s="722">
        <f t="shared" si="167"/>
        <v>4140</v>
      </c>
      <c r="AE382" s="720"/>
      <c r="AF382" s="720"/>
      <c r="AG382" s="722">
        <f t="shared" si="168"/>
        <v>0</v>
      </c>
      <c r="AH382" s="725">
        <f t="shared" si="169"/>
        <v>4140</v>
      </c>
      <c r="AI382" s="725">
        <f t="shared" si="162"/>
        <v>0</v>
      </c>
      <c r="AJ382" s="724">
        <f t="shared" si="163"/>
        <v>0</v>
      </c>
      <c r="AK382" s="726"/>
      <c r="AL382" s="720"/>
      <c r="AM382" s="720" t="e">
        <f>VLOOKUP(F382,[7]PRM!E:R,14,FALSE)</f>
        <v>#N/A</v>
      </c>
      <c r="AN382" s="720" t="e">
        <f>T382-#REF!</f>
        <v>#REF!</v>
      </c>
      <c r="AO382" s="727"/>
    </row>
    <row r="383" spans="2:41" s="609" customFormat="1" ht="14" hidden="1">
      <c r="B383" s="720">
        <v>2605</v>
      </c>
      <c r="C383" s="720" t="s">
        <v>285</v>
      </c>
      <c r="D383" s="720" t="s">
        <v>323</v>
      </c>
      <c r="E383" s="720"/>
      <c r="F383" s="720" t="s">
        <v>372</v>
      </c>
      <c r="G383" s="720"/>
      <c r="H383" s="720"/>
      <c r="I383" s="720" t="s">
        <v>764</v>
      </c>
      <c r="J383" s="720" t="s">
        <v>86</v>
      </c>
      <c r="K383" s="720" t="s">
        <v>286</v>
      </c>
      <c r="L383" s="720">
        <v>12</v>
      </c>
      <c r="M383" s="721">
        <v>549</v>
      </c>
      <c r="N383" s="722">
        <f t="shared" si="179"/>
        <v>32940</v>
      </c>
      <c r="O383" s="721">
        <v>12</v>
      </c>
      <c r="P383" s="723">
        <f>IFERROR(_xlfn.XLOOKUP(F383,'[4]By Model'!$A:$A,'[4]By Model'!$K:$K),"")</f>
        <v>0.54930852992782242</v>
      </c>
      <c r="Q383" s="721">
        <f>IFERROR(_xlfn.XLOOKUP(F383,'[5]By Model'!$A:$A,'[5]By Model'!$B:$B),"")</f>
        <v>46</v>
      </c>
      <c r="R383" s="721">
        <f>IFERROR(_xlfn.XLOOKUP(F383,'[5]By Model'!$A:$A,'[5]By Model'!$I:$I),"")</f>
        <v>541.03978260869565</v>
      </c>
      <c r="S383" s="721" t="str">
        <f>IFERROR(_xlfn.XLOOKUP(F383,[6]Sum!$G:$G,[6]Sum!$AM:$AM),"")</f>
        <v/>
      </c>
      <c r="T383" s="721">
        <v>449</v>
      </c>
      <c r="U383" s="722">
        <f t="shared" si="158"/>
        <v>26940</v>
      </c>
      <c r="V383" s="721"/>
      <c r="W383" s="722">
        <f t="shared" si="159"/>
        <v>0</v>
      </c>
      <c r="X383" s="722">
        <f t="shared" si="160"/>
        <v>26940</v>
      </c>
      <c r="Y383" s="724">
        <f t="shared" si="161"/>
        <v>-0.18214936247723135</v>
      </c>
      <c r="Z383" s="721">
        <f t="shared" si="174"/>
        <v>0.45823384868920675</v>
      </c>
      <c r="AA383" s="721">
        <v>0.28968731521136259</v>
      </c>
      <c r="AB383" s="721"/>
      <c r="AC383" s="721">
        <v>449</v>
      </c>
      <c r="AD383" s="722">
        <f t="shared" si="167"/>
        <v>26940</v>
      </c>
      <c r="AE383" s="720"/>
      <c r="AF383" s="720"/>
      <c r="AG383" s="722">
        <f t="shared" si="168"/>
        <v>0</v>
      </c>
      <c r="AH383" s="725">
        <f t="shared" si="169"/>
        <v>26940</v>
      </c>
      <c r="AI383" s="725">
        <f t="shared" si="162"/>
        <v>0</v>
      </c>
      <c r="AJ383" s="724">
        <f t="shared" si="163"/>
        <v>0</v>
      </c>
      <c r="AK383" s="726"/>
      <c r="AL383" s="720"/>
      <c r="AM383" s="720" t="e">
        <f>VLOOKUP(F383,[7]PRM!E:R,14,FALSE)</f>
        <v>#N/A</v>
      </c>
      <c r="AN383" s="720" t="e">
        <f>T383-#REF!</f>
        <v>#REF!</v>
      </c>
      <c r="AO383" s="728"/>
    </row>
    <row r="384" spans="2:41" s="609" customFormat="1" ht="14" hidden="1">
      <c r="B384" s="720">
        <v>2605</v>
      </c>
      <c r="C384" s="720" t="s">
        <v>285</v>
      </c>
      <c r="D384" s="720" t="s">
        <v>323</v>
      </c>
      <c r="E384" s="720"/>
      <c r="F384" s="720" t="s">
        <v>287</v>
      </c>
      <c r="G384" s="720"/>
      <c r="H384" s="720"/>
      <c r="I384" s="720" t="s">
        <v>764</v>
      </c>
      <c r="J384" s="720" t="s">
        <v>86</v>
      </c>
      <c r="K384" s="720" t="s">
        <v>288</v>
      </c>
      <c r="L384" s="720">
        <v>12</v>
      </c>
      <c r="M384" s="721">
        <v>499</v>
      </c>
      <c r="N384" s="722">
        <f t="shared" si="179"/>
        <v>29940</v>
      </c>
      <c r="O384" s="721">
        <v>12</v>
      </c>
      <c r="P384" s="723" t="str">
        <f>IFERROR(_xlfn.XLOOKUP(F384,'[4]By Model'!$A:$A,'[4]By Model'!$K:$K),"")</f>
        <v/>
      </c>
      <c r="Q384" s="721" t="str">
        <f>IFERROR(_xlfn.XLOOKUP(F384,'[5]By Model'!$A:$A,'[5]By Model'!$B:$B),"")</f>
        <v/>
      </c>
      <c r="R384" s="721" t="str">
        <f>IFERROR(_xlfn.XLOOKUP(F384,'[5]By Model'!$A:$A,'[5]By Model'!$I:$I),"")</f>
        <v/>
      </c>
      <c r="S384" s="721" t="str">
        <f>IFERROR(_xlfn.XLOOKUP(F384,[6]Sum!$G:$G,[6]Sum!$AM:$AM),"")</f>
        <v/>
      </c>
      <c r="T384" s="721">
        <v>499</v>
      </c>
      <c r="U384" s="722">
        <f t="shared" si="158"/>
        <v>29940</v>
      </c>
      <c r="V384" s="721"/>
      <c r="W384" s="722">
        <f t="shared" si="159"/>
        <v>0</v>
      </c>
      <c r="X384" s="722">
        <f t="shared" si="160"/>
        <v>29940</v>
      </c>
      <c r="Y384" s="724">
        <f t="shared" si="161"/>
        <v>0</v>
      </c>
      <c r="Z384" s="721" t="str">
        <f t="shared" si="174"/>
        <v/>
      </c>
      <c r="AA384" s="721">
        <v>0.32046995099952313</v>
      </c>
      <c r="AB384" s="721"/>
      <c r="AC384" s="721">
        <v>499</v>
      </c>
      <c r="AD384" s="722">
        <f t="shared" si="167"/>
        <v>29940</v>
      </c>
      <c r="AE384" s="720"/>
      <c r="AF384" s="720"/>
      <c r="AG384" s="722">
        <f t="shared" si="168"/>
        <v>0</v>
      </c>
      <c r="AH384" s="725">
        <f t="shared" si="169"/>
        <v>29940</v>
      </c>
      <c r="AI384" s="725">
        <f t="shared" si="162"/>
        <v>0</v>
      </c>
      <c r="AJ384" s="724">
        <f t="shared" si="163"/>
        <v>0</v>
      </c>
      <c r="AK384" s="726"/>
      <c r="AL384" s="720"/>
      <c r="AM384" s="720">
        <f>VLOOKUP(F384,[7]PRM!E:R,14,FALSE)</f>
        <v>2602</v>
      </c>
      <c r="AN384" s="720" t="e">
        <f>T384-#REF!</f>
        <v>#REF!</v>
      </c>
      <c r="AO384" s="728"/>
    </row>
    <row r="385" spans="1:41" s="609" customFormat="1" ht="14" hidden="1">
      <c r="B385" s="720">
        <v>2605</v>
      </c>
      <c r="C385" s="720" t="s">
        <v>258</v>
      </c>
      <c r="D385" s="720" t="s">
        <v>323</v>
      </c>
      <c r="E385" s="720" t="s">
        <v>271</v>
      </c>
      <c r="F385" s="720" t="s">
        <v>289</v>
      </c>
      <c r="G385" s="720"/>
      <c r="H385" s="720"/>
      <c r="I385" s="720" t="s">
        <v>764</v>
      </c>
      <c r="J385" s="720" t="s">
        <v>86</v>
      </c>
      <c r="K385" s="720" t="s">
        <v>215</v>
      </c>
      <c r="L385" s="720" t="s">
        <v>760</v>
      </c>
      <c r="M385" s="721">
        <v>69</v>
      </c>
      <c r="N385" s="722">
        <f t="shared" si="179"/>
        <v>4140</v>
      </c>
      <c r="O385" s="721" t="s">
        <v>760</v>
      </c>
      <c r="P385" s="723" t="str">
        <f>IFERROR(_xlfn.XLOOKUP(F385,'[4]By Model'!$A:$A,'[4]By Model'!$K:$K),"")</f>
        <v/>
      </c>
      <c r="Q385" s="721" t="str">
        <f>IFERROR(_xlfn.XLOOKUP(F385,'[5]By Model'!$A:$A,'[5]By Model'!$B:$B),"")</f>
        <v/>
      </c>
      <c r="R385" s="721" t="str">
        <f>IFERROR(_xlfn.XLOOKUP(F385,'[5]By Model'!$A:$A,'[5]By Model'!$I:$I),"")</f>
        <v/>
      </c>
      <c r="S385" s="721" t="str">
        <f>IFERROR(_xlfn.XLOOKUP(F385,[6]Sum!$G:$G,[6]Sum!$AM:$AM),"")</f>
        <v/>
      </c>
      <c r="T385" s="721">
        <v>69</v>
      </c>
      <c r="U385" s="722">
        <f t="shared" si="158"/>
        <v>4140</v>
      </c>
      <c r="V385" s="721"/>
      <c r="W385" s="722">
        <f t="shared" si="159"/>
        <v>0</v>
      </c>
      <c r="X385" s="722">
        <f t="shared" si="160"/>
        <v>4140</v>
      </c>
      <c r="Y385" s="724">
        <f t="shared" si="161"/>
        <v>0</v>
      </c>
      <c r="Z385" s="721" t="str">
        <f t="shared" si="174"/>
        <v/>
      </c>
      <c r="AA385" s="721"/>
      <c r="AB385" s="721"/>
      <c r="AC385" s="721">
        <v>69</v>
      </c>
      <c r="AD385" s="722">
        <f t="shared" si="167"/>
        <v>4140</v>
      </c>
      <c r="AE385" s="720"/>
      <c r="AF385" s="720"/>
      <c r="AG385" s="722">
        <f t="shared" si="168"/>
        <v>0</v>
      </c>
      <c r="AH385" s="725">
        <f t="shared" si="169"/>
        <v>4140</v>
      </c>
      <c r="AI385" s="725">
        <f t="shared" si="162"/>
        <v>0</v>
      </c>
      <c r="AJ385" s="724">
        <f t="shared" si="163"/>
        <v>0</v>
      </c>
      <c r="AK385" s="726"/>
      <c r="AL385" s="720"/>
      <c r="AM385" s="720"/>
      <c r="AN385" s="720"/>
      <c r="AO385" s="727"/>
    </row>
    <row r="386" spans="1:41" s="436" customFormat="1" ht="14">
      <c r="A386" s="609"/>
      <c r="B386" s="720">
        <v>2605</v>
      </c>
      <c r="C386" s="720" t="s">
        <v>211</v>
      </c>
      <c r="D386" s="720" t="s">
        <v>323</v>
      </c>
      <c r="E386" s="720"/>
      <c r="F386" s="720" t="s">
        <v>55</v>
      </c>
      <c r="G386" s="720"/>
      <c r="H386" s="720"/>
      <c r="I386" s="720"/>
      <c r="J386" s="720" t="s">
        <v>86</v>
      </c>
      <c r="K386" s="720" t="s">
        <v>286</v>
      </c>
      <c r="L386" s="720">
        <v>12</v>
      </c>
      <c r="M386" s="721">
        <v>1599</v>
      </c>
      <c r="N386" s="722">
        <f t="shared" si="179"/>
        <v>95940</v>
      </c>
      <c r="O386" s="721">
        <v>12</v>
      </c>
      <c r="P386" s="723">
        <f>IFERROR(_xlfn.XLOOKUP(F386,'[4]By Model'!$A:$A,'[4]By Model'!$K:$K),"")</f>
        <v>0.21154125799705098</v>
      </c>
      <c r="Q386" s="721">
        <f>IFERROR(_xlfn.XLOOKUP(F386,'[5]By Model'!$A:$A,'[5]By Model'!$B:$B),"")</f>
        <v>95</v>
      </c>
      <c r="R386" s="721">
        <f>IFERROR(_xlfn.XLOOKUP(F386,'[5]By Model'!$A:$A,'[5]By Model'!$I:$I),"")</f>
        <v>1918.9357894736841</v>
      </c>
      <c r="S386" s="721">
        <f>IFERROR(_xlfn.XLOOKUP(F386,[6]Sum!$G:$G,[6]Sum!$AM:$AM),"")</f>
        <v>16</v>
      </c>
      <c r="T386" s="721">
        <v>1599</v>
      </c>
      <c r="U386" s="722">
        <f t="shared" si="158"/>
        <v>95940</v>
      </c>
      <c r="V386" s="721">
        <v>6</v>
      </c>
      <c r="W386" s="722">
        <f t="shared" si="159"/>
        <v>4797</v>
      </c>
      <c r="X386" s="722">
        <f t="shared" si="160"/>
        <v>91143</v>
      </c>
      <c r="Y386" s="724">
        <f t="shared" si="161"/>
        <v>-5.0000000000000044E-2</v>
      </c>
      <c r="Z386" s="721">
        <f t="shared" si="174"/>
        <v>0.18654125799705096</v>
      </c>
      <c r="AA386" s="721">
        <v>0.3202733989866281</v>
      </c>
      <c r="AB386" s="721"/>
      <c r="AC386" s="721">
        <v>1599</v>
      </c>
      <c r="AD386" s="722">
        <f t="shared" si="167"/>
        <v>95940</v>
      </c>
      <c r="AE386" s="720"/>
      <c r="AF386" s="720">
        <v>6</v>
      </c>
      <c r="AG386" s="722">
        <f t="shared" si="168"/>
        <v>4797</v>
      </c>
      <c r="AH386" s="725">
        <f t="shared" si="169"/>
        <v>91143</v>
      </c>
      <c r="AI386" s="725">
        <f t="shared" si="162"/>
        <v>0</v>
      </c>
      <c r="AJ386" s="724">
        <f t="shared" si="163"/>
        <v>0</v>
      </c>
      <c r="AK386" s="726">
        <f t="shared" ref="AK386:AK401" si="206">IFERROR(Z386+AJ386*0.5,"")</f>
        <v>0.18654125799705096</v>
      </c>
      <c r="AL386" s="720"/>
      <c r="AM386" s="720" t="e">
        <f>VLOOKUP(F386,[7]PRM!E:R,14,FALSE)</f>
        <v>#N/A</v>
      </c>
      <c r="AN386" s="720" t="e">
        <f>T386-#REF!</f>
        <v>#REF!</v>
      </c>
      <c r="AO386" s="727"/>
    </row>
    <row r="387" spans="1:41" s="436" customFormat="1" ht="14">
      <c r="A387" s="609"/>
      <c r="B387" s="720">
        <v>2605</v>
      </c>
      <c r="C387" s="720" t="s">
        <v>211</v>
      </c>
      <c r="D387" s="720" t="s">
        <v>323</v>
      </c>
      <c r="E387" s="720"/>
      <c r="F387" s="720" t="s">
        <v>55</v>
      </c>
      <c r="G387" s="720"/>
      <c r="H387" s="720"/>
      <c r="I387" s="720"/>
      <c r="J387" s="720" t="s">
        <v>86</v>
      </c>
      <c r="K387" s="720" t="s">
        <v>288</v>
      </c>
      <c r="L387" s="720">
        <v>12</v>
      </c>
      <c r="M387" s="721">
        <v>1499</v>
      </c>
      <c r="N387" s="722">
        <f t="shared" si="179"/>
        <v>89940</v>
      </c>
      <c r="O387" s="721">
        <v>12</v>
      </c>
      <c r="P387" s="723">
        <f>IFERROR(_xlfn.XLOOKUP(F387,'[4]By Model'!$A:$A,'[4]By Model'!$K:$K),"")</f>
        <v>0.21154125799705098</v>
      </c>
      <c r="Q387" s="721">
        <f>IFERROR(_xlfn.XLOOKUP(F387,'[5]By Model'!$A:$A,'[5]By Model'!$B:$B),"")</f>
        <v>95</v>
      </c>
      <c r="R387" s="721">
        <f>IFERROR(_xlfn.XLOOKUP(F387,'[5]By Model'!$A:$A,'[5]By Model'!$I:$I),"")</f>
        <v>1918.9357894736841</v>
      </c>
      <c r="S387" s="721">
        <f>IFERROR(_xlfn.XLOOKUP(F387,[6]Sum!$G:$G,[6]Sum!$AM:$AM),"")</f>
        <v>16</v>
      </c>
      <c r="T387" s="721">
        <v>1499</v>
      </c>
      <c r="U387" s="722">
        <f t="shared" ref="U387:U401" si="207">T387*LEFT(J387,1)*12</f>
        <v>89940</v>
      </c>
      <c r="V387" s="721">
        <v>6</v>
      </c>
      <c r="W387" s="722">
        <f t="shared" ref="W387:W401" si="208">V387*T387*0.5</f>
        <v>4497</v>
      </c>
      <c r="X387" s="722">
        <f t="shared" ref="X387:X401" si="209">U387-W387</f>
        <v>85443</v>
      </c>
      <c r="Y387" s="724">
        <f t="shared" ref="Y387:Y401" si="210">X387/N387-1</f>
        <v>-5.0000000000000044E-2</v>
      </c>
      <c r="Z387" s="721">
        <f t="shared" si="174"/>
        <v>0.18654125799705096</v>
      </c>
      <c r="AA387" s="721">
        <v>0.32424260997575394</v>
      </c>
      <c r="AB387" s="721"/>
      <c r="AC387" s="721">
        <v>1499</v>
      </c>
      <c r="AD387" s="722">
        <f t="shared" si="167"/>
        <v>89940</v>
      </c>
      <c r="AE387" s="720"/>
      <c r="AF387" s="720">
        <v>6</v>
      </c>
      <c r="AG387" s="722">
        <f t="shared" si="168"/>
        <v>4497</v>
      </c>
      <c r="AH387" s="725">
        <f t="shared" si="169"/>
        <v>85443</v>
      </c>
      <c r="AI387" s="725">
        <f t="shared" ref="AI387:AI401" si="211">AH387-X387</f>
        <v>0</v>
      </c>
      <c r="AJ387" s="724">
        <f t="shared" ref="AJ387:AJ401" si="212">AI387/X387</f>
        <v>0</v>
      </c>
      <c r="AK387" s="726">
        <f t="shared" si="206"/>
        <v>0.18654125799705096</v>
      </c>
      <c r="AL387" s="720"/>
      <c r="AM387" s="720" t="e">
        <f>VLOOKUP(F387,[7]PRM!E:R,14,FALSE)</f>
        <v>#N/A</v>
      </c>
      <c r="AN387" s="720" t="e">
        <f>T387-#REF!</f>
        <v>#REF!</v>
      </c>
      <c r="AO387" s="727"/>
    </row>
    <row r="388" spans="1:41" s="436" customFormat="1" ht="14">
      <c r="A388" s="609"/>
      <c r="B388" s="720">
        <v>2605</v>
      </c>
      <c r="C388" s="720" t="s">
        <v>211</v>
      </c>
      <c r="D388" s="720" t="s">
        <v>323</v>
      </c>
      <c r="E388" s="720"/>
      <c r="F388" s="720" t="s">
        <v>55</v>
      </c>
      <c r="G388" s="720"/>
      <c r="H388" s="720"/>
      <c r="I388" s="720"/>
      <c r="J388" s="720" t="s">
        <v>209</v>
      </c>
      <c r="K388" s="720" t="s">
        <v>286</v>
      </c>
      <c r="L388" s="720">
        <v>12</v>
      </c>
      <c r="M388" s="721">
        <v>1399</v>
      </c>
      <c r="N388" s="722">
        <f t="shared" si="179"/>
        <v>100728</v>
      </c>
      <c r="O388" s="721">
        <v>12</v>
      </c>
      <c r="P388" s="723">
        <f>IFERROR(_xlfn.XLOOKUP(F388,'[4]By Model'!$A:$A,'[4]By Model'!$K:$K),"")</f>
        <v>0.21154125799705098</v>
      </c>
      <c r="Q388" s="721">
        <f>IFERROR(_xlfn.XLOOKUP(F388,'[5]By Model'!$A:$A,'[5]By Model'!$B:$B),"")</f>
        <v>95</v>
      </c>
      <c r="R388" s="721">
        <f>IFERROR(_xlfn.XLOOKUP(F388,'[5]By Model'!$A:$A,'[5]By Model'!$I:$I),"")</f>
        <v>1918.9357894736841</v>
      </c>
      <c r="S388" s="721">
        <f>IFERROR(_xlfn.XLOOKUP(F388,[6]Sum!$G:$G,[6]Sum!$AM:$AM),"")</f>
        <v>16</v>
      </c>
      <c r="T388" s="721">
        <v>1399</v>
      </c>
      <c r="U388" s="722">
        <f t="shared" si="207"/>
        <v>100728</v>
      </c>
      <c r="V388" s="721">
        <v>6</v>
      </c>
      <c r="W388" s="722">
        <f t="shared" si="208"/>
        <v>4197</v>
      </c>
      <c r="X388" s="722">
        <f t="shared" si="209"/>
        <v>96531</v>
      </c>
      <c r="Y388" s="724">
        <f t="shared" si="210"/>
        <v>-4.166666666666663E-2</v>
      </c>
      <c r="Z388" s="721">
        <f t="shared" si="174"/>
        <v>0.19070792466371767</v>
      </c>
      <c r="AA388" s="721">
        <v>0.3255367743903137</v>
      </c>
      <c r="AB388" s="721"/>
      <c r="AC388" s="721">
        <v>1399</v>
      </c>
      <c r="AD388" s="722">
        <f t="shared" ref="AD388:AD401" si="213">AC388*LEFT(J388,1)*12</f>
        <v>100728</v>
      </c>
      <c r="AE388" s="720"/>
      <c r="AF388" s="720">
        <v>6</v>
      </c>
      <c r="AG388" s="722">
        <f t="shared" ref="AG388:AG401" si="214">AF388*AC388*0.5</f>
        <v>4197</v>
      </c>
      <c r="AH388" s="725">
        <f t="shared" ref="AH388:AH401" si="215">AD388-AG388</f>
        <v>96531</v>
      </c>
      <c r="AI388" s="725">
        <f t="shared" si="211"/>
        <v>0</v>
      </c>
      <c r="AJ388" s="724">
        <f t="shared" si="212"/>
        <v>0</v>
      </c>
      <c r="AK388" s="726">
        <f t="shared" si="206"/>
        <v>0.19070792466371767</v>
      </c>
      <c r="AL388" s="720"/>
      <c r="AM388" s="720" t="e">
        <f>VLOOKUP(F388,[7]PRM!E:R,14,FALSE)</f>
        <v>#N/A</v>
      </c>
      <c r="AN388" s="720" t="e">
        <f>T388-#REF!</f>
        <v>#REF!</v>
      </c>
      <c r="AO388" s="727"/>
    </row>
    <row r="389" spans="1:41" s="436" customFormat="1" ht="14">
      <c r="A389" s="609"/>
      <c r="B389" s="720">
        <v>2605</v>
      </c>
      <c r="C389" s="720" t="s">
        <v>211</v>
      </c>
      <c r="D389" s="720" t="s">
        <v>323</v>
      </c>
      <c r="E389" s="720"/>
      <c r="F389" s="720" t="s">
        <v>55</v>
      </c>
      <c r="G389" s="720"/>
      <c r="H389" s="720"/>
      <c r="I389" s="720"/>
      <c r="J389" s="720" t="s">
        <v>209</v>
      </c>
      <c r="K389" s="720" t="s">
        <v>288</v>
      </c>
      <c r="L389" s="720">
        <v>12</v>
      </c>
      <c r="M389" s="721">
        <v>1299</v>
      </c>
      <c r="N389" s="722">
        <f t="shared" si="179"/>
        <v>93528</v>
      </c>
      <c r="O389" s="721">
        <v>12</v>
      </c>
      <c r="P389" s="723">
        <f>IFERROR(_xlfn.XLOOKUP(F389,'[4]By Model'!$A:$A,'[4]By Model'!$K:$K),"")</f>
        <v>0.21154125799705098</v>
      </c>
      <c r="Q389" s="721">
        <f>IFERROR(_xlfn.XLOOKUP(F389,'[5]By Model'!$A:$A,'[5]By Model'!$B:$B),"")</f>
        <v>95</v>
      </c>
      <c r="R389" s="721">
        <f>IFERROR(_xlfn.XLOOKUP(F389,'[5]By Model'!$A:$A,'[5]By Model'!$I:$I),"")</f>
        <v>1918.9357894736841</v>
      </c>
      <c r="S389" s="721">
        <f>IFERROR(_xlfn.XLOOKUP(F389,[6]Sum!$G:$G,[6]Sum!$AM:$AM),"")</f>
        <v>16</v>
      </c>
      <c r="T389" s="721">
        <v>1299</v>
      </c>
      <c r="U389" s="722">
        <f t="shared" si="207"/>
        <v>93528</v>
      </c>
      <c r="V389" s="721">
        <v>6</v>
      </c>
      <c r="W389" s="722">
        <f t="shared" si="208"/>
        <v>3897</v>
      </c>
      <c r="X389" s="722">
        <f t="shared" si="209"/>
        <v>89631</v>
      </c>
      <c r="Y389" s="724">
        <f t="shared" si="210"/>
        <v>-4.166666666666663E-2</v>
      </c>
      <c r="Z389" s="721">
        <f t="shared" si="174"/>
        <v>0.19070792466371767</v>
      </c>
      <c r="AA389" s="721">
        <v>0.33091220491003714</v>
      </c>
      <c r="AB389" s="721"/>
      <c r="AC389" s="721">
        <v>1299</v>
      </c>
      <c r="AD389" s="722">
        <f t="shared" si="213"/>
        <v>93528</v>
      </c>
      <c r="AE389" s="720"/>
      <c r="AF389" s="720">
        <v>6</v>
      </c>
      <c r="AG389" s="722">
        <f t="shared" si="214"/>
        <v>3897</v>
      </c>
      <c r="AH389" s="725">
        <f t="shared" si="215"/>
        <v>89631</v>
      </c>
      <c r="AI389" s="725">
        <f t="shared" si="211"/>
        <v>0</v>
      </c>
      <c r="AJ389" s="724">
        <f t="shared" si="212"/>
        <v>0</v>
      </c>
      <c r="AK389" s="726">
        <f t="shared" si="206"/>
        <v>0.19070792466371767</v>
      </c>
      <c r="AL389" s="720"/>
      <c r="AM389" s="720" t="e">
        <f>VLOOKUP(F389,[7]PRM!E:R,14,FALSE)</f>
        <v>#N/A</v>
      </c>
      <c r="AN389" s="720" t="e">
        <f>T389-#REF!</f>
        <v>#REF!</v>
      </c>
      <c r="AO389" s="727"/>
    </row>
    <row r="390" spans="1:41" s="436" customFormat="1" ht="14">
      <c r="A390" s="609"/>
      <c r="B390" s="720">
        <v>2605</v>
      </c>
      <c r="C390" s="720" t="s">
        <v>211</v>
      </c>
      <c r="D390" s="720" t="s">
        <v>323</v>
      </c>
      <c r="E390" s="720"/>
      <c r="F390" s="720" t="s">
        <v>385</v>
      </c>
      <c r="G390" s="720"/>
      <c r="H390" s="720"/>
      <c r="I390" s="720"/>
      <c r="J390" s="720" t="s">
        <v>86</v>
      </c>
      <c r="K390" s="720" t="s">
        <v>286</v>
      </c>
      <c r="L390" s="720">
        <v>12</v>
      </c>
      <c r="M390" s="721">
        <v>1599</v>
      </c>
      <c r="N390" s="722">
        <f t="shared" si="179"/>
        <v>95940</v>
      </c>
      <c r="O390" s="721">
        <v>12</v>
      </c>
      <c r="P390" s="723">
        <f>IFERROR(_xlfn.XLOOKUP(F390,'[4]By Model'!$A:$A,'[4]By Model'!$K:$K),"")</f>
        <v>0.22172904106208502</v>
      </c>
      <c r="Q390" s="721">
        <f>IFERROR(_xlfn.XLOOKUP(F390,'[5]By Model'!$A:$A,'[5]By Model'!$B:$B),"")</f>
        <v>19</v>
      </c>
      <c r="R390" s="721">
        <f>IFERROR(_xlfn.XLOOKUP(F390,'[5]By Model'!$A:$A,'[5]By Model'!$I:$I),"")</f>
        <v>1837.0721052631579</v>
      </c>
      <c r="S390" s="721" t="str">
        <f>IFERROR(_xlfn.XLOOKUP(F390,[6]Sum!$G:$G,[6]Sum!$AM:$AM),"")</f>
        <v/>
      </c>
      <c r="T390" s="721">
        <v>1599</v>
      </c>
      <c r="U390" s="722">
        <f t="shared" si="207"/>
        <v>95940</v>
      </c>
      <c r="V390" s="721">
        <v>6</v>
      </c>
      <c r="W390" s="722">
        <f t="shared" si="208"/>
        <v>4797</v>
      </c>
      <c r="X390" s="722">
        <f t="shared" si="209"/>
        <v>91143</v>
      </c>
      <c r="Y390" s="724">
        <f t="shared" si="210"/>
        <v>-5.0000000000000044E-2</v>
      </c>
      <c r="Z390" s="721">
        <f t="shared" si="174"/>
        <v>0.196729041062085</v>
      </c>
      <c r="AA390" s="721">
        <v>0.31936842186900466</v>
      </c>
      <c r="AB390" s="721"/>
      <c r="AC390" s="721">
        <v>1599</v>
      </c>
      <c r="AD390" s="722">
        <f t="shared" si="213"/>
        <v>95940</v>
      </c>
      <c r="AE390" s="720"/>
      <c r="AF390" s="720">
        <v>6</v>
      </c>
      <c r="AG390" s="722">
        <f t="shared" si="214"/>
        <v>4797</v>
      </c>
      <c r="AH390" s="725">
        <f t="shared" si="215"/>
        <v>91143</v>
      </c>
      <c r="AI390" s="725">
        <f t="shared" si="211"/>
        <v>0</v>
      </c>
      <c r="AJ390" s="724">
        <f t="shared" si="212"/>
        <v>0</v>
      </c>
      <c r="AK390" s="726">
        <f t="shared" si="206"/>
        <v>0.196729041062085</v>
      </c>
      <c r="AL390" s="720"/>
      <c r="AM390" s="720" t="e">
        <f>VLOOKUP(F390,[7]PRM!E:R,14,FALSE)</f>
        <v>#N/A</v>
      </c>
      <c r="AN390" s="720" t="e">
        <f>T390-#REF!</f>
        <v>#REF!</v>
      </c>
      <c r="AO390" s="727"/>
    </row>
    <row r="391" spans="1:41" s="436" customFormat="1" ht="14">
      <c r="A391" s="609"/>
      <c r="B391" s="720">
        <v>2605</v>
      </c>
      <c r="C391" s="720" t="s">
        <v>211</v>
      </c>
      <c r="D391" s="720" t="s">
        <v>323</v>
      </c>
      <c r="E391" s="720"/>
      <c r="F391" s="720" t="s">
        <v>385</v>
      </c>
      <c r="G391" s="720"/>
      <c r="H391" s="720"/>
      <c r="I391" s="720"/>
      <c r="J391" s="720" t="s">
        <v>86</v>
      </c>
      <c r="K391" s="720" t="s">
        <v>288</v>
      </c>
      <c r="L391" s="720">
        <v>12</v>
      </c>
      <c r="M391" s="721">
        <v>1499</v>
      </c>
      <c r="N391" s="722">
        <f t="shared" si="179"/>
        <v>89940</v>
      </c>
      <c r="O391" s="721">
        <v>12</v>
      </c>
      <c r="P391" s="723">
        <f>IFERROR(_xlfn.XLOOKUP(F391,'[4]By Model'!$A:$A,'[4]By Model'!$K:$K),"")</f>
        <v>0.22172904106208502</v>
      </c>
      <c r="Q391" s="721">
        <f>IFERROR(_xlfn.XLOOKUP(F391,'[5]By Model'!$A:$A,'[5]By Model'!$B:$B),"")</f>
        <v>19</v>
      </c>
      <c r="R391" s="721">
        <f>IFERROR(_xlfn.XLOOKUP(F391,'[5]By Model'!$A:$A,'[5]By Model'!$I:$I),"")</f>
        <v>1837.0721052631579</v>
      </c>
      <c r="S391" s="721" t="str">
        <f>IFERROR(_xlfn.XLOOKUP(F391,[6]Sum!$G:$G,[6]Sum!$AM:$AM),"")</f>
        <v/>
      </c>
      <c r="T391" s="721">
        <v>1499</v>
      </c>
      <c r="U391" s="722">
        <f t="shared" si="207"/>
        <v>89940</v>
      </c>
      <c r="V391" s="721">
        <v>6</v>
      </c>
      <c r="W391" s="722">
        <f t="shared" si="208"/>
        <v>4497</v>
      </c>
      <c r="X391" s="722">
        <f t="shared" si="209"/>
        <v>85443</v>
      </c>
      <c r="Y391" s="724">
        <f t="shared" si="210"/>
        <v>-5.0000000000000044E-2</v>
      </c>
      <c r="Z391" s="721">
        <f t="shared" si="174"/>
        <v>0.196729041062085</v>
      </c>
      <c r="AA391" s="721">
        <v>0.3233376328581305</v>
      </c>
      <c r="AB391" s="721"/>
      <c r="AC391" s="721">
        <v>1499</v>
      </c>
      <c r="AD391" s="722">
        <f t="shared" si="213"/>
        <v>89940</v>
      </c>
      <c r="AE391" s="720"/>
      <c r="AF391" s="720">
        <v>6</v>
      </c>
      <c r="AG391" s="722">
        <f t="shared" si="214"/>
        <v>4497</v>
      </c>
      <c r="AH391" s="725">
        <f t="shared" si="215"/>
        <v>85443</v>
      </c>
      <c r="AI391" s="725">
        <f t="shared" si="211"/>
        <v>0</v>
      </c>
      <c r="AJ391" s="724">
        <f t="shared" si="212"/>
        <v>0</v>
      </c>
      <c r="AK391" s="726">
        <f t="shared" si="206"/>
        <v>0.196729041062085</v>
      </c>
      <c r="AL391" s="720"/>
      <c r="AM391" s="720" t="e">
        <f>VLOOKUP(F391,[7]PRM!E:R,14,FALSE)</f>
        <v>#N/A</v>
      </c>
      <c r="AN391" s="720" t="e">
        <f>T391-#REF!</f>
        <v>#REF!</v>
      </c>
      <c r="AO391" s="727"/>
    </row>
    <row r="392" spans="1:41" s="436" customFormat="1" ht="14">
      <c r="A392" s="609"/>
      <c r="B392" s="720">
        <v>2605</v>
      </c>
      <c r="C392" s="720" t="s">
        <v>211</v>
      </c>
      <c r="D392" s="720" t="s">
        <v>323</v>
      </c>
      <c r="E392" s="720"/>
      <c r="F392" s="720" t="s">
        <v>385</v>
      </c>
      <c r="G392" s="720"/>
      <c r="H392" s="720"/>
      <c r="I392" s="720"/>
      <c r="J392" s="720" t="s">
        <v>209</v>
      </c>
      <c r="K392" s="720" t="s">
        <v>286</v>
      </c>
      <c r="L392" s="720">
        <v>12</v>
      </c>
      <c r="M392" s="721">
        <v>1399</v>
      </c>
      <c r="N392" s="722">
        <f t="shared" si="179"/>
        <v>100728</v>
      </c>
      <c r="O392" s="721">
        <v>12</v>
      </c>
      <c r="P392" s="723">
        <f>IFERROR(_xlfn.XLOOKUP(F392,'[4]By Model'!$A:$A,'[4]By Model'!$K:$K),"")</f>
        <v>0.22172904106208502</v>
      </c>
      <c r="Q392" s="721">
        <f>IFERROR(_xlfn.XLOOKUP(F392,'[5]By Model'!$A:$A,'[5]By Model'!$B:$B),"")</f>
        <v>19</v>
      </c>
      <c r="R392" s="721">
        <f>IFERROR(_xlfn.XLOOKUP(F392,'[5]By Model'!$A:$A,'[5]By Model'!$I:$I),"")</f>
        <v>1837.0721052631579</v>
      </c>
      <c r="S392" s="721" t="str">
        <f>IFERROR(_xlfn.XLOOKUP(F392,[6]Sum!$G:$G,[6]Sum!$AM:$AM),"")</f>
        <v/>
      </c>
      <c r="T392" s="721">
        <v>1399</v>
      </c>
      <c r="U392" s="722">
        <f t="shared" si="207"/>
        <v>100728</v>
      </c>
      <c r="V392" s="721">
        <v>6</v>
      </c>
      <c r="W392" s="722">
        <f t="shared" si="208"/>
        <v>4197</v>
      </c>
      <c r="X392" s="722">
        <f t="shared" si="209"/>
        <v>96531</v>
      </c>
      <c r="Y392" s="724">
        <f t="shared" si="210"/>
        <v>-4.166666666666663E-2</v>
      </c>
      <c r="Z392" s="721">
        <f t="shared" si="174"/>
        <v>0.2008957077287517</v>
      </c>
      <c r="AA392" s="721">
        <v>0.32463179727269026</v>
      </c>
      <c r="AB392" s="721"/>
      <c r="AC392" s="721">
        <v>1399</v>
      </c>
      <c r="AD392" s="722">
        <f t="shared" si="213"/>
        <v>100728</v>
      </c>
      <c r="AE392" s="720"/>
      <c r="AF392" s="720">
        <v>6</v>
      </c>
      <c r="AG392" s="722">
        <f t="shared" si="214"/>
        <v>4197</v>
      </c>
      <c r="AH392" s="725">
        <f t="shared" si="215"/>
        <v>96531</v>
      </c>
      <c r="AI392" s="725">
        <f t="shared" si="211"/>
        <v>0</v>
      </c>
      <c r="AJ392" s="724">
        <f t="shared" si="212"/>
        <v>0</v>
      </c>
      <c r="AK392" s="726">
        <f t="shared" si="206"/>
        <v>0.2008957077287517</v>
      </c>
      <c r="AL392" s="720"/>
      <c r="AM392" s="720" t="e">
        <f>VLOOKUP(F392,[7]PRM!E:R,14,FALSE)</f>
        <v>#N/A</v>
      </c>
      <c r="AN392" s="720" t="e">
        <f>T392-#REF!</f>
        <v>#REF!</v>
      </c>
      <c r="AO392" s="727"/>
    </row>
    <row r="393" spans="1:41" s="436" customFormat="1" ht="14">
      <c r="A393" s="609"/>
      <c r="B393" s="720">
        <v>2605</v>
      </c>
      <c r="C393" s="720" t="s">
        <v>211</v>
      </c>
      <c r="D393" s="720" t="s">
        <v>323</v>
      </c>
      <c r="E393" s="720"/>
      <c r="F393" s="720" t="s">
        <v>385</v>
      </c>
      <c r="G393" s="720"/>
      <c r="H393" s="720"/>
      <c r="I393" s="720"/>
      <c r="J393" s="720" t="s">
        <v>209</v>
      </c>
      <c r="K393" s="720" t="s">
        <v>288</v>
      </c>
      <c r="L393" s="720">
        <v>12</v>
      </c>
      <c r="M393" s="721">
        <v>1299</v>
      </c>
      <c r="N393" s="722">
        <f t="shared" si="179"/>
        <v>93528</v>
      </c>
      <c r="O393" s="721">
        <v>12</v>
      </c>
      <c r="P393" s="723">
        <f>IFERROR(_xlfn.XLOOKUP(F393,'[4]By Model'!$A:$A,'[4]By Model'!$K:$K),"")</f>
        <v>0.22172904106208502</v>
      </c>
      <c r="Q393" s="721">
        <f>IFERROR(_xlfn.XLOOKUP(F393,'[5]By Model'!$A:$A,'[5]By Model'!$B:$B),"")</f>
        <v>19</v>
      </c>
      <c r="R393" s="721">
        <f>IFERROR(_xlfn.XLOOKUP(F393,'[5]By Model'!$A:$A,'[5]By Model'!$I:$I),"")</f>
        <v>1837.0721052631579</v>
      </c>
      <c r="S393" s="721" t="str">
        <f>IFERROR(_xlfn.XLOOKUP(F393,[6]Sum!$G:$G,[6]Sum!$AM:$AM),"")</f>
        <v/>
      </c>
      <c r="T393" s="721">
        <v>1299</v>
      </c>
      <c r="U393" s="722">
        <f t="shared" si="207"/>
        <v>93528</v>
      </c>
      <c r="V393" s="721">
        <v>6</v>
      </c>
      <c r="W393" s="722">
        <f t="shared" si="208"/>
        <v>3897</v>
      </c>
      <c r="X393" s="722">
        <f t="shared" si="209"/>
        <v>89631</v>
      </c>
      <c r="Y393" s="724">
        <f t="shared" si="210"/>
        <v>-4.166666666666663E-2</v>
      </c>
      <c r="Z393" s="721">
        <f t="shared" ref="Z393:Z401" si="216">IFERROR(P393+Y393*0.5,"")</f>
        <v>0.2008957077287517</v>
      </c>
      <c r="AA393" s="721">
        <v>0.3300072277924137</v>
      </c>
      <c r="AB393" s="721"/>
      <c r="AC393" s="721">
        <v>1299</v>
      </c>
      <c r="AD393" s="722">
        <f t="shared" si="213"/>
        <v>93528</v>
      </c>
      <c r="AE393" s="720"/>
      <c r="AF393" s="720">
        <v>6</v>
      </c>
      <c r="AG393" s="722">
        <f t="shared" si="214"/>
        <v>3897</v>
      </c>
      <c r="AH393" s="725">
        <f t="shared" si="215"/>
        <v>89631</v>
      </c>
      <c r="AI393" s="725">
        <f t="shared" si="211"/>
        <v>0</v>
      </c>
      <c r="AJ393" s="724">
        <f t="shared" si="212"/>
        <v>0</v>
      </c>
      <c r="AK393" s="726">
        <f t="shared" si="206"/>
        <v>0.2008957077287517</v>
      </c>
      <c r="AL393" s="720"/>
      <c r="AM393" s="720" t="e">
        <f>VLOOKUP(F393,[7]PRM!E:R,14,FALSE)</f>
        <v>#N/A</v>
      </c>
      <c r="AN393" s="720" t="e">
        <f>T393-#REF!</f>
        <v>#REF!</v>
      </c>
      <c r="AO393" s="727"/>
    </row>
    <row r="394" spans="1:41" s="436" customFormat="1" ht="14" hidden="1">
      <c r="A394" s="609"/>
      <c r="B394" s="720">
        <v>2605</v>
      </c>
      <c r="C394" s="720" t="s">
        <v>292</v>
      </c>
      <c r="D394" s="720" t="s">
        <v>323</v>
      </c>
      <c r="E394" s="720"/>
      <c r="F394" s="720" t="s">
        <v>90</v>
      </c>
      <c r="G394" s="720"/>
      <c r="H394" s="720"/>
      <c r="I394" s="720"/>
      <c r="J394" s="720" t="s">
        <v>86</v>
      </c>
      <c r="K394" s="720" t="s">
        <v>215</v>
      </c>
      <c r="L394" s="720" t="s">
        <v>760</v>
      </c>
      <c r="M394" s="721">
        <v>1999</v>
      </c>
      <c r="N394" s="722">
        <f t="shared" si="179"/>
        <v>119940</v>
      </c>
      <c r="O394" s="721" t="s">
        <v>760</v>
      </c>
      <c r="P394" s="723">
        <f>IFERROR(_xlfn.XLOOKUP(F394,'[4]By Model'!$A:$A,'[4]By Model'!$K:$K),"")</f>
        <v>1.9659627695082948E-2</v>
      </c>
      <c r="Q394" s="721">
        <f>IFERROR(_xlfn.XLOOKUP(F394,'[5]By Model'!$A:$A,'[5]By Model'!$B:$B),"")</f>
        <v>14</v>
      </c>
      <c r="R394" s="721">
        <f>IFERROR(_xlfn.XLOOKUP(F394,'[5]By Model'!$A:$A,'[5]By Model'!$I:$I),"")</f>
        <v>2757.3178571428575</v>
      </c>
      <c r="S394" s="721" t="str">
        <f>IFERROR(_xlfn.XLOOKUP(F394,[6]Sum!$G:$G,[6]Sum!$AM:$AM),"")</f>
        <v/>
      </c>
      <c r="T394" s="721">
        <v>1999</v>
      </c>
      <c r="U394" s="722">
        <f t="shared" si="207"/>
        <v>119940</v>
      </c>
      <c r="V394" s="721">
        <v>12</v>
      </c>
      <c r="W394" s="722">
        <f t="shared" si="208"/>
        <v>11994</v>
      </c>
      <c r="X394" s="722">
        <f t="shared" si="209"/>
        <v>107946</v>
      </c>
      <c r="Y394" s="724">
        <f t="shared" si="210"/>
        <v>-9.9999999999999978E-2</v>
      </c>
      <c r="Z394" s="721">
        <f t="shared" si="216"/>
        <v>-3.034037230491704E-2</v>
      </c>
      <c r="AA394" s="721">
        <v>0.33957834461858283</v>
      </c>
      <c r="AB394" s="721" t="s">
        <v>218</v>
      </c>
      <c r="AC394" s="721">
        <v>1999</v>
      </c>
      <c r="AD394" s="722">
        <f t="shared" si="213"/>
        <v>119940</v>
      </c>
      <c r="AE394" s="720"/>
      <c r="AF394" s="720">
        <v>12</v>
      </c>
      <c r="AG394" s="722">
        <f t="shared" si="214"/>
        <v>11994</v>
      </c>
      <c r="AH394" s="725">
        <f t="shared" si="215"/>
        <v>107946</v>
      </c>
      <c r="AI394" s="725">
        <f t="shared" si="211"/>
        <v>0</v>
      </c>
      <c r="AJ394" s="724">
        <f t="shared" si="212"/>
        <v>0</v>
      </c>
      <c r="AK394" s="726">
        <f t="shared" si="206"/>
        <v>-3.034037230491704E-2</v>
      </c>
      <c r="AL394" s="720" t="s">
        <v>218</v>
      </c>
      <c r="AM394" s="720" t="e">
        <f>VLOOKUP(F394,[7]PRM!E:R,14,FALSE)</f>
        <v>#N/A</v>
      </c>
      <c r="AN394" s="720" t="e">
        <f>T394-#REF!</f>
        <v>#REF!</v>
      </c>
      <c r="AO394" s="727"/>
    </row>
    <row r="395" spans="1:41" s="436" customFormat="1" ht="14" hidden="1">
      <c r="A395" s="609"/>
      <c r="B395" s="720">
        <v>2605</v>
      </c>
      <c r="C395" s="720" t="s">
        <v>292</v>
      </c>
      <c r="D395" s="720" t="s">
        <v>323</v>
      </c>
      <c r="E395" s="720"/>
      <c r="F395" s="720" t="s">
        <v>761</v>
      </c>
      <c r="G395" s="720"/>
      <c r="H395" s="720"/>
      <c r="I395" s="720"/>
      <c r="J395" s="720" t="s">
        <v>86</v>
      </c>
      <c r="K395" s="720" t="s">
        <v>215</v>
      </c>
      <c r="L395" s="720" t="s">
        <v>760</v>
      </c>
      <c r="M395" s="721">
        <v>1299</v>
      </c>
      <c r="N395" s="722">
        <f t="shared" ref="N395:N401" si="217">M395*LEFT(J395,1)*12</f>
        <v>77940</v>
      </c>
      <c r="O395" s="721" t="s">
        <v>760</v>
      </c>
      <c r="P395" s="723">
        <f>IFERROR(_xlfn.XLOOKUP(F395,'[4]By Model'!$A:$A,'[4]By Model'!$K:$K),"")</f>
        <v>-3.1082549516233973E-2</v>
      </c>
      <c r="Q395" s="721">
        <f>IFERROR(_xlfn.XLOOKUP(F395,'[5]By Model'!$A:$A,'[5]By Model'!$B:$B),"")</f>
        <v>12</v>
      </c>
      <c r="R395" s="721">
        <f>IFERROR(_xlfn.XLOOKUP(F395,'[5]By Model'!$A:$A,'[5]By Model'!$I:$I),"")</f>
        <v>1788.4083333333331</v>
      </c>
      <c r="S395" s="721" t="str">
        <f>IFERROR(_xlfn.XLOOKUP(F395,[6]Sum!$G:$G,[6]Sum!$AM:$AM),"")</f>
        <v/>
      </c>
      <c r="T395" s="721">
        <v>999</v>
      </c>
      <c r="U395" s="722">
        <f t="shared" si="207"/>
        <v>59940</v>
      </c>
      <c r="V395" s="721"/>
      <c r="W395" s="722">
        <f t="shared" si="208"/>
        <v>0</v>
      </c>
      <c r="X395" s="722">
        <f t="shared" si="209"/>
        <v>59940</v>
      </c>
      <c r="Y395" s="724">
        <f t="shared" si="210"/>
        <v>-0.23094688221709003</v>
      </c>
      <c r="Z395" s="721">
        <f t="shared" si="216"/>
        <v>-0.14655599062477898</v>
      </c>
      <c r="AA395" s="721">
        <v>0.2882889365074166</v>
      </c>
      <c r="AB395" s="721" t="s">
        <v>218</v>
      </c>
      <c r="AC395" s="721">
        <v>999</v>
      </c>
      <c r="AD395" s="722">
        <f t="shared" si="213"/>
        <v>59940</v>
      </c>
      <c r="AE395" s="720"/>
      <c r="AF395" s="720"/>
      <c r="AG395" s="722">
        <f t="shared" si="214"/>
        <v>0</v>
      </c>
      <c r="AH395" s="725">
        <f t="shared" si="215"/>
        <v>59940</v>
      </c>
      <c r="AI395" s="725">
        <f t="shared" si="211"/>
        <v>0</v>
      </c>
      <c r="AJ395" s="724">
        <f t="shared" si="212"/>
        <v>0</v>
      </c>
      <c r="AK395" s="726">
        <f t="shared" si="206"/>
        <v>-0.14655599062477898</v>
      </c>
      <c r="AL395" s="720" t="s">
        <v>218</v>
      </c>
      <c r="AM395" s="720" t="e">
        <f>VLOOKUP(F395,[7]PRM!E:R,14,FALSE)</f>
        <v>#N/A</v>
      </c>
      <c r="AN395" s="720" t="e">
        <f>T395-#REF!</f>
        <v>#REF!</v>
      </c>
      <c r="AO395" s="727"/>
    </row>
    <row r="396" spans="1:41" s="436" customFormat="1" ht="14" hidden="1">
      <c r="A396" s="609"/>
      <c r="B396" s="720">
        <v>2605</v>
      </c>
      <c r="C396" s="720" t="s">
        <v>292</v>
      </c>
      <c r="D396" s="720" t="s">
        <v>323</v>
      </c>
      <c r="E396" s="720"/>
      <c r="F396" s="720" t="s">
        <v>762</v>
      </c>
      <c r="G396" s="720"/>
      <c r="H396" s="720"/>
      <c r="I396" s="720"/>
      <c r="J396" s="720" t="s">
        <v>86</v>
      </c>
      <c r="K396" s="720" t="s">
        <v>215</v>
      </c>
      <c r="L396" s="720" t="s">
        <v>760</v>
      </c>
      <c r="M396" s="721">
        <v>1099</v>
      </c>
      <c r="N396" s="722">
        <f t="shared" si="217"/>
        <v>65940</v>
      </c>
      <c r="O396" s="721" t="s">
        <v>760</v>
      </c>
      <c r="P396" s="723">
        <f>IFERROR(_xlfn.XLOOKUP(F396,'[4]By Model'!$A:$A,'[4]By Model'!$K:$K),"")</f>
        <v>9.4126603379089263E-2</v>
      </c>
      <c r="Q396" s="721">
        <f>IFERROR(_xlfn.XLOOKUP(F396,'[5]By Model'!$A:$A,'[5]By Model'!$B:$B),"")</f>
        <v>10</v>
      </c>
      <c r="R396" s="721">
        <f>IFERROR(_xlfn.XLOOKUP(F396,'[5]By Model'!$A:$A,'[5]By Model'!$I:$I),"")</f>
        <v>1499.7049999999999</v>
      </c>
      <c r="S396" s="721" t="str">
        <f>IFERROR(_xlfn.XLOOKUP(F396,[6]Sum!$G:$G,[6]Sum!$AM:$AM),"")</f>
        <v/>
      </c>
      <c r="T396" s="721">
        <v>799</v>
      </c>
      <c r="U396" s="722">
        <f t="shared" si="207"/>
        <v>47940</v>
      </c>
      <c r="V396" s="721"/>
      <c r="W396" s="722">
        <f t="shared" si="208"/>
        <v>0</v>
      </c>
      <c r="X396" s="722">
        <f t="shared" si="209"/>
        <v>47940</v>
      </c>
      <c r="Y396" s="724">
        <f t="shared" si="210"/>
        <v>-0.27297543221110099</v>
      </c>
      <c r="Z396" s="721">
        <f t="shared" si="216"/>
        <v>-4.2361112726461231E-2</v>
      </c>
      <c r="AA396" s="721">
        <v>0.33018659641678655</v>
      </c>
      <c r="AB396" s="721" t="s">
        <v>218</v>
      </c>
      <c r="AC396" s="721">
        <v>799</v>
      </c>
      <c r="AD396" s="722">
        <f t="shared" si="213"/>
        <v>47940</v>
      </c>
      <c r="AE396" s="720"/>
      <c r="AF396" s="720"/>
      <c r="AG396" s="722">
        <f t="shared" si="214"/>
        <v>0</v>
      </c>
      <c r="AH396" s="725">
        <f t="shared" si="215"/>
        <v>47940</v>
      </c>
      <c r="AI396" s="725">
        <f t="shared" si="211"/>
        <v>0</v>
      </c>
      <c r="AJ396" s="724">
        <f t="shared" si="212"/>
        <v>0</v>
      </c>
      <c r="AK396" s="726">
        <f t="shared" si="206"/>
        <v>-4.2361112726461231E-2</v>
      </c>
      <c r="AL396" s="720" t="s">
        <v>218</v>
      </c>
      <c r="AM396" s="720" t="e">
        <f>VLOOKUP(F396,[7]PRM!E:R,14,FALSE)</f>
        <v>#N/A</v>
      </c>
      <c r="AN396" s="720" t="e">
        <f>T396-#REF!</f>
        <v>#REF!</v>
      </c>
      <c r="AO396" s="727"/>
    </row>
    <row r="397" spans="1:41" s="436" customFormat="1" ht="14" hidden="1">
      <c r="A397" s="609"/>
      <c r="B397" s="720">
        <v>2605</v>
      </c>
      <c r="C397" s="720" t="s">
        <v>292</v>
      </c>
      <c r="D397" s="720" t="s">
        <v>323</v>
      </c>
      <c r="E397" s="720"/>
      <c r="F397" s="720" t="s">
        <v>91</v>
      </c>
      <c r="G397" s="720"/>
      <c r="H397" s="720"/>
      <c r="I397" s="720"/>
      <c r="J397" s="720" t="s">
        <v>86</v>
      </c>
      <c r="K397" s="720" t="s">
        <v>215</v>
      </c>
      <c r="L397" s="720" t="s">
        <v>760</v>
      </c>
      <c r="M397" s="721">
        <v>799</v>
      </c>
      <c r="N397" s="722">
        <f t="shared" si="217"/>
        <v>47940</v>
      </c>
      <c r="O397" s="721" t="s">
        <v>760</v>
      </c>
      <c r="P397" s="723">
        <f>IFERROR(_xlfn.XLOOKUP(F397,'[4]By Model'!$A:$A,'[4]By Model'!$K:$K),"")</f>
        <v>-0.28357677231565853</v>
      </c>
      <c r="Q397" s="721">
        <f>IFERROR(_xlfn.XLOOKUP(F397,'[5]By Model'!$A:$A,'[5]By Model'!$B:$B),"")</f>
        <v>6</v>
      </c>
      <c r="R397" s="721">
        <f>IFERROR(_xlfn.XLOOKUP(F397,'[5]By Model'!$A:$A,'[5]By Model'!$I:$I),"")</f>
        <v>1088.575</v>
      </c>
      <c r="S397" s="721" t="str">
        <f>IFERROR(_xlfn.XLOOKUP(F397,[6]Sum!$G:$G,[6]Sum!$AM:$AM),"")</f>
        <v/>
      </c>
      <c r="T397" s="721">
        <v>799</v>
      </c>
      <c r="U397" s="722">
        <f t="shared" si="207"/>
        <v>47940</v>
      </c>
      <c r="V397" s="721">
        <v>12</v>
      </c>
      <c r="W397" s="722">
        <f t="shared" si="208"/>
        <v>4794</v>
      </c>
      <c r="X397" s="722">
        <f t="shared" si="209"/>
        <v>43146</v>
      </c>
      <c r="Y397" s="724">
        <f t="shared" si="210"/>
        <v>-9.9999999999999978E-2</v>
      </c>
      <c r="Z397" s="721">
        <f t="shared" si="216"/>
        <v>-0.33357677231565852</v>
      </c>
      <c r="AA397" s="721">
        <v>0.27787143003612824</v>
      </c>
      <c r="AB397" s="721" t="s">
        <v>218</v>
      </c>
      <c r="AC397" s="721">
        <v>799</v>
      </c>
      <c r="AD397" s="722">
        <f t="shared" si="213"/>
        <v>47940</v>
      </c>
      <c r="AE397" s="720"/>
      <c r="AF397" s="720">
        <v>12</v>
      </c>
      <c r="AG397" s="722">
        <f t="shared" si="214"/>
        <v>4794</v>
      </c>
      <c r="AH397" s="725">
        <f t="shared" si="215"/>
        <v>43146</v>
      </c>
      <c r="AI397" s="725">
        <f t="shared" si="211"/>
        <v>0</v>
      </c>
      <c r="AJ397" s="724">
        <f t="shared" si="212"/>
        <v>0</v>
      </c>
      <c r="AK397" s="726">
        <f t="shared" si="206"/>
        <v>-0.33357677231565852</v>
      </c>
      <c r="AL397" s="720" t="s">
        <v>218</v>
      </c>
      <c r="AM397" s="720" t="e">
        <f>VLOOKUP(F397,[7]PRM!E:R,14,FALSE)</f>
        <v>#N/A</v>
      </c>
      <c r="AN397" s="720" t="e">
        <f>T397-#REF!</f>
        <v>#REF!</v>
      </c>
      <c r="AO397" s="727"/>
    </row>
    <row r="398" spans="1:41" s="436" customFormat="1" ht="14" hidden="1">
      <c r="A398" s="609"/>
      <c r="B398" s="720">
        <v>2605</v>
      </c>
      <c r="C398" s="720" t="s">
        <v>292</v>
      </c>
      <c r="D398" s="720" t="s">
        <v>323</v>
      </c>
      <c r="E398" s="720"/>
      <c r="F398" s="720" t="s">
        <v>201</v>
      </c>
      <c r="G398" s="720"/>
      <c r="H398" s="720"/>
      <c r="I398" s="720"/>
      <c r="J398" s="720" t="s">
        <v>86</v>
      </c>
      <c r="K398" s="720" t="s">
        <v>215</v>
      </c>
      <c r="L398" s="720" t="s">
        <v>760</v>
      </c>
      <c r="M398" s="721">
        <v>599</v>
      </c>
      <c r="N398" s="722">
        <f t="shared" si="217"/>
        <v>35940</v>
      </c>
      <c r="O398" s="721" t="s">
        <v>760</v>
      </c>
      <c r="P398" s="723">
        <f>IFERROR(_xlfn.XLOOKUP(F398,'[4]By Model'!$A:$A,'[4]By Model'!$K:$K),"")</f>
        <v>0.14528793610981161</v>
      </c>
      <c r="Q398" s="721">
        <f>IFERROR(_xlfn.XLOOKUP(F398,'[5]By Model'!$A:$A,'[5]By Model'!$B:$B),"")</f>
        <v>28</v>
      </c>
      <c r="R398" s="721">
        <f>IFERROR(_xlfn.XLOOKUP(F398,'[5]By Model'!$A:$A,'[5]By Model'!$I:$I),"")</f>
        <v>904.83607142857159</v>
      </c>
      <c r="S398" s="721" t="str">
        <f>IFERROR(_xlfn.XLOOKUP(F398,[6]Sum!$G:$G,[6]Sum!$AM:$AM),"")</f>
        <v/>
      </c>
      <c r="T398" s="721">
        <v>599</v>
      </c>
      <c r="U398" s="722">
        <f t="shared" si="207"/>
        <v>35940</v>
      </c>
      <c r="V398" s="721">
        <v>0</v>
      </c>
      <c r="W398" s="722">
        <f t="shared" si="208"/>
        <v>0</v>
      </c>
      <c r="X398" s="722">
        <f t="shared" si="209"/>
        <v>35940</v>
      </c>
      <c r="Y398" s="724">
        <f t="shared" si="210"/>
        <v>0</v>
      </c>
      <c r="Z398" s="721">
        <f t="shared" si="216"/>
        <v>0.14528793610981161</v>
      </c>
      <c r="AA398" s="721">
        <v>0.25119613375131022</v>
      </c>
      <c r="AB398" s="721"/>
      <c r="AC398" s="721">
        <v>599</v>
      </c>
      <c r="AD398" s="722">
        <f t="shared" si="213"/>
        <v>35940</v>
      </c>
      <c r="AE398" s="720"/>
      <c r="AF398" s="720">
        <v>0</v>
      </c>
      <c r="AG398" s="722">
        <f t="shared" si="214"/>
        <v>0</v>
      </c>
      <c r="AH398" s="725">
        <f t="shared" si="215"/>
        <v>35940</v>
      </c>
      <c r="AI398" s="725">
        <f t="shared" si="211"/>
        <v>0</v>
      </c>
      <c r="AJ398" s="724">
        <f t="shared" si="212"/>
        <v>0</v>
      </c>
      <c r="AK398" s="726">
        <f t="shared" si="206"/>
        <v>0.14528793610981161</v>
      </c>
      <c r="AL398" s="720"/>
      <c r="AM398" s="720" t="e">
        <f>VLOOKUP(F398,[7]PRM!E:R,14,FALSE)</f>
        <v>#N/A</v>
      </c>
      <c r="AN398" s="720" t="e">
        <f>T398-#REF!</f>
        <v>#REF!</v>
      </c>
      <c r="AO398" s="727"/>
    </row>
    <row r="399" spans="1:41" s="436" customFormat="1" ht="14" hidden="1">
      <c r="A399" s="609"/>
      <c r="B399" s="720">
        <v>2605</v>
      </c>
      <c r="C399" s="720" t="s">
        <v>292</v>
      </c>
      <c r="D399" s="720" t="s">
        <v>323</v>
      </c>
      <c r="E399" s="720"/>
      <c r="F399" s="720" t="s">
        <v>93</v>
      </c>
      <c r="G399" s="720"/>
      <c r="H399" s="720"/>
      <c r="I399" s="720"/>
      <c r="J399" s="720" t="s">
        <v>86</v>
      </c>
      <c r="K399" s="720" t="s">
        <v>215</v>
      </c>
      <c r="L399" s="720" t="s">
        <v>760</v>
      </c>
      <c r="M399" s="721">
        <v>499</v>
      </c>
      <c r="N399" s="722">
        <f t="shared" si="217"/>
        <v>29940</v>
      </c>
      <c r="O399" s="721" t="s">
        <v>760</v>
      </c>
      <c r="P399" s="723">
        <f>IFERROR(_xlfn.XLOOKUP(F399,'[4]By Model'!$A:$A,'[4]By Model'!$K:$K),"")</f>
        <v>0.11301795860834823</v>
      </c>
      <c r="Q399" s="721">
        <f>IFERROR(_xlfn.XLOOKUP(F399,'[5]By Model'!$A:$A,'[5]By Model'!$B:$B),"")</f>
        <v>44</v>
      </c>
      <c r="R399" s="721">
        <f>IFERROR(_xlfn.XLOOKUP(F399,'[5]By Model'!$A:$A,'[5]By Model'!$I:$I),"")</f>
        <v>753.99363636363637</v>
      </c>
      <c r="S399" s="721" t="str">
        <f>IFERROR(_xlfn.XLOOKUP(F399,[6]Sum!$G:$G,[6]Sum!$AM:$AM),"")</f>
        <v/>
      </c>
      <c r="T399" s="721">
        <v>499</v>
      </c>
      <c r="U399" s="722">
        <f t="shared" si="207"/>
        <v>29940</v>
      </c>
      <c r="V399" s="721">
        <v>0</v>
      </c>
      <c r="W399" s="722">
        <f t="shared" si="208"/>
        <v>0</v>
      </c>
      <c r="X399" s="722">
        <f t="shared" si="209"/>
        <v>29940</v>
      </c>
      <c r="Y399" s="724">
        <f t="shared" si="210"/>
        <v>0</v>
      </c>
      <c r="Z399" s="721">
        <f t="shared" si="216"/>
        <v>0.11301795860834823</v>
      </c>
      <c r="AA399" s="721">
        <v>0.28111821257154396</v>
      </c>
      <c r="AB399" s="721"/>
      <c r="AC399" s="721">
        <v>499</v>
      </c>
      <c r="AD399" s="722">
        <f t="shared" si="213"/>
        <v>29940</v>
      </c>
      <c r="AE399" s="720"/>
      <c r="AF399" s="720">
        <v>0</v>
      </c>
      <c r="AG399" s="722">
        <f t="shared" si="214"/>
        <v>0</v>
      </c>
      <c r="AH399" s="725">
        <f t="shared" si="215"/>
        <v>29940</v>
      </c>
      <c r="AI399" s="725">
        <f t="shared" si="211"/>
        <v>0</v>
      </c>
      <c r="AJ399" s="724">
        <f t="shared" si="212"/>
        <v>0</v>
      </c>
      <c r="AK399" s="726">
        <f t="shared" si="206"/>
        <v>0.11301795860834823</v>
      </c>
      <c r="AL399" s="720"/>
      <c r="AM399" s="720" t="e">
        <f>VLOOKUP(F399,[7]PRM!E:R,14,FALSE)</f>
        <v>#N/A</v>
      </c>
      <c r="AN399" s="720" t="e">
        <f>T399-#REF!</f>
        <v>#REF!</v>
      </c>
      <c r="AO399" s="727"/>
    </row>
    <row r="400" spans="1:41" s="436" customFormat="1" ht="14" hidden="1">
      <c r="A400" s="609"/>
      <c r="B400" s="720">
        <v>2605</v>
      </c>
      <c r="C400" s="720" t="s">
        <v>292</v>
      </c>
      <c r="D400" s="720" t="s">
        <v>323</v>
      </c>
      <c r="E400" s="720"/>
      <c r="F400" s="720" t="s">
        <v>94</v>
      </c>
      <c r="G400" s="720"/>
      <c r="H400" s="720"/>
      <c r="I400" s="720"/>
      <c r="J400" s="720" t="s">
        <v>86</v>
      </c>
      <c r="K400" s="720" t="s">
        <v>215</v>
      </c>
      <c r="L400" s="720" t="s">
        <v>760</v>
      </c>
      <c r="M400" s="721">
        <v>649</v>
      </c>
      <c r="N400" s="722">
        <f t="shared" si="217"/>
        <v>38940</v>
      </c>
      <c r="O400" s="721" t="s">
        <v>760</v>
      </c>
      <c r="P400" s="723">
        <f>IFERROR(_xlfn.XLOOKUP(F400,'[4]By Model'!$A:$A,'[4]By Model'!$K:$K),"")</f>
        <v>-0.13559220393407129</v>
      </c>
      <c r="Q400" s="721">
        <f>IFERROR(_xlfn.XLOOKUP(F400,'[5]By Model'!$A:$A,'[5]By Model'!$B:$B),"")</f>
        <v>8</v>
      </c>
      <c r="R400" s="721">
        <f>IFERROR(_xlfn.XLOOKUP(F400,'[5]By Model'!$A:$A,'[5]By Model'!$I:$I),"")</f>
        <v>997.58500000000004</v>
      </c>
      <c r="S400" s="721" t="str">
        <f>IFERROR(_xlfn.XLOOKUP(F400,[6]Sum!$G:$G,[6]Sum!$AM:$AM),"")</f>
        <v/>
      </c>
      <c r="T400" s="721">
        <v>649</v>
      </c>
      <c r="U400" s="722">
        <f t="shared" si="207"/>
        <v>38940</v>
      </c>
      <c r="V400" s="721">
        <v>0</v>
      </c>
      <c r="W400" s="722">
        <f t="shared" si="208"/>
        <v>0</v>
      </c>
      <c r="X400" s="722">
        <f t="shared" si="209"/>
        <v>38940</v>
      </c>
      <c r="Y400" s="724">
        <f t="shared" si="210"/>
        <v>0</v>
      </c>
      <c r="Z400" s="721">
        <f t="shared" si="216"/>
        <v>-0.13559220393407129</v>
      </c>
      <c r="AA400" s="721">
        <v>0.17311544437912141</v>
      </c>
      <c r="AB400" s="721"/>
      <c r="AC400" s="721">
        <v>649</v>
      </c>
      <c r="AD400" s="722">
        <f t="shared" si="213"/>
        <v>38940</v>
      </c>
      <c r="AE400" s="720"/>
      <c r="AF400" s="720">
        <v>0</v>
      </c>
      <c r="AG400" s="722">
        <f t="shared" si="214"/>
        <v>0</v>
      </c>
      <c r="AH400" s="725">
        <f t="shared" si="215"/>
        <v>38940</v>
      </c>
      <c r="AI400" s="725">
        <f t="shared" si="211"/>
        <v>0</v>
      </c>
      <c r="AJ400" s="724">
        <f t="shared" si="212"/>
        <v>0</v>
      </c>
      <c r="AK400" s="726">
        <f t="shared" si="206"/>
        <v>-0.13559220393407129</v>
      </c>
      <c r="AL400" s="720"/>
      <c r="AM400" s="720" t="e">
        <f>VLOOKUP(F400,[7]PRM!E:R,14,FALSE)</f>
        <v>#N/A</v>
      </c>
      <c r="AN400" s="720" t="e">
        <f>T400-#REF!</f>
        <v>#REF!</v>
      </c>
      <c r="AO400" s="727"/>
    </row>
    <row r="401" spans="1:41" s="436" customFormat="1" ht="14" hidden="1">
      <c r="A401" s="609"/>
      <c r="B401" s="720">
        <v>2605</v>
      </c>
      <c r="C401" s="720" t="s">
        <v>292</v>
      </c>
      <c r="D401" s="720" t="s">
        <v>323</v>
      </c>
      <c r="E401" s="720"/>
      <c r="F401" s="720" t="s">
        <v>95</v>
      </c>
      <c r="G401" s="720"/>
      <c r="H401" s="720"/>
      <c r="I401" s="720"/>
      <c r="J401" s="720" t="s">
        <v>86</v>
      </c>
      <c r="K401" s="720" t="s">
        <v>215</v>
      </c>
      <c r="L401" s="720" t="s">
        <v>760</v>
      </c>
      <c r="M401" s="721">
        <v>449</v>
      </c>
      <c r="N401" s="722">
        <f t="shared" si="217"/>
        <v>26940</v>
      </c>
      <c r="O401" s="721" t="s">
        <v>760</v>
      </c>
      <c r="P401" s="723">
        <f>IFERROR(_xlfn.XLOOKUP(F401,'[4]By Model'!$A:$A,'[4]By Model'!$K:$K),"")</f>
        <v>7.3628375853981409E-2</v>
      </c>
      <c r="Q401" s="721">
        <f>IFERROR(_xlfn.XLOOKUP(F401,'[5]By Model'!$A:$A,'[5]By Model'!$B:$B),"")</f>
        <v>31</v>
      </c>
      <c r="R401" s="721">
        <f>IFERROR(_xlfn.XLOOKUP(F401,'[5]By Model'!$A:$A,'[5]By Model'!$I:$I),"")</f>
        <v>681.86387096774206</v>
      </c>
      <c r="S401" s="721" t="str">
        <f>IFERROR(_xlfn.XLOOKUP(F401,[6]Sum!$G:$G,[6]Sum!$AM:$AM),"")</f>
        <v/>
      </c>
      <c r="T401" s="721">
        <v>449</v>
      </c>
      <c r="U401" s="722">
        <f t="shared" si="207"/>
        <v>26940</v>
      </c>
      <c r="V401" s="721">
        <v>0</v>
      </c>
      <c r="W401" s="722">
        <f t="shared" si="208"/>
        <v>0</v>
      </c>
      <c r="X401" s="722">
        <f t="shared" si="209"/>
        <v>26940</v>
      </c>
      <c r="Y401" s="724">
        <f t="shared" si="210"/>
        <v>0</v>
      </c>
      <c r="Z401" s="721">
        <f t="shared" si="216"/>
        <v>7.3628375853981409E-2</v>
      </c>
      <c r="AA401" s="721">
        <v>0.19212307985469235</v>
      </c>
      <c r="AB401" s="721"/>
      <c r="AC401" s="721">
        <v>449</v>
      </c>
      <c r="AD401" s="722">
        <f t="shared" si="213"/>
        <v>26940</v>
      </c>
      <c r="AE401" s="720"/>
      <c r="AF401" s="720">
        <v>0</v>
      </c>
      <c r="AG401" s="722">
        <f t="shared" si="214"/>
        <v>0</v>
      </c>
      <c r="AH401" s="725">
        <f t="shared" si="215"/>
        <v>26940</v>
      </c>
      <c r="AI401" s="725">
        <f t="shared" si="211"/>
        <v>0</v>
      </c>
      <c r="AJ401" s="724">
        <f t="shared" si="212"/>
        <v>0</v>
      </c>
      <c r="AK401" s="726">
        <f t="shared" si="206"/>
        <v>7.3628375853981409E-2</v>
      </c>
      <c r="AL401" s="720"/>
      <c r="AM401" s="720" t="e">
        <f>VLOOKUP(F401,[7]PRM!E:R,14,FALSE)</f>
        <v>#N/A</v>
      </c>
      <c r="AN401" s="720" t="e">
        <f>T401-#REF!</f>
        <v>#REF!</v>
      </c>
      <c r="AO401" s="727"/>
    </row>
  </sheetData>
  <autoFilter ref="A2:BQ401" xr:uid="{CD874DAA-A6BA-4237-B45A-1B2E64AEEC75}">
    <filterColumn colId="2">
      <filters>
        <filter val="W/M"/>
      </filters>
    </filterColumn>
    <filterColumn colId="9">
      <filters>
        <filter val="5"/>
        <filter val="5Y"/>
        <filter val="6"/>
        <filter val="6Y"/>
        <filter val="7"/>
      </filters>
    </filterColumn>
  </autoFilter>
  <mergeCells count="390">
    <mergeCell ref="C348:C353"/>
    <mergeCell ref="D348:D353"/>
    <mergeCell ref="E348:E353"/>
    <mergeCell ref="F348:F353"/>
    <mergeCell ref="C354:C356"/>
    <mergeCell ref="D354:D356"/>
    <mergeCell ref="E354:E356"/>
    <mergeCell ref="F354:F356"/>
    <mergeCell ref="C336:C341"/>
    <mergeCell ref="D336:D341"/>
    <mergeCell ref="E336:E341"/>
    <mergeCell ref="F336:F341"/>
    <mergeCell ref="C342:C347"/>
    <mergeCell ref="D342:D347"/>
    <mergeCell ref="E342:E347"/>
    <mergeCell ref="F342:F347"/>
    <mergeCell ref="C324:C329"/>
    <mergeCell ref="D324:D329"/>
    <mergeCell ref="E324:E329"/>
    <mergeCell ref="F324:F329"/>
    <mergeCell ref="C330:C335"/>
    <mergeCell ref="D330:D335"/>
    <mergeCell ref="E330:E335"/>
    <mergeCell ref="F330:F335"/>
    <mergeCell ref="C312:C317"/>
    <mergeCell ref="D312:D317"/>
    <mergeCell ref="E312:E317"/>
    <mergeCell ref="F312:F317"/>
    <mergeCell ref="C318:C323"/>
    <mergeCell ref="D318:D323"/>
    <mergeCell ref="E318:E323"/>
    <mergeCell ref="F318:F323"/>
    <mergeCell ref="C300:C305"/>
    <mergeCell ref="D300:D305"/>
    <mergeCell ref="E300:E305"/>
    <mergeCell ref="F300:F305"/>
    <mergeCell ref="C306:C311"/>
    <mergeCell ref="D306:D311"/>
    <mergeCell ref="E306:E311"/>
    <mergeCell ref="F306:F311"/>
    <mergeCell ref="C288:C293"/>
    <mergeCell ref="D288:D293"/>
    <mergeCell ref="E288:E293"/>
    <mergeCell ref="F288:F293"/>
    <mergeCell ref="C294:C299"/>
    <mergeCell ref="D294:D299"/>
    <mergeCell ref="E294:E299"/>
    <mergeCell ref="F294:F299"/>
    <mergeCell ref="C276:C281"/>
    <mergeCell ref="D276:D281"/>
    <mergeCell ref="E276:E281"/>
    <mergeCell ref="F276:F281"/>
    <mergeCell ref="C282:C287"/>
    <mergeCell ref="D282:D287"/>
    <mergeCell ref="E282:E287"/>
    <mergeCell ref="F282:F287"/>
    <mergeCell ref="C264:C269"/>
    <mergeCell ref="D264:D269"/>
    <mergeCell ref="E264:E269"/>
    <mergeCell ref="F264:F269"/>
    <mergeCell ref="C270:C275"/>
    <mergeCell ref="D270:D275"/>
    <mergeCell ref="E270:E275"/>
    <mergeCell ref="F270:F275"/>
    <mergeCell ref="C253:C258"/>
    <mergeCell ref="D253:D258"/>
    <mergeCell ref="E253:E258"/>
    <mergeCell ref="F253:F258"/>
    <mergeCell ref="C259:C263"/>
    <mergeCell ref="D259:D263"/>
    <mergeCell ref="E259:E263"/>
    <mergeCell ref="F259:F263"/>
    <mergeCell ref="C241:C246"/>
    <mergeCell ref="D241:D246"/>
    <mergeCell ref="E241:E246"/>
    <mergeCell ref="F241:F246"/>
    <mergeCell ref="C247:C252"/>
    <mergeCell ref="D247:D252"/>
    <mergeCell ref="E247:E252"/>
    <mergeCell ref="F247:F252"/>
    <mergeCell ref="C233:C234"/>
    <mergeCell ref="D233:D234"/>
    <mergeCell ref="E233:E234"/>
    <mergeCell ref="F233:F234"/>
    <mergeCell ref="C235:C240"/>
    <mergeCell ref="D235:D240"/>
    <mergeCell ref="E235:E240"/>
    <mergeCell ref="F235:F240"/>
    <mergeCell ref="C229:C230"/>
    <mergeCell ref="D229:D230"/>
    <mergeCell ref="E229:E230"/>
    <mergeCell ref="F229:F230"/>
    <mergeCell ref="C231:C232"/>
    <mergeCell ref="D231:D232"/>
    <mergeCell ref="E231:E232"/>
    <mergeCell ref="F231:F232"/>
    <mergeCell ref="C224:C225"/>
    <mergeCell ref="D224:D225"/>
    <mergeCell ref="E224:E225"/>
    <mergeCell ref="F224:F225"/>
    <mergeCell ref="C226:C228"/>
    <mergeCell ref="D226:D228"/>
    <mergeCell ref="E226:E228"/>
    <mergeCell ref="F226:F228"/>
    <mergeCell ref="C220:C221"/>
    <mergeCell ref="D220:D221"/>
    <mergeCell ref="E220:E221"/>
    <mergeCell ref="F220:F221"/>
    <mergeCell ref="C222:C223"/>
    <mergeCell ref="D222:D223"/>
    <mergeCell ref="E222:E223"/>
    <mergeCell ref="F222:F223"/>
    <mergeCell ref="C216:C217"/>
    <mergeCell ref="D216:D217"/>
    <mergeCell ref="E216:E217"/>
    <mergeCell ref="F216:F217"/>
    <mergeCell ref="C218:C219"/>
    <mergeCell ref="D218:D219"/>
    <mergeCell ref="E218:E219"/>
    <mergeCell ref="F218:F219"/>
    <mergeCell ref="C212:C213"/>
    <mergeCell ref="D212:D213"/>
    <mergeCell ref="E212:E213"/>
    <mergeCell ref="F212:F213"/>
    <mergeCell ref="C214:C215"/>
    <mergeCell ref="D214:D215"/>
    <mergeCell ref="E214:E215"/>
    <mergeCell ref="F214:F215"/>
    <mergeCell ref="C208:C209"/>
    <mergeCell ref="D208:D209"/>
    <mergeCell ref="E208:E209"/>
    <mergeCell ref="F208:F209"/>
    <mergeCell ref="C210:C211"/>
    <mergeCell ref="D210:D211"/>
    <mergeCell ref="E210:E211"/>
    <mergeCell ref="F210:F211"/>
    <mergeCell ref="C204:C205"/>
    <mergeCell ref="D204:D205"/>
    <mergeCell ref="E204:E205"/>
    <mergeCell ref="F204:F205"/>
    <mergeCell ref="C206:C207"/>
    <mergeCell ref="D206:D207"/>
    <mergeCell ref="E206:E207"/>
    <mergeCell ref="F206:F207"/>
    <mergeCell ref="C198:C200"/>
    <mergeCell ref="D198:D200"/>
    <mergeCell ref="E198:E200"/>
    <mergeCell ref="F198:F200"/>
    <mergeCell ref="C202:C203"/>
    <mergeCell ref="D202:D203"/>
    <mergeCell ref="E202:E203"/>
    <mergeCell ref="F202:F203"/>
    <mergeCell ref="C192:C194"/>
    <mergeCell ref="D192:D194"/>
    <mergeCell ref="E192:E194"/>
    <mergeCell ref="F192:F194"/>
    <mergeCell ref="C195:C197"/>
    <mergeCell ref="D195:D197"/>
    <mergeCell ref="E195:E197"/>
    <mergeCell ref="F195:F197"/>
    <mergeCell ref="C186:C188"/>
    <mergeCell ref="D186:D188"/>
    <mergeCell ref="E186:E188"/>
    <mergeCell ref="F186:F188"/>
    <mergeCell ref="C189:C191"/>
    <mergeCell ref="D189:D191"/>
    <mergeCell ref="E189:E191"/>
    <mergeCell ref="F189:F191"/>
    <mergeCell ref="C180:C182"/>
    <mergeCell ref="D180:D182"/>
    <mergeCell ref="E180:E182"/>
    <mergeCell ref="F180:F182"/>
    <mergeCell ref="C183:C185"/>
    <mergeCell ref="D183:D185"/>
    <mergeCell ref="E183:E185"/>
    <mergeCell ref="F183:F185"/>
    <mergeCell ref="C174:C176"/>
    <mergeCell ref="D174:D176"/>
    <mergeCell ref="E174:E176"/>
    <mergeCell ref="F174:F176"/>
    <mergeCell ref="C177:C179"/>
    <mergeCell ref="D177:D179"/>
    <mergeCell ref="E177:E179"/>
    <mergeCell ref="F177:F179"/>
    <mergeCell ref="C168:C170"/>
    <mergeCell ref="D168:D170"/>
    <mergeCell ref="E168:E170"/>
    <mergeCell ref="F168:F170"/>
    <mergeCell ref="C171:C173"/>
    <mergeCell ref="D171:D173"/>
    <mergeCell ref="E171:E173"/>
    <mergeCell ref="F171:F173"/>
    <mergeCell ref="C162:C164"/>
    <mergeCell ref="D162:D164"/>
    <mergeCell ref="E162:E164"/>
    <mergeCell ref="F162:F164"/>
    <mergeCell ref="C165:C167"/>
    <mergeCell ref="D165:D167"/>
    <mergeCell ref="E165:E167"/>
    <mergeCell ref="F165:F167"/>
    <mergeCell ref="C156:C158"/>
    <mergeCell ref="D156:D158"/>
    <mergeCell ref="E156:E158"/>
    <mergeCell ref="F156:F158"/>
    <mergeCell ref="C159:C161"/>
    <mergeCell ref="D159:D161"/>
    <mergeCell ref="E159:E161"/>
    <mergeCell ref="F159:F161"/>
    <mergeCell ref="C148:C151"/>
    <mergeCell ref="D148:D151"/>
    <mergeCell ref="E148:E151"/>
    <mergeCell ref="F148:F151"/>
    <mergeCell ref="C152:C155"/>
    <mergeCell ref="D152:D155"/>
    <mergeCell ref="E152:E155"/>
    <mergeCell ref="F152:F155"/>
    <mergeCell ref="C140:C143"/>
    <mergeCell ref="D140:D143"/>
    <mergeCell ref="E140:E143"/>
    <mergeCell ref="F140:F143"/>
    <mergeCell ref="C144:C147"/>
    <mergeCell ref="D144:D147"/>
    <mergeCell ref="E144:E147"/>
    <mergeCell ref="F144:F147"/>
    <mergeCell ref="C132:C135"/>
    <mergeCell ref="D132:D135"/>
    <mergeCell ref="E132:E135"/>
    <mergeCell ref="F132:F135"/>
    <mergeCell ref="C136:C139"/>
    <mergeCell ref="D136:D139"/>
    <mergeCell ref="E136:E139"/>
    <mergeCell ref="F136:F139"/>
    <mergeCell ref="C124:C127"/>
    <mergeCell ref="D124:D127"/>
    <mergeCell ref="E124:E127"/>
    <mergeCell ref="F124:F127"/>
    <mergeCell ref="C128:C131"/>
    <mergeCell ref="D128:D131"/>
    <mergeCell ref="E128:E131"/>
    <mergeCell ref="F128:F131"/>
    <mergeCell ref="C116:C119"/>
    <mergeCell ref="D116:D119"/>
    <mergeCell ref="E116:E119"/>
    <mergeCell ref="F116:F119"/>
    <mergeCell ref="C120:C123"/>
    <mergeCell ref="D120:D123"/>
    <mergeCell ref="E120:E123"/>
    <mergeCell ref="F120:F123"/>
    <mergeCell ref="C108:C111"/>
    <mergeCell ref="D108:D111"/>
    <mergeCell ref="E108:E111"/>
    <mergeCell ref="F108:F111"/>
    <mergeCell ref="C112:C115"/>
    <mergeCell ref="D112:D115"/>
    <mergeCell ref="E112:E115"/>
    <mergeCell ref="F112:F115"/>
    <mergeCell ref="C104:C105"/>
    <mergeCell ref="D104:D105"/>
    <mergeCell ref="E104:E105"/>
    <mergeCell ref="F104:F105"/>
    <mergeCell ref="C106:C107"/>
    <mergeCell ref="D106:D107"/>
    <mergeCell ref="E106:E107"/>
    <mergeCell ref="F106:F107"/>
    <mergeCell ref="C100:C101"/>
    <mergeCell ref="D100:D101"/>
    <mergeCell ref="E100:E101"/>
    <mergeCell ref="F100:F101"/>
    <mergeCell ref="C102:C103"/>
    <mergeCell ref="D102:D103"/>
    <mergeCell ref="E102:E103"/>
    <mergeCell ref="F102:F103"/>
    <mergeCell ref="C96:C97"/>
    <mergeCell ref="D96:D97"/>
    <mergeCell ref="E96:E97"/>
    <mergeCell ref="F96:F97"/>
    <mergeCell ref="C98:C99"/>
    <mergeCell ref="D98:D99"/>
    <mergeCell ref="E98:E99"/>
    <mergeCell ref="F98:F99"/>
    <mergeCell ref="C92:C93"/>
    <mergeCell ref="D92:D93"/>
    <mergeCell ref="E92:E93"/>
    <mergeCell ref="F92:F93"/>
    <mergeCell ref="C94:C95"/>
    <mergeCell ref="D94:D95"/>
    <mergeCell ref="E94:E95"/>
    <mergeCell ref="F94:F95"/>
    <mergeCell ref="C88:C89"/>
    <mergeCell ref="D88:D89"/>
    <mergeCell ref="E88:E89"/>
    <mergeCell ref="F88:F89"/>
    <mergeCell ref="C90:C91"/>
    <mergeCell ref="D90:D91"/>
    <mergeCell ref="E90:E91"/>
    <mergeCell ref="F90:F91"/>
    <mergeCell ref="C84:C85"/>
    <mergeCell ref="D84:D85"/>
    <mergeCell ref="E84:E85"/>
    <mergeCell ref="F84:F85"/>
    <mergeCell ref="C86:C87"/>
    <mergeCell ref="D86:D87"/>
    <mergeCell ref="E86:E87"/>
    <mergeCell ref="F86:F87"/>
    <mergeCell ref="C80:C81"/>
    <mergeCell ref="D80:D81"/>
    <mergeCell ref="E80:E81"/>
    <mergeCell ref="F80:F81"/>
    <mergeCell ref="C82:C83"/>
    <mergeCell ref="D82:D83"/>
    <mergeCell ref="E82:E83"/>
    <mergeCell ref="F82:F83"/>
    <mergeCell ref="C76:C77"/>
    <mergeCell ref="D76:D77"/>
    <mergeCell ref="E76:E77"/>
    <mergeCell ref="F76:F77"/>
    <mergeCell ref="C78:C79"/>
    <mergeCell ref="D78:D79"/>
    <mergeCell ref="E78:E79"/>
    <mergeCell ref="F78:F79"/>
    <mergeCell ref="C72:C73"/>
    <mergeCell ref="D72:D73"/>
    <mergeCell ref="E72:E73"/>
    <mergeCell ref="F72:F73"/>
    <mergeCell ref="C74:C75"/>
    <mergeCell ref="D74:D75"/>
    <mergeCell ref="E74:E75"/>
    <mergeCell ref="F74:F75"/>
    <mergeCell ref="C64:C69"/>
    <mergeCell ref="D64:D69"/>
    <mergeCell ref="E64:E69"/>
    <mergeCell ref="F64:F69"/>
    <mergeCell ref="C70:C71"/>
    <mergeCell ref="D70:D71"/>
    <mergeCell ref="E70:E71"/>
    <mergeCell ref="F70:F71"/>
    <mergeCell ref="C55:C56"/>
    <mergeCell ref="D55:D56"/>
    <mergeCell ref="E55:E56"/>
    <mergeCell ref="F55:F56"/>
    <mergeCell ref="C58:C63"/>
    <mergeCell ref="D58:D63"/>
    <mergeCell ref="E58:E63"/>
    <mergeCell ref="F58:F63"/>
    <mergeCell ref="C51:C52"/>
    <mergeCell ref="D51:D52"/>
    <mergeCell ref="E51:E52"/>
    <mergeCell ref="F51:F52"/>
    <mergeCell ref="C53:C54"/>
    <mergeCell ref="D53:D54"/>
    <mergeCell ref="E53:E54"/>
    <mergeCell ref="F53:F54"/>
    <mergeCell ref="C47:C48"/>
    <mergeCell ref="D47:D48"/>
    <mergeCell ref="E47:E48"/>
    <mergeCell ref="F47:F48"/>
    <mergeCell ref="C49:C50"/>
    <mergeCell ref="D49:D50"/>
    <mergeCell ref="E49:E50"/>
    <mergeCell ref="F49:F50"/>
    <mergeCell ref="C39:C42"/>
    <mergeCell ref="D39:D42"/>
    <mergeCell ref="E39:E42"/>
    <mergeCell ref="F39:F42"/>
    <mergeCell ref="C43:C46"/>
    <mergeCell ref="D43:D46"/>
    <mergeCell ref="E43:E46"/>
    <mergeCell ref="F43:F46"/>
    <mergeCell ref="C35:C38"/>
    <mergeCell ref="D35:D38"/>
    <mergeCell ref="E35:E38"/>
    <mergeCell ref="F35:F38"/>
    <mergeCell ref="C11:C18"/>
    <mergeCell ref="D11:D18"/>
    <mergeCell ref="E11:E18"/>
    <mergeCell ref="F11:F18"/>
    <mergeCell ref="C19:C26"/>
    <mergeCell ref="D19:D26"/>
    <mergeCell ref="E19:E26"/>
    <mergeCell ref="F19:F26"/>
    <mergeCell ref="T1:AB1"/>
    <mergeCell ref="AC1:AL1"/>
    <mergeCell ref="C3:C10"/>
    <mergeCell ref="D3:D10"/>
    <mergeCell ref="E3:E10"/>
    <mergeCell ref="F3:F10"/>
    <mergeCell ref="C27:C34"/>
    <mergeCell ref="D27:D34"/>
    <mergeCell ref="E27:E34"/>
    <mergeCell ref="F27:F34"/>
  </mergeCells>
  <conditionalFormatting sqref="P2:P356 AV357 P402:P1048576">
    <cfRule type="cellIs" dxfId="2" priority="1" operator="lessThan">
      <formula>0</formula>
    </cfRule>
  </conditionalFormatting>
  <pageMargins left="0.7" right="0.7" top="0.75" bottom="0.75" header="0.3" footer="0.3"/>
  <pageSetup paperSize="9" orientation="portrait" r:id="rId1"/>
  <headerFooter>
    <oddHeader>&amp;C&amp;"Calibri"&amp;12&amp;K000000 LGE Internal Use Only&amp;1#_x000D_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0322A-663B-42E3-B37E-B0A0C16FB6AE}">
  <sheetPr>
    <tabColor rgb="FFFF0000"/>
  </sheetPr>
  <dimension ref="B2:I17"/>
  <sheetViews>
    <sheetView showGridLines="0" workbookViewId="0">
      <selection activeCell="D13" sqref="D13"/>
    </sheetView>
  </sheetViews>
  <sheetFormatPr defaultRowHeight="14.5"/>
  <cols>
    <col min="1" max="1" width="8.7265625" style="834"/>
    <col min="2" max="2" width="8.7265625" style="844"/>
    <col min="3" max="3" width="19.7265625" style="834" customWidth="1"/>
    <col min="4" max="4" width="19.7265625" style="834" bestFit="1" customWidth="1"/>
    <col min="5" max="5" width="13.26953125" style="834" bestFit="1" customWidth="1"/>
    <col min="6" max="6" width="11.1796875" style="834" bestFit="1" customWidth="1"/>
    <col min="7" max="7" width="11.54296875" style="844" customWidth="1"/>
    <col min="8" max="8" width="13.1796875" style="834" customWidth="1"/>
    <col min="9" max="9" width="14.6328125" style="834" customWidth="1"/>
    <col min="10" max="16384" width="8.7265625" style="834"/>
  </cols>
  <sheetData>
    <row r="2" spans="2:9">
      <c r="B2" s="833" t="s">
        <v>794</v>
      </c>
      <c r="C2" s="833" t="s">
        <v>795</v>
      </c>
      <c r="D2" s="833" t="s">
        <v>40</v>
      </c>
      <c r="E2" s="833" t="s">
        <v>171</v>
      </c>
      <c r="F2" s="833" t="s">
        <v>796</v>
      </c>
      <c r="G2" s="833" t="s">
        <v>280</v>
      </c>
    </row>
    <row r="3" spans="2:9">
      <c r="B3" s="835"/>
      <c r="C3" s="836"/>
      <c r="D3" s="836" t="s">
        <v>463</v>
      </c>
      <c r="E3" s="836" t="s">
        <v>654</v>
      </c>
      <c r="F3" s="837">
        <v>94990</v>
      </c>
      <c r="G3" s="835"/>
    </row>
    <row r="4" spans="2:9">
      <c r="B4" s="835"/>
      <c r="C4" s="836"/>
      <c r="D4" s="836" t="s">
        <v>464</v>
      </c>
      <c r="E4" s="836" t="s">
        <v>654</v>
      </c>
      <c r="F4" s="837">
        <v>64990</v>
      </c>
      <c r="G4" s="835"/>
    </row>
    <row r="5" spans="2:9">
      <c r="B5" s="835"/>
      <c r="C5" s="836"/>
      <c r="D5" s="836" t="s">
        <v>465</v>
      </c>
      <c r="E5" s="836" t="s">
        <v>654</v>
      </c>
      <c r="F5" s="837">
        <v>49490</v>
      </c>
      <c r="G5" s="835"/>
    </row>
    <row r="6" spans="2:9">
      <c r="B6" s="835"/>
      <c r="C6" s="836"/>
      <c r="D6" s="838" t="s">
        <v>487</v>
      </c>
      <c r="E6" s="839" t="s">
        <v>654</v>
      </c>
      <c r="F6" s="840">
        <v>42990</v>
      </c>
      <c r="G6" s="845" t="s">
        <v>797</v>
      </c>
      <c r="H6" s="846" t="s">
        <v>812</v>
      </c>
    </row>
    <row r="7" spans="2:9">
      <c r="B7" s="835" t="s">
        <v>33</v>
      </c>
      <c r="C7" s="836"/>
      <c r="D7" s="850" t="s">
        <v>798</v>
      </c>
      <c r="E7" s="836" t="s">
        <v>799</v>
      </c>
      <c r="F7" s="837">
        <v>74990</v>
      </c>
      <c r="G7" s="835"/>
    </row>
    <row r="8" spans="2:9">
      <c r="B8" s="835" t="s">
        <v>33</v>
      </c>
      <c r="C8" s="836"/>
      <c r="D8" s="850" t="s">
        <v>800</v>
      </c>
      <c r="E8" s="836" t="s">
        <v>649</v>
      </c>
      <c r="F8" s="837">
        <v>139990</v>
      </c>
      <c r="G8" s="835"/>
    </row>
    <row r="9" spans="2:9">
      <c r="B9" s="841" t="s">
        <v>801</v>
      </c>
      <c r="C9" s="838" t="s">
        <v>722</v>
      </c>
      <c r="D9" s="851" t="s">
        <v>802</v>
      </c>
      <c r="E9" s="839" t="s">
        <v>649</v>
      </c>
      <c r="F9" s="840">
        <v>109990</v>
      </c>
      <c r="G9" s="841" t="s">
        <v>797</v>
      </c>
      <c r="H9" s="834" t="s">
        <v>809</v>
      </c>
      <c r="I9" s="846" t="s">
        <v>812</v>
      </c>
    </row>
    <row r="10" spans="2:9">
      <c r="B10" s="835" t="s">
        <v>801</v>
      </c>
      <c r="C10" s="836" t="s">
        <v>490</v>
      </c>
      <c r="D10" s="851" t="s">
        <v>803</v>
      </c>
      <c r="E10" s="836" t="s">
        <v>649</v>
      </c>
      <c r="F10" s="837">
        <v>43990</v>
      </c>
      <c r="G10" s="835"/>
      <c r="H10" s="834" t="s">
        <v>811</v>
      </c>
    </row>
    <row r="11" spans="2:9">
      <c r="B11" s="835"/>
      <c r="C11" s="836"/>
      <c r="D11" s="836" t="s">
        <v>466</v>
      </c>
      <c r="E11" s="836" t="s">
        <v>649</v>
      </c>
      <c r="F11" s="837">
        <v>27990</v>
      </c>
      <c r="G11" s="835"/>
    </row>
    <row r="12" spans="2:9">
      <c r="B12" s="842" t="s">
        <v>804</v>
      </c>
      <c r="C12" s="843"/>
      <c r="D12" s="843" t="s">
        <v>467</v>
      </c>
      <c r="E12" s="836" t="s">
        <v>649</v>
      </c>
      <c r="F12" s="837"/>
      <c r="G12" s="835"/>
    </row>
    <row r="13" spans="2:9">
      <c r="B13" s="835" t="s">
        <v>801</v>
      </c>
      <c r="C13" s="836" t="s">
        <v>468</v>
      </c>
      <c r="D13" s="851" t="s">
        <v>805</v>
      </c>
      <c r="E13" s="839" t="s">
        <v>806</v>
      </c>
      <c r="F13" s="840">
        <v>32990</v>
      </c>
      <c r="G13" s="835"/>
      <c r="H13" s="834" t="s">
        <v>810</v>
      </c>
    </row>
    <row r="14" spans="2:9">
      <c r="B14" s="835"/>
      <c r="C14" s="836"/>
      <c r="D14" s="836" t="s">
        <v>469</v>
      </c>
      <c r="E14" s="836" t="s">
        <v>806</v>
      </c>
      <c r="F14" s="837">
        <v>20990</v>
      </c>
      <c r="G14" s="835"/>
    </row>
    <row r="15" spans="2:9">
      <c r="B15" s="835"/>
      <c r="C15" s="836"/>
      <c r="D15" s="836" t="s">
        <v>807</v>
      </c>
      <c r="E15" s="836" t="s">
        <v>806</v>
      </c>
      <c r="F15" s="837">
        <v>16990</v>
      </c>
      <c r="G15" s="835"/>
    </row>
    <row r="16" spans="2:9">
      <c r="B16" s="842" t="s">
        <v>804</v>
      </c>
      <c r="C16" s="843"/>
      <c r="D16" s="843" t="s">
        <v>470</v>
      </c>
      <c r="E16" s="843" t="s">
        <v>806</v>
      </c>
      <c r="F16" s="849">
        <v>10490</v>
      </c>
      <c r="G16" s="842"/>
    </row>
    <row r="17" spans="2:8">
      <c r="B17" s="835"/>
      <c r="C17" s="836"/>
      <c r="D17" s="836" t="s">
        <v>214</v>
      </c>
      <c r="E17" s="836" t="s">
        <v>808</v>
      </c>
      <c r="F17" s="837"/>
      <c r="G17" s="835"/>
      <c r="H17" s="848" t="s">
        <v>814</v>
      </c>
    </row>
  </sheetData>
  <pageMargins left="0.7" right="0.7" top="0.75" bottom="0.75" header="0.3" footer="0.3"/>
  <pageSetup paperSize="9" orientation="portrait" r:id="rId1"/>
  <headerFooter>
    <oddHeader>&amp;C&amp;"Calibri"&amp;12&amp;K000000 LGE Internal Use Only&amp;1#_x000D_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C6406-E5EB-4361-9E42-FF8602D3E45A}">
  <dimension ref="A1:T143"/>
  <sheetViews>
    <sheetView topLeftCell="A73" workbookViewId="0">
      <selection activeCell="P105" sqref="P105"/>
    </sheetView>
  </sheetViews>
  <sheetFormatPr defaultColWidth="9.36328125" defaultRowHeight="14"/>
  <cols>
    <col min="1" max="1" width="9.36328125" style="222"/>
    <col min="2" max="2" width="23" style="93" bestFit="1" customWidth="1"/>
    <col min="3" max="3" width="9.36328125" style="93"/>
    <col min="4" max="4" width="15.90625" style="93" bestFit="1" customWidth="1"/>
    <col min="5" max="5" width="20.26953125" style="93" bestFit="1" customWidth="1"/>
    <col min="6" max="14" width="6" style="93" hidden="1" customWidth="1"/>
    <col min="15" max="15" width="8.1796875" style="93" hidden="1" customWidth="1"/>
    <col min="16" max="16" width="20.26953125" style="222" customWidth="1"/>
    <col min="17" max="18" width="17.90625" style="93" customWidth="1"/>
    <col min="19" max="19" width="23.36328125" style="93" customWidth="1"/>
    <col min="20" max="16384" width="9.36328125" style="93"/>
  </cols>
  <sheetData>
    <row r="1" spans="1:19" ht="26">
      <c r="A1" s="730" t="s">
        <v>533</v>
      </c>
      <c r="B1" s="731" t="s">
        <v>534</v>
      </c>
      <c r="C1" s="731" t="s">
        <v>535</v>
      </c>
      <c r="D1" s="732" t="s">
        <v>536</v>
      </c>
      <c r="E1" s="731" t="s">
        <v>537</v>
      </c>
      <c r="F1" s="733" t="s">
        <v>538</v>
      </c>
      <c r="G1" s="733" t="s">
        <v>539</v>
      </c>
      <c r="H1" s="733" t="s">
        <v>540</v>
      </c>
      <c r="I1" s="733" t="s">
        <v>541</v>
      </c>
      <c r="J1" s="733" t="s">
        <v>542</v>
      </c>
      <c r="K1" s="733" t="s">
        <v>543</v>
      </c>
      <c r="L1" s="733" t="s">
        <v>544</v>
      </c>
      <c r="M1" s="733" t="s">
        <v>545</v>
      </c>
      <c r="N1" s="733" t="s">
        <v>546</v>
      </c>
      <c r="O1" s="730" t="s">
        <v>547</v>
      </c>
      <c r="P1" s="734" t="s">
        <v>548</v>
      </c>
      <c r="Q1" s="732" t="s">
        <v>283</v>
      </c>
      <c r="R1" s="732" t="s">
        <v>549</v>
      </c>
      <c r="S1" s="732" t="s">
        <v>280</v>
      </c>
    </row>
    <row r="2" spans="1:19">
      <c r="A2" s="735" t="s">
        <v>550</v>
      </c>
      <c r="B2" s="736" t="s">
        <v>551</v>
      </c>
      <c r="C2" s="736" t="s">
        <v>552</v>
      </c>
      <c r="D2" s="737" t="s">
        <v>553</v>
      </c>
      <c r="E2" s="736" t="s">
        <v>554</v>
      </c>
      <c r="F2" s="737">
        <v>5.7142857142857141E-2</v>
      </c>
      <c r="G2" s="737">
        <v>9.8765432098765427E-2</v>
      </c>
      <c r="H2" s="737">
        <v>5.078125E-2</v>
      </c>
      <c r="I2" s="737">
        <v>3.4482758620689655E-2</v>
      </c>
      <c r="J2" s="737">
        <v>3.3402922755741124E-2</v>
      </c>
      <c r="K2" s="737">
        <v>0.04</v>
      </c>
      <c r="L2" s="737">
        <v>5.1162790697674418E-2</v>
      </c>
      <c r="M2" s="737">
        <v>3.8560411311053984E-3</v>
      </c>
      <c r="N2" s="737">
        <v>0</v>
      </c>
      <c r="O2" s="737">
        <v>3.3916554508748316E-2</v>
      </c>
      <c r="P2" s="735" t="s">
        <v>764</v>
      </c>
      <c r="Q2" s="736"/>
      <c r="R2" s="736">
        <v>2510</v>
      </c>
      <c r="S2" s="736" t="s">
        <v>555</v>
      </c>
    </row>
    <row r="3" spans="1:19" ht="14.5">
      <c r="A3" s="735" t="s">
        <v>550</v>
      </c>
      <c r="B3" s="736" t="s">
        <v>556</v>
      </c>
      <c r="C3" s="736" t="s">
        <v>552</v>
      </c>
      <c r="D3" s="737" t="s">
        <v>553</v>
      </c>
      <c r="E3" s="736" t="s">
        <v>557</v>
      </c>
      <c r="F3" s="737">
        <v>9.7142857142857142E-2</v>
      </c>
      <c r="G3" s="737">
        <v>9.2592592592592587E-2</v>
      </c>
      <c r="H3" s="737">
        <v>0.1328125</v>
      </c>
      <c r="I3" s="737">
        <v>8.4291187739463605E-2</v>
      </c>
      <c r="J3" s="737">
        <v>5.845511482254697E-2</v>
      </c>
      <c r="K3" s="737">
        <v>0.10461538461538461</v>
      </c>
      <c r="L3" s="737">
        <v>9.6124031007751937E-2</v>
      </c>
      <c r="M3" s="737">
        <v>9.383033419023136E-2</v>
      </c>
      <c r="N3" s="737">
        <v>7.7669902912621352E-2</v>
      </c>
      <c r="O3" s="737">
        <v>9.2328398384925972E-2</v>
      </c>
      <c r="P3" s="735" t="s">
        <v>765</v>
      </c>
      <c r="Q3" s="736"/>
      <c r="R3" s="736"/>
      <c r="S3" s="738" t="s">
        <v>471</v>
      </c>
    </row>
    <row r="4" spans="1:19">
      <c r="A4" s="735" t="s">
        <v>550</v>
      </c>
      <c r="B4" s="736" t="s">
        <v>556</v>
      </c>
      <c r="C4" s="736" t="s">
        <v>552</v>
      </c>
      <c r="D4" s="737" t="s">
        <v>553</v>
      </c>
      <c r="E4" s="736" t="s">
        <v>558</v>
      </c>
      <c r="F4" s="737">
        <v>0.10285714285714286</v>
      </c>
      <c r="G4" s="737">
        <v>0.11728395061728394</v>
      </c>
      <c r="H4" s="737">
        <v>9.375E-2</v>
      </c>
      <c r="I4" s="737">
        <v>0.12260536398467432</v>
      </c>
      <c r="J4" s="737">
        <v>0.13152400835073069</v>
      </c>
      <c r="K4" s="737">
        <v>5.0769230769230768E-2</v>
      </c>
      <c r="L4" s="737">
        <v>5.5813953488372092E-2</v>
      </c>
      <c r="M4" s="737">
        <v>8.9974293059125965E-2</v>
      </c>
      <c r="N4" s="737">
        <v>8.4142394822006472E-2</v>
      </c>
      <c r="O4" s="737">
        <v>8.6406460296096901E-2</v>
      </c>
      <c r="P4" s="735" t="s">
        <v>765</v>
      </c>
      <c r="Q4" s="736"/>
      <c r="R4" s="736"/>
      <c r="S4" s="736"/>
    </row>
    <row r="5" spans="1:19">
      <c r="A5" s="735" t="s">
        <v>550</v>
      </c>
      <c r="B5" s="736" t="s">
        <v>556</v>
      </c>
      <c r="C5" s="736" t="s">
        <v>552</v>
      </c>
      <c r="D5" s="737" t="s">
        <v>559</v>
      </c>
      <c r="E5" s="736" t="s">
        <v>560</v>
      </c>
      <c r="F5" s="737">
        <v>0.23428571428571429</v>
      </c>
      <c r="G5" s="737">
        <v>0.20987654320987653</v>
      </c>
      <c r="H5" s="737">
        <v>0.16796875</v>
      </c>
      <c r="I5" s="737">
        <v>0.12643678160919541</v>
      </c>
      <c r="J5" s="737">
        <v>7.5156576200417533E-2</v>
      </c>
      <c r="K5" s="737">
        <v>0.1</v>
      </c>
      <c r="L5" s="737">
        <v>0.11162790697674418</v>
      </c>
      <c r="M5" s="737">
        <v>7.7120822622107968E-2</v>
      </c>
      <c r="N5" s="737">
        <v>9.7087378640776698E-2</v>
      </c>
      <c r="O5" s="737">
        <v>0.11144010767160162</v>
      </c>
      <c r="P5" s="735" t="s">
        <v>765</v>
      </c>
      <c r="Q5" s="736"/>
      <c r="R5" s="736"/>
      <c r="S5" s="736"/>
    </row>
    <row r="6" spans="1:19">
      <c r="A6" s="735" t="s">
        <v>550</v>
      </c>
      <c r="B6" s="736" t="s">
        <v>551</v>
      </c>
      <c r="C6" s="736" t="s">
        <v>552</v>
      </c>
      <c r="D6" s="737" t="s">
        <v>559</v>
      </c>
      <c r="E6" s="736" t="s">
        <v>561</v>
      </c>
      <c r="F6" s="737">
        <v>0.10285714285714286</v>
      </c>
      <c r="G6" s="737">
        <v>0.11728395061728394</v>
      </c>
      <c r="H6" s="737">
        <v>0.1015625</v>
      </c>
      <c r="I6" s="737">
        <v>8.8122605363984668E-2</v>
      </c>
      <c r="J6" s="737">
        <v>8.3507306889352817E-2</v>
      </c>
      <c r="K6" s="737">
        <v>4.7692307692307694E-2</v>
      </c>
      <c r="L6" s="737">
        <v>5.2713178294573643E-2</v>
      </c>
      <c r="M6" s="737">
        <v>5.1413881748071976E-3</v>
      </c>
      <c r="N6" s="737">
        <v>3.2362459546925568E-3</v>
      </c>
      <c r="O6" s="737">
        <v>5.2759084791386274E-2</v>
      </c>
      <c r="P6" s="735" t="s">
        <v>764</v>
      </c>
      <c r="Q6" s="736" t="s">
        <v>562</v>
      </c>
      <c r="R6" s="736">
        <v>2602</v>
      </c>
      <c r="S6" s="736" t="s">
        <v>555</v>
      </c>
    </row>
    <row r="7" spans="1:19">
      <c r="A7" s="735" t="s">
        <v>550</v>
      </c>
      <c r="B7" s="736" t="s">
        <v>556</v>
      </c>
      <c r="C7" s="736" t="s">
        <v>552</v>
      </c>
      <c r="D7" s="737" t="s">
        <v>553</v>
      </c>
      <c r="E7" s="736" t="s">
        <v>563</v>
      </c>
      <c r="F7" s="737">
        <v>0.21142857142857144</v>
      </c>
      <c r="G7" s="737">
        <v>0.19135802469135801</v>
      </c>
      <c r="H7" s="737">
        <v>0.19140625</v>
      </c>
      <c r="I7" s="737">
        <v>0.18773946360153257</v>
      </c>
      <c r="J7" s="737">
        <v>0.18997912317327767</v>
      </c>
      <c r="K7" s="737">
        <v>0.16</v>
      </c>
      <c r="L7" s="737">
        <v>0.17364341085271318</v>
      </c>
      <c r="M7" s="737">
        <v>0.19151670951156813</v>
      </c>
      <c r="N7" s="737">
        <v>0.18122977346278318</v>
      </c>
      <c r="O7" s="737">
        <v>0.18250336473755047</v>
      </c>
      <c r="P7" s="735" t="s">
        <v>765</v>
      </c>
      <c r="Q7" s="736"/>
      <c r="R7" s="736"/>
      <c r="S7" s="736"/>
    </row>
    <row r="8" spans="1:19">
      <c r="A8" s="735" t="s">
        <v>550</v>
      </c>
      <c r="B8" s="736" t="s">
        <v>551</v>
      </c>
      <c r="C8" s="736" t="s">
        <v>552</v>
      </c>
      <c r="D8" s="737" t="s">
        <v>564</v>
      </c>
      <c r="E8" s="736" t="s">
        <v>565</v>
      </c>
      <c r="F8" s="737">
        <v>0</v>
      </c>
      <c r="G8" s="737">
        <v>0</v>
      </c>
      <c r="H8" s="737">
        <v>2.734375E-2</v>
      </c>
      <c r="I8" s="737">
        <v>3.4482758620689655E-2</v>
      </c>
      <c r="J8" s="737">
        <v>0.10647181628392484</v>
      </c>
      <c r="K8" s="737">
        <v>0.15384615384615385</v>
      </c>
      <c r="L8" s="737">
        <v>0.10542635658914729</v>
      </c>
      <c r="M8" s="737">
        <v>0.11568123393316196</v>
      </c>
      <c r="N8" s="737">
        <v>0.10679611650485436</v>
      </c>
      <c r="O8" s="737">
        <v>9.6366083445491246E-2</v>
      </c>
      <c r="P8" s="735" t="s">
        <v>566</v>
      </c>
      <c r="Q8" s="736" t="s">
        <v>562</v>
      </c>
      <c r="R8" s="736">
        <v>2511</v>
      </c>
      <c r="S8" s="736" t="s">
        <v>555</v>
      </c>
    </row>
    <row r="9" spans="1:19">
      <c r="A9" s="735" t="s">
        <v>550</v>
      </c>
      <c r="B9" s="736" t="s">
        <v>551</v>
      </c>
      <c r="C9" s="736" t="s">
        <v>552</v>
      </c>
      <c r="D9" s="737" t="s">
        <v>567</v>
      </c>
      <c r="E9" s="736" t="s">
        <v>568</v>
      </c>
      <c r="F9" s="737">
        <v>0</v>
      </c>
      <c r="G9" s="737">
        <v>9.8765432098765427E-2</v>
      </c>
      <c r="H9" s="737">
        <v>8.59375E-2</v>
      </c>
      <c r="I9" s="737">
        <v>0.11877394636015326</v>
      </c>
      <c r="J9" s="737">
        <v>5.4279749478079335E-2</v>
      </c>
      <c r="K9" s="737">
        <v>8.7692307692307694E-2</v>
      </c>
      <c r="L9" s="737">
        <v>0.13643410852713178</v>
      </c>
      <c r="M9" s="737">
        <v>0.11053984575835475</v>
      </c>
      <c r="N9" s="737">
        <v>0.11650485436893204</v>
      </c>
      <c r="O9" s="737">
        <v>9.7442799461641985E-2</v>
      </c>
      <c r="P9" s="735" t="s">
        <v>764</v>
      </c>
      <c r="Q9" s="736" t="s">
        <v>562</v>
      </c>
      <c r="R9" s="736">
        <v>2511</v>
      </c>
      <c r="S9" s="736" t="s">
        <v>555</v>
      </c>
    </row>
    <row r="10" spans="1:19">
      <c r="A10" s="735" t="s">
        <v>550</v>
      </c>
      <c r="B10" s="736" t="s">
        <v>556</v>
      </c>
      <c r="C10" s="736" t="s">
        <v>552</v>
      </c>
      <c r="D10" s="737" t="s">
        <v>567</v>
      </c>
      <c r="E10" s="736" t="s">
        <v>569</v>
      </c>
      <c r="F10" s="737">
        <v>0.19428571428571428</v>
      </c>
      <c r="G10" s="737">
        <v>7.407407407407407E-2</v>
      </c>
      <c r="H10" s="737">
        <v>9.375E-2</v>
      </c>
      <c r="I10" s="737">
        <v>0.1417624521072797</v>
      </c>
      <c r="J10" s="737">
        <v>0.21294363256784968</v>
      </c>
      <c r="K10" s="737">
        <v>0.12923076923076923</v>
      </c>
      <c r="L10" s="737">
        <v>0.11317829457364341</v>
      </c>
      <c r="M10" s="737">
        <v>0.16195372750642673</v>
      </c>
      <c r="N10" s="737">
        <v>0.11003236245954692</v>
      </c>
      <c r="O10" s="737">
        <v>0.14158815612382233</v>
      </c>
      <c r="P10" s="735" t="s">
        <v>765</v>
      </c>
      <c r="Q10" s="736"/>
      <c r="R10" s="736"/>
      <c r="S10" s="736"/>
    </row>
    <row r="11" spans="1:19">
      <c r="A11" s="735" t="s">
        <v>550</v>
      </c>
      <c r="B11" s="736" t="s">
        <v>556</v>
      </c>
      <c r="C11" s="736" t="s">
        <v>552</v>
      </c>
      <c r="D11" s="737" t="s">
        <v>570</v>
      </c>
      <c r="E11" s="736" t="s">
        <v>571</v>
      </c>
      <c r="F11" s="737">
        <v>0</v>
      </c>
      <c r="G11" s="737">
        <v>0</v>
      </c>
      <c r="H11" s="737">
        <v>5.46875E-2</v>
      </c>
      <c r="I11" s="737">
        <v>6.1302681992337162E-2</v>
      </c>
      <c r="J11" s="737">
        <v>5.4279749478079335E-2</v>
      </c>
      <c r="K11" s="737">
        <v>4.1538461538461538E-2</v>
      </c>
      <c r="L11" s="737">
        <v>5.2713178294573643E-2</v>
      </c>
      <c r="M11" s="737">
        <v>5.7840616966580979E-2</v>
      </c>
      <c r="N11" s="737">
        <v>5.1779935275080909E-2</v>
      </c>
      <c r="O11" s="737">
        <v>4.7913862718707942E-2</v>
      </c>
      <c r="P11" s="735" t="s">
        <v>765</v>
      </c>
      <c r="Q11" s="736"/>
      <c r="R11" s="736"/>
      <c r="S11" s="736"/>
    </row>
    <row r="12" spans="1:19">
      <c r="A12" s="735" t="s">
        <v>550</v>
      </c>
      <c r="B12" s="736" t="s">
        <v>556</v>
      </c>
      <c r="C12" s="736" t="s">
        <v>552</v>
      </c>
      <c r="D12" s="737" t="s">
        <v>559</v>
      </c>
      <c r="E12" s="736" t="s">
        <v>572</v>
      </c>
      <c r="F12" s="737">
        <v>0</v>
      </c>
      <c r="G12" s="737">
        <v>0</v>
      </c>
      <c r="H12" s="737">
        <v>0</v>
      </c>
      <c r="I12" s="737">
        <v>0</v>
      </c>
      <c r="J12" s="737">
        <v>0</v>
      </c>
      <c r="K12" s="737">
        <v>6.9230769230769235E-2</v>
      </c>
      <c r="L12" s="737">
        <v>2.6356589147286821E-2</v>
      </c>
      <c r="M12" s="737">
        <v>2.9562982005141389E-2</v>
      </c>
      <c r="N12" s="737">
        <v>4.5307443365695796E-2</v>
      </c>
      <c r="O12" s="737">
        <v>2.6648721399730822E-2</v>
      </c>
      <c r="P12" s="735" t="s">
        <v>765</v>
      </c>
      <c r="Q12" s="736"/>
      <c r="R12" s="736"/>
      <c r="S12" s="736"/>
    </row>
    <row r="13" spans="1:19">
      <c r="A13" s="735" t="s">
        <v>550</v>
      </c>
      <c r="B13" s="736" t="s">
        <v>551</v>
      </c>
      <c r="C13" s="736" t="s">
        <v>552</v>
      </c>
      <c r="D13" s="737" t="s">
        <v>559</v>
      </c>
      <c r="E13" s="736" t="s">
        <v>573</v>
      </c>
      <c r="F13" s="737">
        <v>0</v>
      </c>
      <c r="G13" s="737">
        <v>0</v>
      </c>
      <c r="H13" s="737">
        <v>0</v>
      </c>
      <c r="I13" s="737">
        <v>0</v>
      </c>
      <c r="J13" s="737">
        <v>0</v>
      </c>
      <c r="K13" s="737">
        <v>1.5384615384615385E-2</v>
      </c>
      <c r="L13" s="737">
        <v>2.4806201550387597E-2</v>
      </c>
      <c r="M13" s="737">
        <v>3.5989717223650387E-2</v>
      </c>
      <c r="N13" s="737">
        <v>5.1779935275080909E-2</v>
      </c>
      <c r="O13" s="737">
        <v>1.8842530282637954E-2</v>
      </c>
      <c r="P13" s="735" t="s">
        <v>764</v>
      </c>
      <c r="Q13" s="736" t="s">
        <v>562</v>
      </c>
      <c r="R13" s="736">
        <v>2512</v>
      </c>
      <c r="S13" s="736" t="s">
        <v>555</v>
      </c>
    </row>
    <row r="14" spans="1:19">
      <c r="A14" s="735" t="s">
        <v>550</v>
      </c>
      <c r="B14" s="736" t="s">
        <v>556</v>
      </c>
      <c r="C14" s="736" t="s">
        <v>552</v>
      </c>
      <c r="D14" s="737" t="s">
        <v>559</v>
      </c>
      <c r="E14" s="736" t="s">
        <v>574</v>
      </c>
      <c r="F14" s="737">
        <v>0</v>
      </c>
      <c r="G14" s="737">
        <v>0</v>
      </c>
      <c r="H14" s="737">
        <v>0</v>
      </c>
      <c r="I14" s="737">
        <v>0</v>
      </c>
      <c r="J14" s="737">
        <v>0</v>
      </c>
      <c r="K14" s="737">
        <v>0</v>
      </c>
      <c r="L14" s="737">
        <v>0</v>
      </c>
      <c r="M14" s="737">
        <v>2.6992287917737789E-2</v>
      </c>
      <c r="N14" s="737">
        <v>5.5016181229773461E-2</v>
      </c>
      <c r="O14" s="737">
        <v>1.0228802153432033E-2</v>
      </c>
      <c r="P14" s="735" t="s">
        <v>764</v>
      </c>
      <c r="Q14" s="736"/>
      <c r="R14" s="736">
        <v>2512</v>
      </c>
      <c r="S14" s="736"/>
    </row>
    <row r="15" spans="1:19">
      <c r="A15" s="735">
        <v>2510</v>
      </c>
      <c r="B15" s="736" t="s">
        <v>556</v>
      </c>
      <c r="C15" s="736" t="s">
        <v>552</v>
      </c>
      <c r="D15" s="737" t="s">
        <v>559</v>
      </c>
      <c r="E15" s="736" t="s">
        <v>575</v>
      </c>
      <c r="F15" s="737"/>
      <c r="G15" s="737"/>
      <c r="H15" s="737"/>
      <c r="I15" s="737"/>
      <c r="J15" s="737"/>
      <c r="K15" s="737"/>
      <c r="L15" s="737"/>
      <c r="M15" s="737"/>
      <c r="N15" s="737"/>
      <c r="O15" s="737"/>
      <c r="P15" s="735" t="s">
        <v>765</v>
      </c>
      <c r="Q15" s="736"/>
      <c r="R15" s="736"/>
      <c r="S15" s="736"/>
    </row>
    <row r="16" spans="1:19">
      <c r="A16" s="735">
        <v>2510</v>
      </c>
      <c r="B16" s="736" t="s">
        <v>556</v>
      </c>
      <c r="C16" s="736" t="s">
        <v>552</v>
      </c>
      <c r="D16" s="737" t="s">
        <v>559</v>
      </c>
      <c r="E16" s="736" t="s">
        <v>575</v>
      </c>
      <c r="F16" s="737"/>
      <c r="G16" s="737"/>
      <c r="H16" s="737"/>
      <c r="I16" s="737"/>
      <c r="J16" s="737"/>
      <c r="K16" s="737"/>
      <c r="L16" s="737"/>
      <c r="M16" s="737"/>
      <c r="N16" s="737"/>
      <c r="O16" s="737"/>
      <c r="P16" s="735" t="s">
        <v>765</v>
      </c>
      <c r="Q16" s="736"/>
      <c r="R16" s="736"/>
      <c r="S16" s="736"/>
    </row>
    <row r="17" spans="1:19" ht="14.5">
      <c r="A17" s="735">
        <v>2510</v>
      </c>
      <c r="B17" s="736" t="s">
        <v>551</v>
      </c>
      <c r="C17" s="736" t="s">
        <v>552</v>
      </c>
      <c r="D17" s="737" t="s">
        <v>559</v>
      </c>
      <c r="E17" s="736" t="s">
        <v>576</v>
      </c>
      <c r="F17" s="737"/>
      <c r="G17" s="737"/>
      <c r="H17" s="737"/>
      <c r="I17" s="737"/>
      <c r="J17" s="737"/>
      <c r="K17" s="737"/>
      <c r="L17" s="737"/>
      <c r="M17" s="737"/>
      <c r="N17" s="737"/>
      <c r="O17" s="737"/>
      <c r="P17" s="735" t="s">
        <v>764</v>
      </c>
      <c r="Q17" s="736"/>
      <c r="R17" s="736">
        <v>2510</v>
      </c>
      <c r="S17" s="738" t="s">
        <v>471</v>
      </c>
    </row>
    <row r="18" spans="1:19">
      <c r="A18" s="735">
        <v>2510</v>
      </c>
      <c r="B18" s="736" t="s">
        <v>551</v>
      </c>
      <c r="C18" s="736" t="s">
        <v>552</v>
      </c>
      <c r="D18" s="737" t="s">
        <v>559</v>
      </c>
      <c r="E18" s="736" t="s">
        <v>577</v>
      </c>
      <c r="F18" s="737"/>
      <c r="G18" s="737"/>
      <c r="H18" s="737"/>
      <c r="I18" s="737"/>
      <c r="J18" s="737"/>
      <c r="K18" s="737"/>
      <c r="L18" s="737"/>
      <c r="M18" s="737"/>
      <c r="N18" s="737"/>
      <c r="O18" s="737"/>
      <c r="P18" s="735" t="s">
        <v>764</v>
      </c>
      <c r="Q18" s="736"/>
      <c r="R18" s="736">
        <v>2510</v>
      </c>
      <c r="S18" s="736" t="s">
        <v>555</v>
      </c>
    </row>
    <row r="19" spans="1:19">
      <c r="A19" s="735" t="s">
        <v>550</v>
      </c>
      <c r="B19" s="736" t="s">
        <v>556</v>
      </c>
      <c r="C19" s="736" t="s">
        <v>578</v>
      </c>
      <c r="D19" s="737" t="s">
        <v>188</v>
      </c>
      <c r="E19" s="736" t="s">
        <v>579</v>
      </c>
      <c r="F19" s="737"/>
      <c r="G19" s="737"/>
      <c r="H19" s="737">
        <v>1</v>
      </c>
      <c r="I19" s="737">
        <v>1</v>
      </c>
      <c r="J19" s="737">
        <v>1</v>
      </c>
      <c r="K19" s="737">
        <v>1</v>
      </c>
      <c r="L19" s="737">
        <v>1</v>
      </c>
      <c r="M19" s="737">
        <v>1</v>
      </c>
      <c r="N19" s="737">
        <v>1</v>
      </c>
      <c r="O19" s="737">
        <v>1</v>
      </c>
      <c r="P19" s="735" t="s">
        <v>765</v>
      </c>
      <c r="Q19" s="736"/>
      <c r="R19" s="736"/>
      <c r="S19" s="736"/>
    </row>
    <row r="20" spans="1:19">
      <c r="A20" s="735" t="s">
        <v>550</v>
      </c>
      <c r="B20" s="736" t="s">
        <v>556</v>
      </c>
      <c r="C20" s="736" t="s">
        <v>189</v>
      </c>
      <c r="D20" s="737" t="s">
        <v>189</v>
      </c>
      <c r="E20" s="736" t="s">
        <v>580</v>
      </c>
      <c r="F20" s="737">
        <v>1</v>
      </c>
      <c r="G20" s="737">
        <v>1</v>
      </c>
      <c r="H20" s="737">
        <v>1</v>
      </c>
      <c r="I20" s="737">
        <v>1</v>
      </c>
      <c r="J20" s="737">
        <v>0.7421875</v>
      </c>
      <c r="K20" s="737">
        <v>0.75</v>
      </c>
      <c r="L20" s="737">
        <v>0.86324786324786329</v>
      </c>
      <c r="M20" s="737">
        <v>0.74742268041237114</v>
      </c>
      <c r="N20" s="737">
        <v>0.83673469387755106</v>
      </c>
      <c r="O20" s="737">
        <v>0.86507177033492821</v>
      </c>
      <c r="P20" s="735" t="s">
        <v>765</v>
      </c>
      <c r="Q20" s="736"/>
      <c r="R20" s="736"/>
      <c r="S20" s="736"/>
    </row>
    <row r="21" spans="1:19">
      <c r="A21" s="735" t="s">
        <v>550</v>
      </c>
      <c r="B21" s="736" t="s">
        <v>556</v>
      </c>
      <c r="C21" s="736" t="s">
        <v>189</v>
      </c>
      <c r="D21" s="737" t="s">
        <v>189</v>
      </c>
      <c r="E21" s="736" t="s">
        <v>581</v>
      </c>
      <c r="F21" s="737">
        <v>0</v>
      </c>
      <c r="G21" s="737">
        <v>0</v>
      </c>
      <c r="H21" s="737">
        <v>0</v>
      </c>
      <c r="I21" s="737">
        <v>0</v>
      </c>
      <c r="J21" s="737">
        <v>0.2578125</v>
      </c>
      <c r="K21" s="737">
        <v>0.25</v>
      </c>
      <c r="L21" s="737">
        <v>0.13675213675213677</v>
      </c>
      <c r="M21" s="737">
        <v>0.25257731958762886</v>
      </c>
      <c r="N21" s="737">
        <v>0.16326530612244897</v>
      </c>
      <c r="O21" s="737">
        <v>0.13492822966507176</v>
      </c>
      <c r="P21" s="735" t="s">
        <v>764</v>
      </c>
      <c r="Q21" s="736" t="s">
        <v>562</v>
      </c>
      <c r="R21" s="736">
        <v>2511</v>
      </c>
      <c r="S21" s="736"/>
    </row>
    <row r="22" spans="1:19">
      <c r="A22" s="735" t="s">
        <v>550</v>
      </c>
      <c r="B22" s="736" t="s">
        <v>556</v>
      </c>
      <c r="C22" s="736" t="s">
        <v>582</v>
      </c>
      <c r="D22" s="737" t="s">
        <v>583</v>
      </c>
      <c r="E22" s="736" t="s">
        <v>584</v>
      </c>
      <c r="F22" s="737">
        <v>6.8571428571428575E-2</v>
      </c>
      <c r="G22" s="737">
        <v>0.11578947368421053</v>
      </c>
      <c r="H22" s="737">
        <v>0.10780669144981413</v>
      </c>
      <c r="I22" s="737">
        <v>9.7345132743362831E-2</v>
      </c>
      <c r="J22" s="737">
        <v>0.14233576642335766</v>
      </c>
      <c r="K22" s="737">
        <v>0.10927152317880795</v>
      </c>
      <c r="L22" s="737">
        <v>0.11447811447811448</v>
      </c>
      <c r="M22" s="737">
        <v>0.13782051282051283</v>
      </c>
      <c r="N22" s="737">
        <v>6.5573770491803282E-2</v>
      </c>
      <c r="O22" s="737">
        <v>0.1116751269035533</v>
      </c>
      <c r="P22" s="735" t="s">
        <v>765</v>
      </c>
      <c r="Q22" s="736"/>
      <c r="R22" s="736"/>
      <c r="S22" s="736"/>
    </row>
    <row r="23" spans="1:19">
      <c r="A23" s="735" t="s">
        <v>550</v>
      </c>
      <c r="B23" s="736" t="s">
        <v>556</v>
      </c>
      <c r="C23" s="736" t="s">
        <v>582</v>
      </c>
      <c r="D23" s="737" t="s">
        <v>585</v>
      </c>
      <c r="E23" s="736" t="s">
        <v>586</v>
      </c>
      <c r="F23" s="737">
        <v>9.7142857142857142E-2</v>
      </c>
      <c r="G23" s="737">
        <v>6.3157894736842107E-2</v>
      </c>
      <c r="H23" s="737">
        <v>0.12267657992565056</v>
      </c>
      <c r="I23" s="737">
        <v>0.13274336283185842</v>
      </c>
      <c r="J23" s="737">
        <v>9.4890510948905105E-2</v>
      </c>
      <c r="K23" s="737">
        <v>0.1490066225165563</v>
      </c>
      <c r="L23" s="737">
        <v>0.15488215488215487</v>
      </c>
      <c r="M23" s="737">
        <v>0.18269230769230768</v>
      </c>
      <c r="N23" s="737">
        <v>0.15573770491803279</v>
      </c>
      <c r="O23" s="737">
        <v>0.13151822796492849</v>
      </c>
      <c r="P23" s="735" t="s">
        <v>765</v>
      </c>
      <c r="Q23" s="736"/>
      <c r="R23" s="736"/>
      <c r="S23" s="736"/>
    </row>
    <row r="24" spans="1:19">
      <c r="A24" s="735" t="s">
        <v>550</v>
      </c>
      <c r="B24" s="736" t="s">
        <v>556</v>
      </c>
      <c r="C24" s="736" t="s">
        <v>582</v>
      </c>
      <c r="D24" s="737" t="s">
        <v>585</v>
      </c>
      <c r="E24" s="736" t="s">
        <v>587</v>
      </c>
      <c r="F24" s="737">
        <v>0.12</v>
      </c>
      <c r="G24" s="737">
        <v>0.18947368421052632</v>
      </c>
      <c r="H24" s="737">
        <v>8.5501858736059477E-2</v>
      </c>
      <c r="I24" s="737">
        <v>4.8672566371681415E-2</v>
      </c>
      <c r="J24" s="737">
        <v>4.3795620437956206E-2</v>
      </c>
      <c r="K24" s="737">
        <v>8.2781456953642391E-2</v>
      </c>
      <c r="L24" s="737">
        <v>8.0808080808080815E-2</v>
      </c>
      <c r="M24" s="737">
        <v>5.7692307692307696E-2</v>
      </c>
      <c r="N24" s="737">
        <v>2.4590163934426229E-2</v>
      </c>
      <c r="O24" s="737">
        <v>7.9833871712044299E-2</v>
      </c>
      <c r="P24" s="735" t="s">
        <v>764</v>
      </c>
      <c r="Q24" s="736" t="s">
        <v>562</v>
      </c>
      <c r="R24" s="736">
        <v>2512</v>
      </c>
      <c r="S24" s="736"/>
    </row>
    <row r="25" spans="1:19">
      <c r="A25" s="735" t="s">
        <v>550</v>
      </c>
      <c r="B25" s="736" t="s">
        <v>556</v>
      </c>
      <c r="C25" s="736" t="s">
        <v>582</v>
      </c>
      <c r="D25" s="737" t="s">
        <v>585</v>
      </c>
      <c r="E25" s="736" t="s">
        <v>588</v>
      </c>
      <c r="F25" s="737">
        <v>0.13142857142857142</v>
      </c>
      <c r="G25" s="737">
        <v>5.7894736842105263E-2</v>
      </c>
      <c r="H25" s="737">
        <v>0.10408921933085502</v>
      </c>
      <c r="I25" s="737">
        <v>0.1415929203539823</v>
      </c>
      <c r="J25" s="737">
        <v>0.12408759124087591</v>
      </c>
      <c r="K25" s="737">
        <v>0.10596026490066225</v>
      </c>
      <c r="L25" s="737">
        <v>9.7643097643097643E-2</v>
      </c>
      <c r="M25" s="737">
        <v>0.13782051282051283</v>
      </c>
      <c r="N25" s="737">
        <v>0.20491803278688525</v>
      </c>
      <c r="O25" s="737">
        <v>0.11859713890170744</v>
      </c>
      <c r="P25" s="735" t="s">
        <v>765</v>
      </c>
      <c r="Q25" s="736"/>
      <c r="R25" s="736"/>
      <c r="S25" s="736"/>
    </row>
    <row r="26" spans="1:19">
      <c r="A26" s="735" t="s">
        <v>550</v>
      </c>
      <c r="B26" s="736" t="s">
        <v>556</v>
      </c>
      <c r="C26" s="736" t="s">
        <v>582</v>
      </c>
      <c r="D26" s="737" t="s">
        <v>589</v>
      </c>
      <c r="E26" s="736" t="s">
        <v>590</v>
      </c>
      <c r="F26" s="737">
        <v>0.2742857142857143</v>
      </c>
      <c r="G26" s="737">
        <v>0.3473684210526316</v>
      </c>
      <c r="H26" s="737">
        <v>0.20446096654275092</v>
      </c>
      <c r="I26" s="737">
        <v>0.13274336283185842</v>
      </c>
      <c r="J26" s="737">
        <v>0.12408759124087591</v>
      </c>
      <c r="K26" s="737">
        <v>0.18543046357615894</v>
      </c>
      <c r="L26" s="737">
        <v>0.15488215488215487</v>
      </c>
      <c r="M26" s="737">
        <v>0.13461538461538461</v>
      </c>
      <c r="N26" s="737">
        <v>0.1721311475409836</v>
      </c>
      <c r="O26" s="737">
        <v>0.18366405168435626</v>
      </c>
      <c r="P26" s="735" t="s">
        <v>765</v>
      </c>
      <c r="Q26" s="736"/>
      <c r="R26" s="736"/>
      <c r="S26" s="736"/>
    </row>
    <row r="27" spans="1:19">
      <c r="A27" s="735" t="s">
        <v>550</v>
      </c>
      <c r="B27" s="736" t="s">
        <v>556</v>
      </c>
      <c r="C27" s="736" t="s">
        <v>582</v>
      </c>
      <c r="D27" s="737" t="s">
        <v>589</v>
      </c>
      <c r="E27" s="736" t="s">
        <v>591</v>
      </c>
      <c r="F27" s="737">
        <v>0.10285714285714286</v>
      </c>
      <c r="G27" s="737">
        <v>9.4736842105263161E-2</v>
      </c>
      <c r="H27" s="737">
        <v>0.17472118959107807</v>
      </c>
      <c r="I27" s="737">
        <v>0.22123893805309736</v>
      </c>
      <c r="J27" s="737">
        <v>0.15328467153284672</v>
      </c>
      <c r="K27" s="737">
        <v>0.14569536423841059</v>
      </c>
      <c r="L27" s="737">
        <v>0.14478114478114479</v>
      </c>
      <c r="M27" s="737">
        <v>0.16025641025641027</v>
      </c>
      <c r="N27" s="737">
        <v>0.15573770491803279</v>
      </c>
      <c r="O27" s="737">
        <v>0.15274573142593448</v>
      </c>
      <c r="P27" s="735" t="s">
        <v>764</v>
      </c>
      <c r="Q27" s="736" t="s">
        <v>562</v>
      </c>
      <c r="R27" s="736">
        <v>2512</v>
      </c>
      <c r="S27" s="736"/>
    </row>
    <row r="28" spans="1:19">
      <c r="A28" s="735" t="s">
        <v>550</v>
      </c>
      <c r="B28" s="736" t="s">
        <v>556</v>
      </c>
      <c r="C28" s="736" t="s">
        <v>582</v>
      </c>
      <c r="D28" s="737" t="s">
        <v>589</v>
      </c>
      <c r="E28" s="736" t="s">
        <v>592</v>
      </c>
      <c r="F28" s="737">
        <v>0.20571428571428571</v>
      </c>
      <c r="G28" s="737">
        <v>0.12631578947368421</v>
      </c>
      <c r="H28" s="737">
        <v>0.15613382899628253</v>
      </c>
      <c r="I28" s="737">
        <v>0.17256637168141592</v>
      </c>
      <c r="J28" s="737">
        <v>0.21897810218978103</v>
      </c>
      <c r="K28" s="737">
        <v>0.15231788079470199</v>
      </c>
      <c r="L28" s="737">
        <v>0.18181818181818182</v>
      </c>
      <c r="M28" s="737">
        <v>0.17628205128205129</v>
      </c>
      <c r="N28" s="737">
        <v>0.20491803278688525</v>
      </c>
      <c r="O28" s="737">
        <v>0.17581910475311491</v>
      </c>
      <c r="P28" s="735" t="s">
        <v>765</v>
      </c>
      <c r="Q28" s="736"/>
      <c r="R28" s="736"/>
      <c r="S28" s="736"/>
    </row>
    <row r="29" spans="1:19">
      <c r="A29" s="735" t="s">
        <v>550</v>
      </c>
      <c r="B29" s="736" t="s">
        <v>556</v>
      </c>
      <c r="C29" s="736" t="s">
        <v>582</v>
      </c>
      <c r="D29" s="737" t="s">
        <v>593</v>
      </c>
      <c r="E29" s="736" t="s">
        <v>594</v>
      </c>
      <c r="F29" s="737">
        <v>0</v>
      </c>
      <c r="G29" s="737">
        <v>5.263157894736842E-3</v>
      </c>
      <c r="H29" s="737">
        <v>4.4609665427509292E-2</v>
      </c>
      <c r="I29" s="737">
        <v>5.3097345132743362E-2</v>
      </c>
      <c r="J29" s="737">
        <v>9.8540145985401464E-2</v>
      </c>
      <c r="K29" s="737">
        <v>6.9536423841059597E-2</v>
      </c>
      <c r="L29" s="737">
        <v>7.0707070707070704E-2</v>
      </c>
      <c r="M29" s="737">
        <v>1.282051282051282E-2</v>
      </c>
      <c r="N29" s="737">
        <v>1.6393442622950821E-2</v>
      </c>
      <c r="O29" s="737">
        <v>4.6146746654360866E-2</v>
      </c>
      <c r="P29" s="735" t="s">
        <v>765</v>
      </c>
      <c r="Q29" s="736"/>
      <c r="R29" s="736"/>
      <c r="S29" s="736"/>
    </row>
    <row r="30" spans="1:19">
      <c r="A30" s="735" t="s">
        <v>550</v>
      </c>
      <c r="B30" s="736" t="s">
        <v>556</v>
      </c>
      <c r="C30" s="736" t="s">
        <v>595</v>
      </c>
      <c r="D30" s="737" t="s">
        <v>596</v>
      </c>
      <c r="E30" s="736" t="s">
        <v>597</v>
      </c>
      <c r="F30" s="737">
        <v>0.20216606498194944</v>
      </c>
      <c r="G30" s="737">
        <v>0.20761245674740483</v>
      </c>
      <c r="H30" s="737">
        <v>0.18465909090909091</v>
      </c>
      <c r="I30" s="737">
        <v>0.18475073313782991</v>
      </c>
      <c r="J30" s="737">
        <v>0.17069486404833836</v>
      </c>
      <c r="K30" s="737">
        <v>0.18591549295774648</v>
      </c>
      <c r="L30" s="737">
        <v>0.18290854572713644</v>
      </c>
      <c r="M30" s="737">
        <v>0.18666666666666668</v>
      </c>
      <c r="N30" s="737">
        <v>0.21529745042492918</v>
      </c>
      <c r="O30" s="737">
        <v>0.18791183821858667</v>
      </c>
      <c r="P30" s="735" t="s">
        <v>765</v>
      </c>
      <c r="Q30" s="736"/>
      <c r="R30" s="736"/>
      <c r="S30" s="736"/>
    </row>
    <row r="31" spans="1:19">
      <c r="A31" s="735" t="s">
        <v>550</v>
      </c>
      <c r="B31" s="736" t="s">
        <v>556</v>
      </c>
      <c r="C31" s="736" t="s">
        <v>595</v>
      </c>
      <c r="D31" s="737" t="s">
        <v>596</v>
      </c>
      <c r="E31" s="736" t="s">
        <v>598</v>
      </c>
      <c r="F31" s="737">
        <v>0.28158844765342961</v>
      </c>
      <c r="G31" s="737">
        <v>0.20069204152249134</v>
      </c>
      <c r="H31" s="737">
        <v>0.17897727272727273</v>
      </c>
      <c r="I31" s="737">
        <v>0.19941348973607037</v>
      </c>
      <c r="J31" s="737">
        <v>0.23564954682779457</v>
      </c>
      <c r="K31" s="737">
        <v>0.22676056338028169</v>
      </c>
      <c r="L31" s="737">
        <v>0.24587706146926536</v>
      </c>
      <c r="M31" s="737">
        <v>0.21066666666666667</v>
      </c>
      <c r="N31" s="737">
        <v>0.19263456090651557</v>
      </c>
      <c r="O31" s="737">
        <v>0.22131333787775506</v>
      </c>
      <c r="P31" s="735" t="s">
        <v>765</v>
      </c>
      <c r="Q31" s="736"/>
      <c r="R31" s="736"/>
      <c r="S31" s="736"/>
    </row>
    <row r="32" spans="1:19">
      <c r="A32" s="735" t="s">
        <v>550</v>
      </c>
      <c r="B32" s="736" t="s">
        <v>556</v>
      </c>
      <c r="C32" s="736" t="s">
        <v>595</v>
      </c>
      <c r="D32" s="737" t="s">
        <v>599</v>
      </c>
      <c r="E32" s="736" t="s">
        <v>600</v>
      </c>
      <c r="F32" s="737">
        <v>0</v>
      </c>
      <c r="G32" s="737">
        <v>0</v>
      </c>
      <c r="H32" s="737">
        <v>0</v>
      </c>
      <c r="I32" s="737">
        <v>2.3460410557184751E-2</v>
      </c>
      <c r="J32" s="737">
        <v>6.3444108761329304E-2</v>
      </c>
      <c r="K32" s="737">
        <v>0.14225352112676057</v>
      </c>
      <c r="L32" s="737">
        <v>0.10344827586206896</v>
      </c>
      <c r="M32" s="737">
        <v>0.10266666666666667</v>
      </c>
      <c r="N32" s="737">
        <v>5.6657223796033995E-2</v>
      </c>
      <c r="O32" s="737">
        <v>7.2029084299022952E-2</v>
      </c>
      <c r="P32" s="735" t="s">
        <v>765</v>
      </c>
      <c r="Q32" s="736"/>
      <c r="R32" s="736"/>
      <c r="S32" s="736"/>
    </row>
    <row r="33" spans="1:19">
      <c r="A33" s="735" t="s">
        <v>550</v>
      </c>
      <c r="B33" s="736" t="s">
        <v>556</v>
      </c>
      <c r="C33" s="736" t="s">
        <v>595</v>
      </c>
      <c r="D33" s="737" t="s">
        <v>601</v>
      </c>
      <c r="E33" s="736" t="s">
        <v>602</v>
      </c>
      <c r="F33" s="737">
        <v>0.13718411552346571</v>
      </c>
      <c r="G33" s="737">
        <v>0.14186851211072665</v>
      </c>
      <c r="H33" s="737">
        <v>0.16477272727272727</v>
      </c>
      <c r="I33" s="737">
        <v>0.20527859237536658</v>
      </c>
      <c r="J33" s="737">
        <v>0.18731117824773413</v>
      </c>
      <c r="K33" s="737">
        <v>0.18450704225352113</v>
      </c>
      <c r="L33" s="737">
        <v>0.10944527736131934</v>
      </c>
      <c r="M33" s="737">
        <v>0.17066666666666666</v>
      </c>
      <c r="N33" s="737">
        <v>0.14164305949008499</v>
      </c>
      <c r="O33" s="737">
        <v>0.16200863440127244</v>
      </c>
      <c r="P33" s="735" t="s">
        <v>765</v>
      </c>
      <c r="Q33" s="736"/>
      <c r="R33" s="736"/>
      <c r="S33" s="736"/>
    </row>
    <row r="34" spans="1:19">
      <c r="A34" s="735" t="s">
        <v>550</v>
      </c>
      <c r="B34" s="736" t="s">
        <v>556</v>
      </c>
      <c r="C34" s="736" t="s">
        <v>595</v>
      </c>
      <c r="D34" s="737" t="s">
        <v>601</v>
      </c>
      <c r="E34" s="736" t="s">
        <v>603</v>
      </c>
      <c r="F34" s="737">
        <v>0.27075812274368233</v>
      </c>
      <c r="G34" s="737">
        <v>0.37024221453287198</v>
      </c>
      <c r="H34" s="737">
        <v>0.32386363636363635</v>
      </c>
      <c r="I34" s="737">
        <v>0.2316715542521994</v>
      </c>
      <c r="J34" s="737">
        <v>0.26888217522658608</v>
      </c>
      <c r="K34" s="737">
        <v>0.21408450704225351</v>
      </c>
      <c r="L34" s="737">
        <v>0.22338830584707647</v>
      </c>
      <c r="M34" s="737">
        <v>0.20933333333333334</v>
      </c>
      <c r="N34" s="737">
        <v>0.25495750708215298</v>
      </c>
      <c r="O34" s="737">
        <v>0.2501704158145876</v>
      </c>
      <c r="P34" s="735" t="s">
        <v>765</v>
      </c>
      <c r="Q34" s="736"/>
      <c r="R34" s="736"/>
      <c r="S34" s="736"/>
    </row>
    <row r="35" spans="1:19">
      <c r="A35" s="735" t="s">
        <v>550</v>
      </c>
      <c r="B35" s="736" t="s">
        <v>551</v>
      </c>
      <c r="C35" s="736" t="s">
        <v>595</v>
      </c>
      <c r="D35" s="737" t="s">
        <v>601</v>
      </c>
      <c r="E35" s="736" t="s">
        <v>604</v>
      </c>
      <c r="F35" s="737">
        <v>0</v>
      </c>
      <c r="G35" s="737">
        <v>0</v>
      </c>
      <c r="H35" s="737">
        <v>0</v>
      </c>
      <c r="I35" s="737">
        <v>0</v>
      </c>
      <c r="J35" s="737">
        <v>0</v>
      </c>
      <c r="K35" s="737">
        <v>8.4507042253521118E-3</v>
      </c>
      <c r="L35" s="737">
        <v>5.2473763118440778E-2</v>
      </c>
      <c r="M35" s="737">
        <v>1.3333333333333334E-2</v>
      </c>
      <c r="N35" s="737">
        <v>1.9830028328611898E-2</v>
      </c>
      <c r="O35" s="737">
        <v>1.3178822994773916E-2</v>
      </c>
      <c r="P35" s="735" t="s">
        <v>605</v>
      </c>
      <c r="Q35" s="736"/>
      <c r="R35" s="736"/>
      <c r="S35" s="736"/>
    </row>
    <row r="36" spans="1:19">
      <c r="A36" s="735" t="s">
        <v>550</v>
      </c>
      <c r="B36" s="736" t="s">
        <v>551</v>
      </c>
      <c r="C36" s="736" t="s">
        <v>595</v>
      </c>
      <c r="D36" s="737" t="s">
        <v>599</v>
      </c>
      <c r="E36" s="736" t="s">
        <v>606</v>
      </c>
      <c r="F36" s="737">
        <v>0</v>
      </c>
      <c r="G36" s="737">
        <v>0</v>
      </c>
      <c r="H36" s="737">
        <v>0</v>
      </c>
      <c r="I36" s="737">
        <v>0</v>
      </c>
      <c r="J36" s="737">
        <v>0</v>
      </c>
      <c r="K36" s="737">
        <v>4.2253521126760559E-3</v>
      </c>
      <c r="L36" s="737">
        <v>8.2458770614692659E-2</v>
      </c>
      <c r="M36" s="737">
        <v>0.10666666666666667</v>
      </c>
      <c r="N36" s="737">
        <v>0.11898016997167139</v>
      </c>
      <c r="O36" s="737">
        <v>4.0899795501022497E-2</v>
      </c>
      <c r="P36" s="735" t="s">
        <v>764</v>
      </c>
      <c r="Q36" s="736" t="s">
        <v>562</v>
      </c>
      <c r="R36" s="736">
        <v>2512</v>
      </c>
      <c r="S36" s="736" t="s">
        <v>555</v>
      </c>
    </row>
    <row r="37" spans="1:19">
      <c r="A37" s="735">
        <v>2510</v>
      </c>
      <c r="B37" s="736" t="s">
        <v>556</v>
      </c>
      <c r="C37" s="736" t="s">
        <v>595</v>
      </c>
      <c r="D37" s="737" t="s">
        <v>596</v>
      </c>
      <c r="E37" s="736" t="s">
        <v>607</v>
      </c>
      <c r="F37" s="737"/>
      <c r="G37" s="737"/>
      <c r="H37" s="737"/>
      <c r="I37" s="737"/>
      <c r="J37" s="737"/>
      <c r="K37" s="737"/>
      <c r="L37" s="737"/>
      <c r="M37" s="737"/>
      <c r="N37" s="737"/>
      <c r="O37" s="737"/>
      <c r="P37" s="735" t="s">
        <v>765</v>
      </c>
      <c r="Q37" s="736"/>
      <c r="R37" s="736"/>
      <c r="S37" s="736"/>
    </row>
    <row r="38" spans="1:19">
      <c r="A38" s="735">
        <v>2510</v>
      </c>
      <c r="B38" s="736" t="s">
        <v>551</v>
      </c>
      <c r="C38" s="736" t="s">
        <v>595</v>
      </c>
      <c r="D38" s="737" t="s">
        <v>596</v>
      </c>
      <c r="E38" s="736" t="s">
        <v>608</v>
      </c>
      <c r="F38" s="737"/>
      <c r="G38" s="737"/>
      <c r="H38" s="737"/>
      <c r="I38" s="737"/>
      <c r="J38" s="737"/>
      <c r="K38" s="737"/>
      <c r="L38" s="737"/>
      <c r="M38" s="737"/>
      <c r="N38" s="737"/>
      <c r="O38" s="737"/>
      <c r="P38" s="735" t="s">
        <v>764</v>
      </c>
      <c r="Q38" s="736" t="s">
        <v>562</v>
      </c>
      <c r="R38" s="736">
        <v>2510</v>
      </c>
      <c r="S38" s="736" t="s">
        <v>555</v>
      </c>
    </row>
    <row r="39" spans="1:19">
      <c r="A39" s="735" t="s">
        <v>550</v>
      </c>
      <c r="B39" s="736" t="s">
        <v>556</v>
      </c>
      <c r="C39" s="736" t="s">
        <v>609</v>
      </c>
      <c r="D39" s="737" t="s">
        <v>226</v>
      </c>
      <c r="E39" s="736" t="s">
        <v>610</v>
      </c>
      <c r="F39" s="737">
        <v>1</v>
      </c>
      <c r="G39" s="737">
        <v>1</v>
      </c>
      <c r="H39" s="737">
        <v>1</v>
      </c>
      <c r="I39" s="737">
        <v>1</v>
      </c>
      <c r="J39" s="737">
        <v>1</v>
      </c>
      <c r="K39" s="737">
        <v>1</v>
      </c>
      <c r="L39" s="737">
        <v>1</v>
      </c>
      <c r="M39" s="737">
        <v>1</v>
      </c>
      <c r="N39" s="737">
        <v>1</v>
      </c>
      <c r="O39" s="737">
        <v>1</v>
      </c>
      <c r="P39" s="735" t="s">
        <v>765</v>
      </c>
      <c r="Q39" s="736"/>
      <c r="R39" s="736"/>
      <c r="S39" s="736"/>
    </row>
    <row r="40" spans="1:19">
      <c r="A40" s="735" t="s">
        <v>550</v>
      </c>
      <c r="B40" s="736" t="s">
        <v>556</v>
      </c>
      <c r="C40" s="736" t="s">
        <v>611</v>
      </c>
      <c r="D40" s="737" t="s">
        <v>612</v>
      </c>
      <c r="E40" s="736" t="s">
        <v>613</v>
      </c>
      <c r="F40" s="737">
        <v>1</v>
      </c>
      <c r="G40" s="737">
        <v>1</v>
      </c>
      <c r="H40" s="737">
        <v>1</v>
      </c>
      <c r="I40" s="737">
        <v>1</v>
      </c>
      <c r="J40" s="737">
        <v>1</v>
      </c>
      <c r="K40" s="737">
        <v>1</v>
      </c>
      <c r="L40" s="737">
        <v>1</v>
      </c>
      <c r="M40" s="737">
        <v>1</v>
      </c>
      <c r="N40" s="737">
        <v>1</v>
      </c>
      <c r="O40" s="737">
        <v>1</v>
      </c>
      <c r="P40" s="735" t="s">
        <v>765</v>
      </c>
      <c r="Q40" s="736"/>
      <c r="R40" s="736"/>
      <c r="S40" s="736"/>
    </row>
    <row r="41" spans="1:19">
      <c r="A41" s="735" t="s">
        <v>550</v>
      </c>
      <c r="B41" s="736" t="s">
        <v>556</v>
      </c>
      <c r="C41" s="736" t="s">
        <v>614</v>
      </c>
      <c r="D41" s="737" t="s">
        <v>615</v>
      </c>
      <c r="E41" s="736" t="s">
        <v>616</v>
      </c>
      <c r="F41" s="737">
        <v>0.1553398058252427</v>
      </c>
      <c r="G41" s="737">
        <v>6.9306930693069313E-2</v>
      </c>
      <c r="H41" s="737">
        <v>0.2608695652173913</v>
      </c>
      <c r="I41" s="737">
        <v>0.16129032258064516</v>
      </c>
      <c r="J41" s="737">
        <v>7.874015748031496E-2</v>
      </c>
      <c r="K41" s="737">
        <v>0.1402439024390244</v>
      </c>
      <c r="L41" s="737">
        <v>0.14210526315789473</v>
      </c>
      <c r="M41" s="737">
        <v>0.15189873417721519</v>
      </c>
      <c r="N41" s="737">
        <v>8.2191780821917804E-2</v>
      </c>
      <c r="O41" s="737">
        <v>0.14131338320864506</v>
      </c>
      <c r="P41" s="735" t="s">
        <v>765</v>
      </c>
      <c r="Q41" s="736"/>
      <c r="R41" s="736"/>
      <c r="S41" s="736"/>
    </row>
    <row r="42" spans="1:19">
      <c r="A42" s="735" t="s">
        <v>550</v>
      </c>
      <c r="B42" s="736" t="s">
        <v>556</v>
      </c>
      <c r="C42" s="736" t="s">
        <v>614</v>
      </c>
      <c r="D42" s="737" t="s">
        <v>615</v>
      </c>
      <c r="E42" s="736" t="s">
        <v>617</v>
      </c>
      <c r="F42" s="737">
        <v>0.84466019417475724</v>
      </c>
      <c r="G42" s="737">
        <v>0.93069306930693074</v>
      </c>
      <c r="H42" s="737">
        <v>0.73913043478260865</v>
      </c>
      <c r="I42" s="737">
        <v>0.83870967741935487</v>
      </c>
      <c r="J42" s="737">
        <v>0.92125984251968507</v>
      </c>
      <c r="K42" s="737">
        <v>0.8597560975609756</v>
      </c>
      <c r="L42" s="737">
        <v>0.81052631578947365</v>
      </c>
      <c r="M42" s="737">
        <v>0.73417721518987344</v>
      </c>
      <c r="N42" s="737">
        <v>0.8904109589041096</v>
      </c>
      <c r="O42" s="737">
        <v>0.82709891936824609</v>
      </c>
      <c r="P42" s="735" t="s">
        <v>765</v>
      </c>
      <c r="Q42" s="736"/>
      <c r="R42" s="736"/>
      <c r="S42" s="736"/>
    </row>
    <row r="43" spans="1:19">
      <c r="A43" s="735" t="s">
        <v>550</v>
      </c>
      <c r="B43" s="736" t="s">
        <v>551</v>
      </c>
      <c r="C43" s="736" t="s">
        <v>614</v>
      </c>
      <c r="D43" s="737" t="s">
        <v>615</v>
      </c>
      <c r="E43" s="736" t="s">
        <v>618</v>
      </c>
      <c r="F43" s="737">
        <v>0</v>
      </c>
      <c r="G43" s="737">
        <v>0</v>
      </c>
      <c r="H43" s="737">
        <v>0</v>
      </c>
      <c r="I43" s="737">
        <v>0</v>
      </c>
      <c r="J43" s="737">
        <v>0</v>
      </c>
      <c r="K43" s="737">
        <v>0</v>
      </c>
      <c r="L43" s="737">
        <v>4.736842105263158E-2</v>
      </c>
      <c r="M43" s="737">
        <v>0.11392405063291139</v>
      </c>
      <c r="N43" s="737">
        <v>2.7397260273972601E-2</v>
      </c>
      <c r="O43" s="737">
        <v>3.1587697423108893E-2</v>
      </c>
      <c r="P43" s="735" t="s">
        <v>764</v>
      </c>
      <c r="Q43" s="736" t="s">
        <v>562</v>
      </c>
      <c r="R43" s="736">
        <v>2510</v>
      </c>
      <c r="S43" s="736" t="s">
        <v>555</v>
      </c>
    </row>
    <row r="44" spans="1:19">
      <c r="A44" s="735" t="s">
        <v>550</v>
      </c>
      <c r="B44" s="736" t="s">
        <v>556</v>
      </c>
      <c r="C44" s="736" t="s">
        <v>23</v>
      </c>
      <c r="D44" s="737" t="s">
        <v>619</v>
      </c>
      <c r="E44" s="736" t="s">
        <v>294</v>
      </c>
      <c r="F44" s="737">
        <v>0</v>
      </c>
      <c r="G44" s="737">
        <v>3.4632034632034632E-2</v>
      </c>
      <c r="H44" s="737">
        <v>6.5462753950338598E-2</v>
      </c>
      <c r="I44" s="737">
        <v>9.7633136094674555E-2</v>
      </c>
      <c r="J44" s="737">
        <v>6.8627450980392163E-2</v>
      </c>
      <c r="K44" s="737">
        <v>0.11776859504132231</v>
      </c>
      <c r="L44" s="737">
        <v>6.9230769230769235E-2</v>
      </c>
      <c r="M44" s="737">
        <v>9.9715099715099717E-2</v>
      </c>
      <c r="N44" s="737">
        <v>4.4354838709677422E-2</v>
      </c>
      <c r="O44" s="737">
        <v>7.7981651376146793E-2</v>
      </c>
      <c r="P44" s="735" t="s">
        <v>765</v>
      </c>
      <c r="Q44" s="736"/>
      <c r="R44" s="736"/>
      <c r="S44" s="736"/>
    </row>
    <row r="45" spans="1:19">
      <c r="A45" s="735" t="s">
        <v>550</v>
      </c>
      <c r="B45" s="736" t="s">
        <v>556</v>
      </c>
      <c r="C45" s="736" t="s">
        <v>23</v>
      </c>
      <c r="D45" s="737" t="s">
        <v>619</v>
      </c>
      <c r="E45" s="736" t="s">
        <v>295</v>
      </c>
      <c r="F45" s="737">
        <v>3.5087719298245612E-2</v>
      </c>
      <c r="G45" s="737">
        <v>9.5238095238095233E-2</v>
      </c>
      <c r="H45" s="737">
        <v>0.16930022573363432</v>
      </c>
      <c r="I45" s="737">
        <v>0.21005917159763313</v>
      </c>
      <c r="J45" s="737">
        <v>0.20098039215686275</v>
      </c>
      <c r="K45" s="737">
        <v>0.2024793388429752</v>
      </c>
      <c r="L45" s="737">
        <v>0.18653846153846154</v>
      </c>
      <c r="M45" s="737">
        <v>0.14672364672364671</v>
      </c>
      <c r="N45" s="737">
        <v>0.18548387096774194</v>
      </c>
      <c r="O45" s="737">
        <v>0.17144495412844038</v>
      </c>
      <c r="P45" s="735" t="s">
        <v>765</v>
      </c>
      <c r="Q45" s="736"/>
      <c r="R45" s="736"/>
      <c r="S45" s="736"/>
    </row>
    <row r="46" spans="1:19">
      <c r="A46" s="735" t="s">
        <v>550</v>
      </c>
      <c r="B46" s="736" t="s">
        <v>556</v>
      </c>
      <c r="C46" s="736" t="s">
        <v>23</v>
      </c>
      <c r="D46" s="737" t="s">
        <v>619</v>
      </c>
      <c r="E46" s="736" t="s">
        <v>296</v>
      </c>
      <c r="F46" s="737">
        <v>8.771929824561403E-3</v>
      </c>
      <c r="G46" s="737">
        <v>8.2251082251082255E-2</v>
      </c>
      <c r="H46" s="737">
        <v>9.480812641083522E-2</v>
      </c>
      <c r="I46" s="737">
        <v>0.15088757396449703</v>
      </c>
      <c r="J46" s="737">
        <v>0.1053921568627451</v>
      </c>
      <c r="K46" s="737">
        <v>0.12603305785123967</v>
      </c>
      <c r="L46" s="737">
        <v>8.269230769230769E-2</v>
      </c>
      <c r="M46" s="737">
        <v>0.10541310541310542</v>
      </c>
      <c r="N46" s="737">
        <v>0.10080645161290322</v>
      </c>
      <c r="O46" s="737">
        <v>0.10292431192660551</v>
      </c>
      <c r="P46" s="735" t="s">
        <v>765</v>
      </c>
      <c r="Q46" s="736"/>
      <c r="R46" s="736"/>
      <c r="S46" s="736"/>
    </row>
    <row r="47" spans="1:19">
      <c r="A47" s="735" t="s">
        <v>550</v>
      </c>
      <c r="B47" s="736" t="s">
        <v>556</v>
      </c>
      <c r="C47" s="736" t="s">
        <v>23</v>
      </c>
      <c r="D47" s="737" t="s">
        <v>619</v>
      </c>
      <c r="E47" s="736" t="s">
        <v>297</v>
      </c>
      <c r="F47" s="737">
        <v>0</v>
      </c>
      <c r="G47" s="737">
        <v>8.2251082251082255E-2</v>
      </c>
      <c r="H47" s="737">
        <v>7.6749435665914217E-2</v>
      </c>
      <c r="I47" s="737">
        <v>8.8757396449704137E-2</v>
      </c>
      <c r="J47" s="737">
        <v>5.3921568627450983E-2</v>
      </c>
      <c r="K47" s="737">
        <v>8.4710743801652888E-2</v>
      </c>
      <c r="L47" s="737">
        <v>6.3461538461538458E-2</v>
      </c>
      <c r="M47" s="737">
        <v>7.2649572649572655E-2</v>
      </c>
      <c r="N47" s="737">
        <v>8.0645161290322578E-2</v>
      </c>
      <c r="O47" s="737">
        <v>7.1674311926605505E-2</v>
      </c>
      <c r="P47" s="735" t="s">
        <v>765</v>
      </c>
      <c r="Q47" s="736"/>
      <c r="R47" s="736"/>
      <c r="S47" s="736"/>
    </row>
    <row r="48" spans="1:19">
      <c r="A48" s="735" t="s">
        <v>550</v>
      </c>
      <c r="B48" s="736" t="s">
        <v>556</v>
      </c>
      <c r="C48" s="736" t="s">
        <v>23</v>
      </c>
      <c r="D48" s="737" t="s">
        <v>619</v>
      </c>
      <c r="E48" s="736" t="s">
        <v>298</v>
      </c>
      <c r="F48" s="737">
        <v>8.771929824561403E-3</v>
      </c>
      <c r="G48" s="737">
        <v>6.9264069264069264E-2</v>
      </c>
      <c r="H48" s="737">
        <v>0.12415349887133183</v>
      </c>
      <c r="I48" s="737">
        <v>0.14201183431952663</v>
      </c>
      <c r="J48" s="737">
        <v>0.16176470588235295</v>
      </c>
      <c r="K48" s="737">
        <v>0.16735537190082644</v>
      </c>
      <c r="L48" s="737">
        <v>0.13076923076923078</v>
      </c>
      <c r="M48" s="737">
        <v>9.5441595441595445E-2</v>
      </c>
      <c r="N48" s="737">
        <v>0.10483870967741936</v>
      </c>
      <c r="O48" s="737">
        <v>0.12270642201834862</v>
      </c>
      <c r="P48" s="735" t="s">
        <v>764</v>
      </c>
      <c r="Q48" s="736" t="s">
        <v>562</v>
      </c>
      <c r="R48" s="736">
        <v>2511</v>
      </c>
      <c r="S48" s="736"/>
    </row>
    <row r="49" spans="1:19">
      <c r="A49" s="735" t="s">
        <v>550</v>
      </c>
      <c r="B49" s="736" t="s">
        <v>556</v>
      </c>
      <c r="C49" s="736" t="s">
        <v>23</v>
      </c>
      <c r="D49" s="737" t="s">
        <v>619</v>
      </c>
      <c r="E49" s="736" t="s">
        <v>299</v>
      </c>
      <c r="F49" s="737">
        <v>8.771929824561403E-3</v>
      </c>
      <c r="G49" s="737">
        <v>4.7619047619047616E-2</v>
      </c>
      <c r="H49" s="737">
        <v>0.1670428893905192</v>
      </c>
      <c r="I49" s="737">
        <v>0.12130177514792899</v>
      </c>
      <c r="J49" s="737">
        <v>0.16911764705882354</v>
      </c>
      <c r="K49" s="737">
        <v>0.14669421487603307</v>
      </c>
      <c r="L49" s="737">
        <v>0.1673076923076923</v>
      </c>
      <c r="M49" s="737">
        <v>0.14245014245014245</v>
      </c>
      <c r="N49" s="737">
        <v>8.8709677419354843E-2</v>
      </c>
      <c r="O49" s="737">
        <v>0.13646788990825687</v>
      </c>
      <c r="P49" s="735" t="s">
        <v>764</v>
      </c>
      <c r="Q49" s="736" t="s">
        <v>562</v>
      </c>
      <c r="R49" s="736">
        <v>2511</v>
      </c>
      <c r="S49" s="736"/>
    </row>
    <row r="50" spans="1:19">
      <c r="A50" s="735" t="s">
        <v>550</v>
      </c>
      <c r="B50" s="736" t="s">
        <v>556</v>
      </c>
      <c r="C50" s="736" t="s">
        <v>23</v>
      </c>
      <c r="D50" s="737" t="s">
        <v>619</v>
      </c>
      <c r="E50" s="736" t="s">
        <v>300</v>
      </c>
      <c r="F50" s="737">
        <v>0</v>
      </c>
      <c r="G50" s="737">
        <v>7.792207792207792E-2</v>
      </c>
      <c r="H50" s="737">
        <v>0.1489841986455982</v>
      </c>
      <c r="I50" s="737">
        <v>8.5798816568047331E-2</v>
      </c>
      <c r="J50" s="737">
        <v>0.12254901960784313</v>
      </c>
      <c r="K50" s="737">
        <v>0.10950413223140495</v>
      </c>
      <c r="L50" s="737">
        <v>0.10192307692307692</v>
      </c>
      <c r="M50" s="737">
        <v>7.5498575498575499E-2</v>
      </c>
      <c r="N50" s="737">
        <v>8.4677419354838704E-2</v>
      </c>
      <c r="O50" s="737">
        <v>9.8337155963302753E-2</v>
      </c>
      <c r="P50" s="735" t="s">
        <v>764</v>
      </c>
      <c r="Q50" s="736" t="s">
        <v>562</v>
      </c>
      <c r="R50" s="736">
        <v>2511</v>
      </c>
      <c r="S50" s="736"/>
    </row>
    <row r="51" spans="1:19">
      <c r="A51" s="735" t="s">
        <v>550</v>
      </c>
      <c r="B51" s="736" t="s">
        <v>556</v>
      </c>
      <c r="C51" s="736" t="s">
        <v>23</v>
      </c>
      <c r="D51" s="737" t="s">
        <v>619</v>
      </c>
      <c r="E51" s="736" t="s">
        <v>301</v>
      </c>
      <c r="F51" s="737">
        <v>0</v>
      </c>
      <c r="G51" s="737">
        <v>7.792207792207792E-2</v>
      </c>
      <c r="H51" s="737">
        <v>0.11060948081264109</v>
      </c>
      <c r="I51" s="737">
        <v>0.10059171597633136</v>
      </c>
      <c r="J51" s="737">
        <v>9.8039215686274508E-2</v>
      </c>
      <c r="K51" s="737">
        <v>4.3388429752066117E-2</v>
      </c>
      <c r="L51" s="737">
        <v>0.10192307692307692</v>
      </c>
      <c r="M51" s="737">
        <v>5.2706552706552709E-2</v>
      </c>
      <c r="N51" s="737">
        <v>7.6612903225806453E-2</v>
      </c>
      <c r="O51" s="737">
        <v>7.7694954128440366E-2</v>
      </c>
      <c r="P51" s="735" t="s">
        <v>764</v>
      </c>
      <c r="Q51" s="736" t="s">
        <v>562</v>
      </c>
      <c r="R51" s="736">
        <v>2511</v>
      </c>
      <c r="S51" s="736"/>
    </row>
    <row r="52" spans="1:19">
      <c r="A52" s="735" t="s">
        <v>550</v>
      </c>
      <c r="B52" s="736" t="s">
        <v>556</v>
      </c>
      <c r="C52" s="736" t="s">
        <v>23</v>
      </c>
      <c r="D52" s="737" t="s">
        <v>619</v>
      </c>
      <c r="E52" s="736" t="s">
        <v>302</v>
      </c>
      <c r="F52" s="737">
        <v>0</v>
      </c>
      <c r="G52" s="737">
        <v>0</v>
      </c>
      <c r="H52" s="737">
        <v>0</v>
      </c>
      <c r="I52" s="737">
        <v>0</v>
      </c>
      <c r="J52" s="737">
        <v>0</v>
      </c>
      <c r="K52" s="737">
        <v>0</v>
      </c>
      <c r="L52" s="737">
        <v>9.6153846153846159E-2</v>
      </c>
      <c r="M52" s="737">
        <v>0.20940170940170941</v>
      </c>
      <c r="N52" s="737">
        <v>0.18145161290322581</v>
      </c>
      <c r="O52" s="737">
        <v>6.9380733944954129E-2</v>
      </c>
      <c r="P52" s="735" t="s">
        <v>764</v>
      </c>
      <c r="Q52" s="736" t="s">
        <v>562</v>
      </c>
      <c r="R52" s="736">
        <v>2602</v>
      </c>
      <c r="S52" s="736"/>
    </row>
    <row r="53" spans="1:19">
      <c r="A53" s="735" t="s">
        <v>550</v>
      </c>
      <c r="B53" s="736" t="s">
        <v>556</v>
      </c>
      <c r="C53" s="736" t="s">
        <v>23</v>
      </c>
      <c r="D53" s="737" t="s">
        <v>619</v>
      </c>
      <c r="E53" s="736" t="s">
        <v>303</v>
      </c>
      <c r="F53" s="739">
        <v>0</v>
      </c>
      <c r="G53" s="739">
        <v>0</v>
      </c>
      <c r="H53" s="739">
        <v>0</v>
      </c>
      <c r="I53" s="739">
        <v>0</v>
      </c>
      <c r="J53" s="739">
        <v>0</v>
      </c>
      <c r="K53" s="739">
        <v>0</v>
      </c>
      <c r="L53" s="739">
        <v>0</v>
      </c>
      <c r="M53" s="739">
        <v>0</v>
      </c>
      <c r="N53" s="739">
        <v>5.2419354838709679E-2</v>
      </c>
      <c r="O53" s="739">
        <v>3.7270642201834864E-3</v>
      </c>
      <c r="P53" s="735" t="s">
        <v>764</v>
      </c>
      <c r="Q53" s="736" t="s">
        <v>562</v>
      </c>
      <c r="R53" s="736">
        <v>2602</v>
      </c>
      <c r="S53" s="736"/>
    </row>
    <row r="54" spans="1:19">
      <c r="A54" s="735">
        <v>2510</v>
      </c>
      <c r="B54" s="736" t="s">
        <v>556</v>
      </c>
      <c r="C54" s="736" t="s">
        <v>23</v>
      </c>
      <c r="D54" s="737" t="s">
        <v>619</v>
      </c>
      <c r="E54" s="736" t="s">
        <v>304</v>
      </c>
      <c r="F54" s="739"/>
      <c r="G54" s="739"/>
      <c r="H54" s="739"/>
      <c r="I54" s="739"/>
      <c r="J54" s="739"/>
      <c r="K54" s="739"/>
      <c r="L54" s="739"/>
      <c r="M54" s="739"/>
      <c r="N54" s="739"/>
      <c r="O54" s="739"/>
      <c r="P54" s="735" t="s">
        <v>764</v>
      </c>
      <c r="Q54" s="736" t="s">
        <v>562</v>
      </c>
      <c r="R54" s="736">
        <v>2602</v>
      </c>
      <c r="S54" s="736"/>
    </row>
    <row r="55" spans="1:19">
      <c r="A55" s="735" t="s">
        <v>550</v>
      </c>
      <c r="B55" s="736" t="s">
        <v>556</v>
      </c>
      <c r="C55" s="736" t="s">
        <v>285</v>
      </c>
      <c r="D55" s="737" t="s">
        <v>620</v>
      </c>
      <c r="E55" s="736" t="s">
        <v>621</v>
      </c>
      <c r="F55" s="737">
        <v>0</v>
      </c>
      <c r="G55" s="737">
        <v>1.6216216216216217E-2</v>
      </c>
      <c r="H55" s="737">
        <v>0.14285714285714285</v>
      </c>
      <c r="I55" s="737">
        <v>0.13043478260869565</v>
      </c>
      <c r="J55" s="737">
        <v>0.16666666666666666</v>
      </c>
      <c r="K55" s="737">
        <v>0.12030075187969924</v>
      </c>
      <c r="L55" s="737">
        <v>0.06</v>
      </c>
      <c r="M55" s="737">
        <v>9.9315068493150679E-2</v>
      </c>
      <c r="N55" s="737">
        <v>0.17910447761194029</v>
      </c>
      <c r="O55" s="737">
        <v>8.3533653846153841E-2</v>
      </c>
      <c r="P55" s="735" t="s">
        <v>765</v>
      </c>
      <c r="Q55" s="736"/>
      <c r="R55" s="736"/>
      <c r="S55" s="736"/>
    </row>
    <row r="56" spans="1:19">
      <c r="A56" s="735" t="s">
        <v>550</v>
      </c>
      <c r="B56" s="736" t="s">
        <v>556</v>
      </c>
      <c r="C56" s="736" t="s">
        <v>285</v>
      </c>
      <c r="D56" s="737" t="s">
        <v>622</v>
      </c>
      <c r="E56" s="736" t="s">
        <v>623</v>
      </c>
      <c r="F56" s="737">
        <v>0.45578231292517007</v>
      </c>
      <c r="G56" s="737">
        <v>0.19459459459459461</v>
      </c>
      <c r="H56" s="737">
        <v>0.23152709359605911</v>
      </c>
      <c r="I56" s="737">
        <v>0.18115942028985507</v>
      </c>
      <c r="J56" s="737">
        <v>0.31372549019607843</v>
      </c>
      <c r="K56" s="737">
        <v>0.18796992481203006</v>
      </c>
      <c r="L56" s="737">
        <v>0.19600000000000001</v>
      </c>
      <c r="M56" s="737">
        <v>8.5616438356164379E-2</v>
      </c>
      <c r="N56" s="737">
        <v>0.1044776119402985</v>
      </c>
      <c r="O56" s="737">
        <v>0.22836538461538461</v>
      </c>
      <c r="P56" s="735" t="s">
        <v>765</v>
      </c>
      <c r="Q56" s="736"/>
      <c r="R56" s="736"/>
      <c r="S56" s="736"/>
    </row>
    <row r="57" spans="1:19">
      <c r="A57" s="735" t="s">
        <v>550</v>
      </c>
      <c r="B57" s="736" t="s">
        <v>556</v>
      </c>
      <c r="C57" s="736" t="s">
        <v>285</v>
      </c>
      <c r="D57" s="737" t="s">
        <v>620</v>
      </c>
      <c r="E57" s="736" t="s">
        <v>624</v>
      </c>
      <c r="F57" s="737">
        <v>0</v>
      </c>
      <c r="G57" s="737">
        <v>3.2432432432432434E-2</v>
      </c>
      <c r="H57" s="737">
        <v>0.42364532019704432</v>
      </c>
      <c r="I57" s="737">
        <v>0.41304347826086957</v>
      </c>
      <c r="J57" s="737">
        <v>0.48039215686274511</v>
      </c>
      <c r="K57" s="737">
        <v>0.35338345864661652</v>
      </c>
      <c r="L57" s="737">
        <v>0.21199999999999999</v>
      </c>
      <c r="M57" s="737">
        <v>0.33904109589041098</v>
      </c>
      <c r="N57" s="737">
        <v>0.31343283582089554</v>
      </c>
      <c r="O57" s="737">
        <v>0.25120192307692307</v>
      </c>
      <c r="P57" s="735" t="s">
        <v>765</v>
      </c>
      <c r="Q57" s="736"/>
      <c r="R57" s="736"/>
      <c r="S57" s="736"/>
    </row>
    <row r="58" spans="1:19">
      <c r="A58" s="735" t="s">
        <v>550</v>
      </c>
      <c r="B58" s="736" t="s">
        <v>556</v>
      </c>
      <c r="C58" s="736" t="s">
        <v>285</v>
      </c>
      <c r="D58" s="737" t="s">
        <v>625</v>
      </c>
      <c r="E58" s="736" t="s">
        <v>626</v>
      </c>
      <c r="F58" s="737">
        <v>0</v>
      </c>
      <c r="G58" s="737">
        <v>0</v>
      </c>
      <c r="H58" s="737">
        <v>0</v>
      </c>
      <c r="I58" s="737">
        <v>0</v>
      </c>
      <c r="J58" s="737">
        <v>0</v>
      </c>
      <c r="K58" s="737">
        <v>0.33834586466165412</v>
      </c>
      <c r="L58" s="737">
        <v>0.16400000000000001</v>
      </c>
      <c r="M58" s="737">
        <v>0.11986301369863013</v>
      </c>
      <c r="N58" s="737">
        <v>5.9701492537313432E-2</v>
      </c>
      <c r="O58" s="737">
        <v>7.5120192307692304E-2</v>
      </c>
      <c r="P58" s="735" t="s">
        <v>765</v>
      </c>
      <c r="Q58" s="736"/>
      <c r="R58" s="736"/>
      <c r="S58" s="736"/>
    </row>
    <row r="59" spans="1:19">
      <c r="A59" s="735" t="s">
        <v>550</v>
      </c>
      <c r="B59" s="736" t="s">
        <v>556</v>
      </c>
      <c r="C59" s="736" t="s">
        <v>285</v>
      </c>
      <c r="D59" s="737" t="s">
        <v>625</v>
      </c>
      <c r="E59" s="736" t="s">
        <v>627</v>
      </c>
      <c r="F59" s="737">
        <v>0</v>
      </c>
      <c r="G59" s="737">
        <v>0</v>
      </c>
      <c r="H59" s="737">
        <v>0</v>
      </c>
      <c r="I59" s="737">
        <v>0</v>
      </c>
      <c r="J59" s="737">
        <v>0</v>
      </c>
      <c r="K59" s="737">
        <v>0</v>
      </c>
      <c r="L59" s="737">
        <v>0.36799999999999999</v>
      </c>
      <c r="M59" s="737">
        <v>0.35616438356164382</v>
      </c>
      <c r="N59" s="737">
        <v>0.34328358208955223</v>
      </c>
      <c r="O59" s="737">
        <v>0.13161057692307693</v>
      </c>
      <c r="P59" s="735" t="s">
        <v>765</v>
      </c>
      <c r="Q59" s="736" t="s">
        <v>628</v>
      </c>
      <c r="R59" s="736"/>
      <c r="S59" s="736"/>
    </row>
    <row r="60" spans="1:19">
      <c r="A60" s="735" t="s">
        <v>550</v>
      </c>
      <c r="B60" s="736" t="s">
        <v>556</v>
      </c>
      <c r="C60" s="736" t="s">
        <v>629</v>
      </c>
      <c r="D60" s="737" t="s">
        <v>190</v>
      </c>
      <c r="E60" s="736" t="s">
        <v>287</v>
      </c>
      <c r="F60" s="737">
        <v>1</v>
      </c>
      <c r="G60" s="737">
        <v>1</v>
      </c>
      <c r="H60" s="737">
        <v>1</v>
      </c>
      <c r="I60" s="737">
        <v>1</v>
      </c>
      <c r="J60" s="737">
        <v>1</v>
      </c>
      <c r="K60" s="737">
        <v>1</v>
      </c>
      <c r="L60" s="737">
        <v>1</v>
      </c>
      <c r="M60" s="737">
        <v>1</v>
      </c>
      <c r="N60" s="737">
        <v>1</v>
      </c>
      <c r="O60" s="737">
        <v>1</v>
      </c>
      <c r="P60" s="735" t="s">
        <v>764</v>
      </c>
      <c r="Q60" s="736" t="s">
        <v>562</v>
      </c>
      <c r="R60" s="736">
        <v>2602</v>
      </c>
      <c r="S60" s="736"/>
    </row>
    <row r="61" spans="1:19">
      <c r="A61" s="735" t="s">
        <v>550</v>
      </c>
      <c r="B61" s="736" t="s">
        <v>556</v>
      </c>
      <c r="C61" s="736" t="s">
        <v>114</v>
      </c>
      <c r="D61" s="737" t="s">
        <v>630</v>
      </c>
      <c r="E61" s="736" t="s">
        <v>631</v>
      </c>
      <c r="F61" s="737"/>
      <c r="G61" s="737"/>
      <c r="H61" s="737"/>
      <c r="I61" s="737"/>
      <c r="J61" s="737"/>
      <c r="K61" s="737">
        <v>0</v>
      </c>
      <c r="L61" s="737">
        <v>0</v>
      </c>
      <c r="M61" s="737">
        <v>3.8461538461538464E-2</v>
      </c>
      <c r="N61" s="737">
        <v>7.6923076923076927E-2</v>
      </c>
      <c r="O61" s="737">
        <v>2.9850746268656716E-2</v>
      </c>
      <c r="P61" s="735" t="s">
        <v>764</v>
      </c>
      <c r="Q61" s="736"/>
      <c r="R61" s="736"/>
      <c r="S61" s="736" t="s">
        <v>632</v>
      </c>
    </row>
    <row r="62" spans="1:19">
      <c r="A62" s="735" t="s">
        <v>550</v>
      </c>
      <c r="B62" s="736" t="s">
        <v>556</v>
      </c>
      <c r="C62" s="736" t="s">
        <v>114</v>
      </c>
      <c r="D62" s="737" t="s">
        <v>630</v>
      </c>
      <c r="E62" s="736" t="s">
        <v>633</v>
      </c>
      <c r="F62" s="737"/>
      <c r="G62" s="737"/>
      <c r="H62" s="737"/>
      <c r="I62" s="737"/>
      <c r="J62" s="737"/>
      <c r="K62" s="737">
        <v>0</v>
      </c>
      <c r="L62" s="737">
        <v>0</v>
      </c>
      <c r="M62" s="737">
        <v>3.8461538461538464E-2</v>
      </c>
      <c r="N62" s="737">
        <v>0</v>
      </c>
      <c r="O62" s="737">
        <v>1.4925373134328358E-2</v>
      </c>
      <c r="P62" s="735" t="s">
        <v>764</v>
      </c>
      <c r="Q62" s="736"/>
      <c r="R62" s="736"/>
      <c r="S62" s="736" t="s">
        <v>632</v>
      </c>
    </row>
    <row r="63" spans="1:19">
      <c r="A63" s="735" t="s">
        <v>550</v>
      </c>
      <c r="B63" s="736" t="s">
        <v>556</v>
      </c>
      <c r="C63" s="736" t="s">
        <v>114</v>
      </c>
      <c r="D63" s="737" t="s">
        <v>630</v>
      </c>
      <c r="E63" s="736" t="s">
        <v>634</v>
      </c>
      <c r="F63" s="737"/>
      <c r="G63" s="737"/>
      <c r="H63" s="737"/>
      <c r="I63" s="737"/>
      <c r="J63" s="737"/>
      <c r="K63" s="737">
        <v>0</v>
      </c>
      <c r="L63" s="737">
        <v>0.22222222222222221</v>
      </c>
      <c r="M63" s="737">
        <v>0.15384615384615385</v>
      </c>
      <c r="N63" s="737">
        <v>0</v>
      </c>
      <c r="O63" s="737">
        <v>8.9552238805970144E-2</v>
      </c>
      <c r="P63" s="735" t="s">
        <v>764</v>
      </c>
      <c r="Q63" s="736"/>
      <c r="R63" s="736"/>
      <c r="S63" s="736" t="s">
        <v>632</v>
      </c>
    </row>
    <row r="64" spans="1:19">
      <c r="A64" s="735" t="s">
        <v>550</v>
      </c>
      <c r="B64" s="736" t="s">
        <v>556</v>
      </c>
      <c r="C64" s="736" t="s">
        <v>114</v>
      </c>
      <c r="D64" s="737" t="s">
        <v>635</v>
      </c>
      <c r="E64" s="736" t="s">
        <v>636</v>
      </c>
      <c r="F64" s="737"/>
      <c r="G64" s="737"/>
      <c r="H64" s="737"/>
      <c r="I64" s="737"/>
      <c r="J64" s="737"/>
      <c r="K64" s="737">
        <v>0.10526315789473684</v>
      </c>
      <c r="L64" s="737">
        <v>0</v>
      </c>
      <c r="M64" s="737">
        <v>0</v>
      </c>
      <c r="N64" s="737">
        <v>0</v>
      </c>
      <c r="O64" s="737">
        <v>2.9850746268656716E-2</v>
      </c>
      <c r="P64" s="735" t="s">
        <v>764</v>
      </c>
      <c r="Q64" s="736"/>
      <c r="R64" s="736"/>
      <c r="S64" s="736" t="s">
        <v>632</v>
      </c>
    </row>
    <row r="65" spans="1:19">
      <c r="A65" s="735" t="s">
        <v>550</v>
      </c>
      <c r="B65" s="736" t="s">
        <v>556</v>
      </c>
      <c r="C65" s="736" t="s">
        <v>114</v>
      </c>
      <c r="D65" s="737" t="s">
        <v>635</v>
      </c>
      <c r="E65" s="736" t="s">
        <v>306</v>
      </c>
      <c r="F65" s="737"/>
      <c r="G65" s="737"/>
      <c r="H65" s="737"/>
      <c r="I65" s="737"/>
      <c r="J65" s="737"/>
      <c r="K65" s="737">
        <v>0.21052631578947367</v>
      </c>
      <c r="L65" s="737">
        <v>0</v>
      </c>
      <c r="M65" s="737">
        <v>0.30769230769230771</v>
      </c>
      <c r="N65" s="737">
        <v>0.61538461538461542</v>
      </c>
      <c r="O65" s="737">
        <v>0.29850746268656714</v>
      </c>
      <c r="P65" s="735" t="s">
        <v>764</v>
      </c>
      <c r="Q65" s="736"/>
      <c r="R65" s="736"/>
      <c r="S65" s="736" t="s">
        <v>632</v>
      </c>
    </row>
    <row r="66" spans="1:19">
      <c r="A66" s="735" t="s">
        <v>550</v>
      </c>
      <c r="B66" s="736" t="s">
        <v>556</v>
      </c>
      <c r="C66" s="736" t="s">
        <v>114</v>
      </c>
      <c r="D66" s="737" t="s">
        <v>635</v>
      </c>
      <c r="E66" s="736" t="s">
        <v>637</v>
      </c>
      <c r="F66" s="737"/>
      <c r="G66" s="737"/>
      <c r="H66" s="737"/>
      <c r="I66" s="737"/>
      <c r="J66" s="737"/>
      <c r="K66" s="737">
        <v>0.21052631578947367</v>
      </c>
      <c r="L66" s="737">
        <v>0.33333333333333331</v>
      </c>
      <c r="M66" s="737">
        <v>0.19230769230769232</v>
      </c>
      <c r="N66" s="737">
        <v>0.15384615384615385</v>
      </c>
      <c r="O66" s="737">
        <v>0.20895522388059701</v>
      </c>
      <c r="P66" s="735" t="s">
        <v>764</v>
      </c>
      <c r="Q66" s="736"/>
      <c r="R66" s="736"/>
      <c r="S66" s="736" t="s">
        <v>632</v>
      </c>
    </row>
    <row r="67" spans="1:19">
      <c r="A67" s="735" t="s">
        <v>550</v>
      </c>
      <c r="B67" s="736" t="s">
        <v>556</v>
      </c>
      <c r="C67" s="736" t="s">
        <v>114</v>
      </c>
      <c r="D67" s="737" t="s">
        <v>638</v>
      </c>
      <c r="E67" s="736" t="s">
        <v>639</v>
      </c>
      <c r="F67" s="737"/>
      <c r="G67" s="737"/>
      <c r="H67" s="737"/>
      <c r="I67" s="737"/>
      <c r="J67" s="737"/>
      <c r="K67" s="737">
        <v>0.15789473684210525</v>
      </c>
      <c r="L67" s="737">
        <v>0</v>
      </c>
      <c r="M67" s="737">
        <v>0</v>
      </c>
      <c r="N67" s="737">
        <v>0</v>
      </c>
      <c r="O67" s="737">
        <v>4.4776119402985072E-2</v>
      </c>
      <c r="P67" s="735" t="s">
        <v>764</v>
      </c>
      <c r="Q67" s="736"/>
      <c r="R67" s="736"/>
      <c r="S67" s="736" t="s">
        <v>632</v>
      </c>
    </row>
    <row r="68" spans="1:19">
      <c r="A68" s="735" t="s">
        <v>550</v>
      </c>
      <c r="B68" s="736" t="s">
        <v>556</v>
      </c>
      <c r="C68" s="736" t="s">
        <v>114</v>
      </c>
      <c r="D68" s="737" t="s">
        <v>638</v>
      </c>
      <c r="E68" s="736" t="s">
        <v>640</v>
      </c>
      <c r="F68" s="737"/>
      <c r="G68" s="737"/>
      <c r="H68" s="737"/>
      <c r="I68" s="737"/>
      <c r="J68" s="737"/>
      <c r="K68" s="737"/>
      <c r="L68" s="737"/>
      <c r="M68" s="737"/>
      <c r="N68" s="737"/>
      <c r="O68" s="737">
        <v>0</v>
      </c>
      <c r="P68" s="735" t="s">
        <v>764</v>
      </c>
      <c r="Q68" s="736"/>
      <c r="R68" s="736"/>
      <c r="S68" s="736" t="s">
        <v>632</v>
      </c>
    </row>
    <row r="69" spans="1:19">
      <c r="A69" s="735" t="s">
        <v>550</v>
      </c>
      <c r="B69" s="736" t="s">
        <v>556</v>
      </c>
      <c r="C69" s="736" t="s">
        <v>114</v>
      </c>
      <c r="D69" s="737" t="s">
        <v>638</v>
      </c>
      <c r="E69" s="736" t="s">
        <v>641</v>
      </c>
      <c r="F69" s="737"/>
      <c r="G69" s="737"/>
      <c r="H69" s="737"/>
      <c r="I69" s="737"/>
      <c r="J69" s="737"/>
      <c r="K69" s="737">
        <v>0.10526315789473684</v>
      </c>
      <c r="L69" s="737">
        <v>0</v>
      </c>
      <c r="M69" s="737">
        <v>0</v>
      </c>
      <c r="N69" s="737">
        <v>0</v>
      </c>
      <c r="O69" s="737">
        <v>2.9850746268656716E-2</v>
      </c>
      <c r="P69" s="735" t="s">
        <v>764</v>
      </c>
      <c r="Q69" s="736"/>
      <c r="R69" s="736"/>
      <c r="S69" s="736" t="s">
        <v>632</v>
      </c>
    </row>
    <row r="70" spans="1:19">
      <c r="A70" s="735" t="s">
        <v>550</v>
      </c>
      <c r="B70" s="736" t="s">
        <v>556</v>
      </c>
      <c r="C70" s="736" t="s">
        <v>114</v>
      </c>
      <c r="D70" s="737" t="s">
        <v>145</v>
      </c>
      <c r="E70" s="736" t="s">
        <v>642</v>
      </c>
      <c r="F70" s="737"/>
      <c r="G70" s="737"/>
      <c r="H70" s="737"/>
      <c r="I70" s="737"/>
      <c r="J70" s="737"/>
      <c r="K70" s="737">
        <v>0.15789473684210525</v>
      </c>
      <c r="L70" s="737">
        <v>0.1111111111111111</v>
      </c>
      <c r="M70" s="737">
        <v>0.23076923076923078</v>
      </c>
      <c r="N70" s="737">
        <v>0</v>
      </c>
      <c r="O70" s="737">
        <v>0.14925373134328357</v>
      </c>
      <c r="P70" s="735" t="s">
        <v>764</v>
      </c>
      <c r="Q70" s="736"/>
      <c r="R70" s="736"/>
      <c r="S70" s="736" t="s">
        <v>632</v>
      </c>
    </row>
    <row r="71" spans="1:19">
      <c r="A71" s="735" t="s">
        <v>550</v>
      </c>
      <c r="B71" s="736" t="s">
        <v>556</v>
      </c>
      <c r="C71" s="736" t="s">
        <v>114</v>
      </c>
      <c r="D71" s="737" t="s">
        <v>145</v>
      </c>
      <c r="E71" s="736" t="s">
        <v>643</v>
      </c>
      <c r="F71" s="737"/>
      <c r="G71" s="737"/>
      <c r="H71" s="737"/>
      <c r="I71" s="737"/>
      <c r="J71" s="737"/>
      <c r="K71" s="737">
        <v>5.2631578947368418E-2</v>
      </c>
      <c r="L71" s="737">
        <v>0.1111111111111111</v>
      </c>
      <c r="M71" s="737">
        <v>0</v>
      </c>
      <c r="N71" s="737">
        <v>0.15384615384615385</v>
      </c>
      <c r="O71" s="737">
        <v>5.9701492537313432E-2</v>
      </c>
      <c r="P71" s="735" t="s">
        <v>764</v>
      </c>
      <c r="Q71" s="736"/>
      <c r="R71" s="736"/>
      <c r="S71" s="736" t="s">
        <v>632</v>
      </c>
    </row>
    <row r="72" spans="1:19">
      <c r="A72" s="735" t="s">
        <v>550</v>
      </c>
      <c r="B72" s="736" t="s">
        <v>556</v>
      </c>
      <c r="C72" s="736" t="s">
        <v>114</v>
      </c>
      <c r="D72" s="737" t="s">
        <v>635</v>
      </c>
      <c r="E72" s="736" t="s">
        <v>644</v>
      </c>
      <c r="F72" s="737"/>
      <c r="G72" s="737"/>
      <c r="H72" s="737"/>
      <c r="I72" s="737"/>
      <c r="J72" s="737"/>
      <c r="K72" s="737">
        <v>0</v>
      </c>
      <c r="L72" s="737">
        <v>0.22222222222222221</v>
      </c>
      <c r="M72" s="737">
        <v>3.8461538461538464E-2</v>
      </c>
      <c r="N72" s="737">
        <v>0</v>
      </c>
      <c r="O72" s="737">
        <v>4.4776119402985072E-2</v>
      </c>
      <c r="P72" s="735" t="s">
        <v>764</v>
      </c>
      <c r="Q72" s="736"/>
      <c r="R72" s="736"/>
      <c r="S72" s="736" t="s">
        <v>632</v>
      </c>
    </row>
    <row r="73" spans="1:19">
      <c r="A73" s="735" t="s">
        <v>550</v>
      </c>
      <c r="B73" s="736" t="s">
        <v>556</v>
      </c>
      <c r="C73" s="736" t="s">
        <v>37</v>
      </c>
      <c r="D73" s="737" t="s">
        <v>645</v>
      </c>
      <c r="E73" s="736" t="s">
        <v>646</v>
      </c>
      <c r="F73" s="737">
        <v>0</v>
      </c>
      <c r="G73" s="737">
        <v>0</v>
      </c>
      <c r="H73" s="737">
        <v>0</v>
      </c>
      <c r="I73" s="737">
        <v>0.08</v>
      </c>
      <c r="J73" s="737">
        <v>9.0909090909090912E-2</v>
      </c>
      <c r="K73" s="737">
        <v>0.17316017316017315</v>
      </c>
      <c r="L73" s="737">
        <v>0.14538310412573674</v>
      </c>
      <c r="M73" s="737">
        <v>0.1443089430894309</v>
      </c>
      <c r="N73" s="737">
        <v>0.13089005235602094</v>
      </c>
      <c r="O73" s="737">
        <v>0.12104825291181365</v>
      </c>
      <c r="P73" s="735" t="s">
        <v>765</v>
      </c>
      <c r="Q73" s="736"/>
      <c r="R73" s="736"/>
      <c r="S73" s="736"/>
    </row>
    <row r="74" spans="1:19">
      <c r="A74" s="735" t="s">
        <v>550</v>
      </c>
      <c r="B74" s="736" t="s">
        <v>556</v>
      </c>
      <c r="C74" s="736" t="s">
        <v>37</v>
      </c>
      <c r="D74" s="737" t="s">
        <v>645</v>
      </c>
      <c r="E74" s="736" t="s">
        <v>647</v>
      </c>
      <c r="F74" s="737">
        <v>0</v>
      </c>
      <c r="G74" s="737">
        <v>0</v>
      </c>
      <c r="H74" s="737">
        <v>0</v>
      </c>
      <c r="I74" s="737">
        <v>0.04</v>
      </c>
      <c r="J74" s="737">
        <v>0.31034482758620691</v>
      </c>
      <c r="K74" s="737">
        <v>0.2857142857142857</v>
      </c>
      <c r="L74" s="737">
        <v>0.18860510805500982</v>
      </c>
      <c r="M74" s="737">
        <v>0.21747967479674796</v>
      </c>
      <c r="N74" s="737">
        <v>0.2879581151832461</v>
      </c>
      <c r="O74" s="737">
        <v>0.20590682196339435</v>
      </c>
      <c r="P74" s="735" t="s">
        <v>765</v>
      </c>
      <c r="Q74" s="736"/>
      <c r="R74" s="736"/>
      <c r="S74" s="736"/>
    </row>
    <row r="75" spans="1:19">
      <c r="A75" s="735" t="s">
        <v>550</v>
      </c>
      <c r="B75" s="736" t="s">
        <v>556</v>
      </c>
      <c r="C75" s="736" t="s">
        <v>37</v>
      </c>
      <c r="D75" s="737" t="s">
        <v>645</v>
      </c>
      <c r="E75" s="736" t="s">
        <v>648</v>
      </c>
      <c r="F75" s="737">
        <v>0</v>
      </c>
      <c r="G75" s="737">
        <v>0</v>
      </c>
      <c r="H75" s="737">
        <v>0</v>
      </c>
      <c r="I75" s="737">
        <v>6.6666666666666671E-3</v>
      </c>
      <c r="J75" s="737">
        <v>3.134796238244514E-3</v>
      </c>
      <c r="K75" s="737">
        <v>4.329004329004329E-3</v>
      </c>
      <c r="L75" s="737">
        <v>0.13948919449901767</v>
      </c>
      <c r="M75" s="737">
        <v>5.4878048780487805E-2</v>
      </c>
      <c r="N75" s="737">
        <v>7.8534031413612565E-2</v>
      </c>
      <c r="O75" s="737">
        <v>4.8668885191347752E-2</v>
      </c>
      <c r="P75" s="735" t="s">
        <v>765</v>
      </c>
      <c r="Q75" s="736"/>
      <c r="R75" s="736"/>
      <c r="S75" s="736"/>
    </row>
    <row r="76" spans="1:19">
      <c r="A76" s="735" t="s">
        <v>550</v>
      </c>
      <c r="B76" s="736" t="s">
        <v>556</v>
      </c>
      <c r="C76" s="736" t="s">
        <v>37</v>
      </c>
      <c r="D76" s="737" t="s">
        <v>649</v>
      </c>
      <c r="E76" s="736" t="s">
        <v>650</v>
      </c>
      <c r="F76" s="737">
        <v>0</v>
      </c>
      <c r="G76" s="737">
        <v>0</v>
      </c>
      <c r="H76" s="737">
        <v>0</v>
      </c>
      <c r="I76" s="737">
        <v>6.6666666666666671E-3</v>
      </c>
      <c r="J76" s="737">
        <v>0.13793103448275862</v>
      </c>
      <c r="K76" s="737">
        <v>0.11255411255411256</v>
      </c>
      <c r="L76" s="737">
        <v>0.14341846758349705</v>
      </c>
      <c r="M76" s="737">
        <v>0.14227642276422764</v>
      </c>
      <c r="N76" s="737">
        <v>9.947643979057591E-2</v>
      </c>
      <c r="O76" s="737">
        <v>0.10773710482529118</v>
      </c>
      <c r="P76" s="735" t="s">
        <v>765</v>
      </c>
      <c r="Q76" s="736"/>
      <c r="R76" s="736"/>
      <c r="S76" s="736"/>
    </row>
    <row r="77" spans="1:19">
      <c r="A77" s="735" t="s">
        <v>550</v>
      </c>
      <c r="B77" s="736" t="s">
        <v>556</v>
      </c>
      <c r="C77" s="736" t="s">
        <v>37</v>
      </c>
      <c r="D77" s="737" t="s">
        <v>649</v>
      </c>
      <c r="E77" s="736" t="s">
        <v>651</v>
      </c>
      <c r="F77" s="737">
        <v>0</v>
      </c>
      <c r="G77" s="737">
        <v>0</v>
      </c>
      <c r="H77" s="737">
        <v>0</v>
      </c>
      <c r="I77" s="737">
        <v>0</v>
      </c>
      <c r="J77" s="737">
        <v>0</v>
      </c>
      <c r="K77" s="737">
        <v>0</v>
      </c>
      <c r="L77" s="737">
        <v>9.823182711198428E-3</v>
      </c>
      <c r="M77" s="737">
        <v>9.7560975609756101E-2</v>
      </c>
      <c r="N77" s="737">
        <v>0.14659685863874344</v>
      </c>
      <c r="O77" s="737">
        <v>3.3693843594009981E-2</v>
      </c>
      <c r="P77" s="735" t="s">
        <v>764</v>
      </c>
      <c r="Q77" s="736"/>
      <c r="R77" s="736">
        <v>2510</v>
      </c>
      <c r="S77" s="736"/>
    </row>
    <row r="78" spans="1:19">
      <c r="A78" s="735" t="s">
        <v>550</v>
      </c>
      <c r="B78" s="736" t="s">
        <v>556</v>
      </c>
      <c r="C78" s="736" t="s">
        <v>37</v>
      </c>
      <c r="D78" s="737" t="s">
        <v>649</v>
      </c>
      <c r="E78" s="736" t="s">
        <v>652</v>
      </c>
      <c r="F78" s="737">
        <v>0</v>
      </c>
      <c r="G78" s="737">
        <v>0</v>
      </c>
      <c r="H78" s="737">
        <v>0</v>
      </c>
      <c r="I78" s="737">
        <v>1.3333333333333334E-2</v>
      </c>
      <c r="J78" s="737">
        <v>7.2100313479623826E-2</v>
      </c>
      <c r="K78" s="737">
        <v>3.896103896103896E-2</v>
      </c>
      <c r="L78" s="737">
        <v>4.5186640471512773E-2</v>
      </c>
      <c r="M78" s="737">
        <v>4.4715447154471545E-2</v>
      </c>
      <c r="N78" s="737">
        <v>6.2827225130890049E-2</v>
      </c>
      <c r="O78" s="737">
        <v>4.1597337770382693E-2</v>
      </c>
      <c r="P78" s="735" t="s">
        <v>765</v>
      </c>
      <c r="Q78" s="736"/>
      <c r="R78" s="736"/>
      <c r="S78" s="736"/>
    </row>
    <row r="79" spans="1:19">
      <c r="A79" s="735" t="s">
        <v>550</v>
      </c>
      <c r="B79" s="736" t="s">
        <v>556</v>
      </c>
      <c r="C79" s="736" t="s">
        <v>37</v>
      </c>
      <c r="D79" s="737" t="s">
        <v>649</v>
      </c>
      <c r="E79" s="736" t="s">
        <v>653</v>
      </c>
      <c r="F79" s="737">
        <v>0</v>
      </c>
      <c r="G79" s="737">
        <v>0</v>
      </c>
      <c r="H79" s="737">
        <v>0</v>
      </c>
      <c r="I79" s="737">
        <v>0</v>
      </c>
      <c r="J79" s="737">
        <v>0</v>
      </c>
      <c r="K79" s="737">
        <v>1.7316017316017316E-2</v>
      </c>
      <c r="L79" s="737">
        <v>2.5540275049115914E-2</v>
      </c>
      <c r="M79" s="737">
        <v>2.2357723577235773E-2</v>
      </c>
      <c r="N79" s="737">
        <v>4.712041884816754E-2</v>
      </c>
      <c r="O79" s="737">
        <v>1.7054908485856904E-2</v>
      </c>
      <c r="P79" s="735" t="s">
        <v>764</v>
      </c>
      <c r="Q79" s="736"/>
      <c r="R79" s="736">
        <v>2510</v>
      </c>
      <c r="S79" s="736"/>
    </row>
    <row r="80" spans="1:19">
      <c r="A80" s="735" t="s">
        <v>550</v>
      </c>
      <c r="B80" s="736" t="s">
        <v>556</v>
      </c>
      <c r="C80" s="736" t="s">
        <v>37</v>
      </c>
      <c r="D80" s="737" t="s">
        <v>654</v>
      </c>
      <c r="E80" s="736" t="s">
        <v>655</v>
      </c>
      <c r="F80" s="737">
        <v>0</v>
      </c>
      <c r="G80" s="737">
        <v>0</v>
      </c>
      <c r="H80" s="737">
        <v>0</v>
      </c>
      <c r="I80" s="737">
        <v>2.6666666666666668E-2</v>
      </c>
      <c r="J80" s="737">
        <v>8.4639498432601878E-2</v>
      </c>
      <c r="K80" s="737">
        <v>4.7619047619047616E-2</v>
      </c>
      <c r="L80" s="737">
        <v>6.0903732809430254E-2</v>
      </c>
      <c r="M80" s="737">
        <v>6.7073170731707321E-2</v>
      </c>
      <c r="N80" s="737">
        <v>5.7591623036649213E-2</v>
      </c>
      <c r="O80" s="737">
        <v>5.3244592346089852E-2</v>
      </c>
      <c r="P80" s="735" t="s">
        <v>765</v>
      </c>
      <c r="Q80" s="736"/>
      <c r="R80" s="736"/>
      <c r="S80" s="736"/>
    </row>
    <row r="81" spans="1:19">
      <c r="A81" s="735" t="s">
        <v>550</v>
      </c>
      <c r="B81" s="736" t="s">
        <v>556</v>
      </c>
      <c r="C81" s="736" t="s">
        <v>37</v>
      </c>
      <c r="D81" s="737" t="s">
        <v>654</v>
      </c>
      <c r="E81" s="736" t="s">
        <v>656</v>
      </c>
      <c r="F81" s="737">
        <v>0</v>
      </c>
      <c r="G81" s="737">
        <v>0</v>
      </c>
      <c r="H81" s="737">
        <v>0</v>
      </c>
      <c r="I81" s="737">
        <v>6.6666666666666671E-3</v>
      </c>
      <c r="J81" s="737">
        <v>7.2100313479623826E-2</v>
      </c>
      <c r="K81" s="737">
        <v>4.5454545454545456E-2</v>
      </c>
      <c r="L81" s="737">
        <v>3.536345776031434E-2</v>
      </c>
      <c r="M81" s="737">
        <v>7.7235772357723581E-2</v>
      </c>
      <c r="N81" s="737">
        <v>1.5706806282722512E-2</v>
      </c>
      <c r="O81" s="737">
        <v>4.3261231281198007E-2</v>
      </c>
      <c r="P81" s="735" t="s">
        <v>765</v>
      </c>
      <c r="Q81" s="736"/>
      <c r="R81" s="736"/>
      <c r="S81" s="736"/>
    </row>
    <row r="82" spans="1:19">
      <c r="A82" s="735" t="s">
        <v>550</v>
      </c>
      <c r="B82" s="736" t="s">
        <v>556</v>
      </c>
      <c r="C82" s="736" t="s">
        <v>37</v>
      </c>
      <c r="D82" s="737" t="s">
        <v>654</v>
      </c>
      <c r="E82" s="736" t="s">
        <v>657</v>
      </c>
      <c r="F82" s="737">
        <v>0</v>
      </c>
      <c r="G82" s="737">
        <v>0</v>
      </c>
      <c r="H82" s="737">
        <v>0</v>
      </c>
      <c r="I82" s="737">
        <v>1.3333333333333334E-2</v>
      </c>
      <c r="J82" s="737">
        <v>8.7774294670846395E-2</v>
      </c>
      <c r="K82" s="737">
        <v>7.575757575757576E-2</v>
      </c>
      <c r="L82" s="737">
        <v>9.4302554027504912E-2</v>
      </c>
      <c r="M82" s="737">
        <v>6.3008130081300809E-2</v>
      </c>
      <c r="N82" s="737">
        <v>3.1413612565445025E-2</v>
      </c>
      <c r="O82" s="737">
        <v>6.2396006655574043E-2</v>
      </c>
      <c r="P82" s="735" t="s">
        <v>765</v>
      </c>
      <c r="Q82" s="736"/>
      <c r="R82" s="736"/>
      <c r="S82" s="736"/>
    </row>
    <row r="83" spans="1:19">
      <c r="A83" s="735" t="s">
        <v>550</v>
      </c>
      <c r="B83" s="736" t="s">
        <v>556</v>
      </c>
      <c r="C83" s="736" t="s">
        <v>37</v>
      </c>
      <c r="D83" s="737" t="s">
        <v>654</v>
      </c>
      <c r="E83" s="736" t="s">
        <v>658</v>
      </c>
      <c r="F83" s="737">
        <v>0</v>
      </c>
      <c r="G83" s="737">
        <v>0</v>
      </c>
      <c r="H83" s="737">
        <v>0</v>
      </c>
      <c r="I83" s="737">
        <v>0</v>
      </c>
      <c r="J83" s="737">
        <v>5.6426332288401257E-2</v>
      </c>
      <c r="K83" s="737">
        <v>4.3290043290043288E-2</v>
      </c>
      <c r="L83" s="737">
        <v>2.9469548133595286E-2</v>
      </c>
      <c r="M83" s="737">
        <v>4.065040650406504E-2</v>
      </c>
      <c r="N83" s="737">
        <v>4.1884816753926704E-2</v>
      </c>
      <c r="O83" s="737">
        <v>3.3693843594009981E-2</v>
      </c>
      <c r="P83" s="735" t="s">
        <v>764</v>
      </c>
      <c r="Q83" s="736"/>
      <c r="R83" s="736">
        <v>2510</v>
      </c>
      <c r="S83" s="736"/>
    </row>
    <row r="84" spans="1:19">
      <c r="A84" s="735">
        <v>2510</v>
      </c>
      <c r="B84" s="736" t="s">
        <v>556</v>
      </c>
      <c r="C84" s="736" t="s">
        <v>37</v>
      </c>
      <c r="D84" s="737" t="s">
        <v>659</v>
      </c>
      <c r="E84" s="736" t="s">
        <v>660</v>
      </c>
      <c r="F84" s="737"/>
      <c r="G84" s="737"/>
      <c r="H84" s="737"/>
      <c r="I84" s="737"/>
      <c r="J84" s="737"/>
      <c r="K84" s="737"/>
      <c r="L84" s="737"/>
      <c r="M84" s="737"/>
      <c r="N84" s="737"/>
      <c r="O84" s="737"/>
      <c r="P84" s="735" t="s">
        <v>765</v>
      </c>
      <c r="Q84" s="736"/>
      <c r="R84" s="736"/>
      <c r="S84" s="736"/>
    </row>
    <row r="85" spans="1:19">
      <c r="A85" s="735">
        <v>2512</v>
      </c>
      <c r="B85" s="736" t="s">
        <v>556</v>
      </c>
      <c r="C85" s="736" t="s">
        <v>258</v>
      </c>
      <c r="D85" s="737" t="s">
        <v>661</v>
      </c>
      <c r="E85" s="736" t="s">
        <v>289</v>
      </c>
      <c r="F85" s="737"/>
      <c r="G85" s="737"/>
      <c r="H85" s="737"/>
      <c r="I85" s="737"/>
      <c r="J85" s="737"/>
      <c r="K85" s="737"/>
      <c r="L85" s="737"/>
      <c r="M85" s="737"/>
      <c r="N85" s="737"/>
      <c r="O85" s="737"/>
      <c r="P85" s="735" t="s">
        <v>764</v>
      </c>
      <c r="Q85" s="736" t="s">
        <v>562</v>
      </c>
      <c r="R85" s="736">
        <v>2602</v>
      </c>
      <c r="S85" s="736"/>
    </row>
    <row r="86" spans="1:19">
      <c r="A86" s="735" t="s">
        <v>550</v>
      </c>
      <c r="B86" s="736" t="s">
        <v>556</v>
      </c>
      <c r="C86" s="736" t="s">
        <v>258</v>
      </c>
      <c r="D86" s="737" t="s">
        <v>661</v>
      </c>
      <c r="E86" s="736" t="s">
        <v>662</v>
      </c>
      <c r="F86" s="737">
        <v>0.11538461538461539</v>
      </c>
      <c r="G86" s="737">
        <v>0.17857142857142858</v>
      </c>
      <c r="H86" s="737">
        <v>0.17857142857142858</v>
      </c>
      <c r="I86" s="737">
        <v>0.18181818181818182</v>
      </c>
      <c r="J86" s="737">
        <v>0.21052631578947367</v>
      </c>
      <c r="K86" s="737">
        <v>0.19277108433734941</v>
      </c>
      <c r="L86" s="737">
        <v>0.11976047904191617</v>
      </c>
      <c r="M86" s="737">
        <v>8.8397790055248615E-2</v>
      </c>
      <c r="N86" s="737">
        <v>4.9689440993788817E-2</v>
      </c>
      <c r="O86" s="737">
        <v>0.12132822477650064</v>
      </c>
      <c r="P86" s="735" t="s">
        <v>764</v>
      </c>
      <c r="Q86" s="736"/>
      <c r="R86" s="736">
        <v>2511</v>
      </c>
      <c r="S86" s="736"/>
    </row>
    <row r="87" spans="1:19">
      <c r="A87" s="735" t="s">
        <v>550</v>
      </c>
      <c r="B87" s="736" t="s">
        <v>556</v>
      </c>
      <c r="C87" s="736" t="s">
        <v>258</v>
      </c>
      <c r="D87" s="737" t="s">
        <v>661</v>
      </c>
      <c r="E87" s="736" t="s">
        <v>663</v>
      </c>
      <c r="F87" s="737">
        <v>0.11538461538461539</v>
      </c>
      <c r="G87" s="737">
        <v>0.17857142857142858</v>
      </c>
      <c r="H87" s="737">
        <v>0.14285714285714285</v>
      </c>
      <c r="I87" s="737">
        <v>0.24242424242424243</v>
      </c>
      <c r="J87" s="737">
        <v>0.19736842105263158</v>
      </c>
      <c r="K87" s="737">
        <v>0.3493975903614458</v>
      </c>
      <c r="L87" s="737">
        <v>0.24550898203592814</v>
      </c>
      <c r="M87" s="737">
        <v>0.16574585635359115</v>
      </c>
      <c r="N87" s="737">
        <v>8.0745341614906832E-2</v>
      </c>
      <c r="O87" s="737">
        <v>0.18901660280970625</v>
      </c>
      <c r="P87" s="735" t="s">
        <v>764</v>
      </c>
      <c r="Q87" s="736"/>
      <c r="R87" s="736">
        <v>2511</v>
      </c>
      <c r="S87" s="736"/>
    </row>
    <row r="88" spans="1:19">
      <c r="A88" s="735" t="s">
        <v>550</v>
      </c>
      <c r="B88" s="736" t="s">
        <v>556</v>
      </c>
      <c r="C88" s="736" t="s">
        <v>258</v>
      </c>
      <c r="D88" s="737" t="s">
        <v>661</v>
      </c>
      <c r="E88" s="736" t="s">
        <v>664</v>
      </c>
      <c r="F88" s="737">
        <v>0.30769230769230771</v>
      </c>
      <c r="G88" s="737">
        <v>0.14285714285714285</v>
      </c>
      <c r="H88" s="737">
        <v>0.21428571428571427</v>
      </c>
      <c r="I88" s="737">
        <v>0.27272727272727271</v>
      </c>
      <c r="J88" s="737">
        <v>0.25</v>
      </c>
      <c r="K88" s="737">
        <v>6.0240963855421686E-2</v>
      </c>
      <c r="L88" s="737">
        <v>0.12574850299401197</v>
      </c>
      <c r="M88" s="737">
        <v>0.16022099447513813</v>
      </c>
      <c r="N88" s="737">
        <v>6.2111801242236021E-3</v>
      </c>
      <c r="O88" s="737">
        <v>0.13026819923371646</v>
      </c>
      <c r="P88" s="735" t="s">
        <v>764</v>
      </c>
      <c r="Q88" s="736"/>
      <c r="R88" s="736">
        <v>2511</v>
      </c>
      <c r="S88" s="736"/>
    </row>
    <row r="89" spans="1:19">
      <c r="A89" s="735" t="s">
        <v>550</v>
      </c>
      <c r="B89" s="736" t="s">
        <v>556</v>
      </c>
      <c r="C89" s="736" t="s">
        <v>258</v>
      </c>
      <c r="D89" s="737" t="s">
        <v>665</v>
      </c>
      <c r="E89" s="736" t="s">
        <v>666</v>
      </c>
      <c r="F89" s="737">
        <v>0</v>
      </c>
      <c r="G89" s="737">
        <v>0</v>
      </c>
      <c r="H89" s="737">
        <v>0</v>
      </c>
      <c r="I89" s="737">
        <v>0</v>
      </c>
      <c r="J89" s="737">
        <v>0</v>
      </c>
      <c r="K89" s="737">
        <v>3.614457831325301E-2</v>
      </c>
      <c r="L89" s="737">
        <v>0.23353293413173654</v>
      </c>
      <c r="M89" s="737">
        <v>0.287292817679558</v>
      </c>
      <c r="N89" s="737">
        <v>0.55900621118012417</v>
      </c>
      <c r="O89" s="737">
        <v>0.23499361430395913</v>
      </c>
      <c r="P89" s="735" t="s">
        <v>765</v>
      </c>
      <c r="Q89" s="736"/>
      <c r="R89" s="736"/>
      <c r="S89" s="736"/>
    </row>
    <row r="90" spans="1:19">
      <c r="A90" s="735" t="s">
        <v>550</v>
      </c>
      <c r="B90" s="736" t="s">
        <v>556</v>
      </c>
      <c r="C90" s="736" t="s">
        <v>258</v>
      </c>
      <c r="D90" s="737" t="s">
        <v>661</v>
      </c>
      <c r="E90" s="736" t="s">
        <v>667</v>
      </c>
      <c r="F90" s="737">
        <v>0</v>
      </c>
      <c r="G90" s="737">
        <v>0</v>
      </c>
      <c r="H90" s="737">
        <v>0</v>
      </c>
      <c r="I90" s="737">
        <v>0</v>
      </c>
      <c r="J90" s="737">
        <v>0</v>
      </c>
      <c r="K90" s="737">
        <v>7.2289156626506021E-2</v>
      </c>
      <c r="L90" s="737">
        <v>0.18562874251497005</v>
      </c>
      <c r="M90" s="737">
        <v>9.3922651933701654E-2</v>
      </c>
      <c r="N90" s="737">
        <v>0</v>
      </c>
      <c r="O90" s="737">
        <v>6.8965517241379309E-2</v>
      </c>
      <c r="P90" s="735" t="s">
        <v>765</v>
      </c>
      <c r="Q90" s="736"/>
      <c r="R90" s="736"/>
      <c r="S90" s="736"/>
    </row>
    <row r="91" spans="1:19">
      <c r="A91" s="735" t="s">
        <v>550</v>
      </c>
      <c r="B91" s="736" t="s">
        <v>556</v>
      </c>
      <c r="C91" s="736" t="s">
        <v>258</v>
      </c>
      <c r="D91" s="737" t="s">
        <v>665</v>
      </c>
      <c r="E91" s="736" t="s">
        <v>668</v>
      </c>
      <c r="F91" s="737">
        <v>0</v>
      </c>
      <c r="G91" s="737">
        <v>0</v>
      </c>
      <c r="H91" s="737">
        <v>0</v>
      </c>
      <c r="I91" s="737">
        <v>0</v>
      </c>
      <c r="J91" s="737">
        <v>0</v>
      </c>
      <c r="K91" s="737">
        <v>0</v>
      </c>
      <c r="L91" s="737">
        <v>8.9820359281437126E-2</v>
      </c>
      <c r="M91" s="737">
        <v>0.20441988950276244</v>
      </c>
      <c r="N91" s="737">
        <v>0.30434782608695654</v>
      </c>
      <c r="O91" s="737">
        <v>0.12899106002554278</v>
      </c>
      <c r="P91" s="735" t="s">
        <v>765</v>
      </c>
      <c r="Q91" s="736"/>
      <c r="R91" s="736"/>
      <c r="S91" s="736"/>
    </row>
    <row r="92" spans="1:19">
      <c r="A92" s="735" t="s">
        <v>550</v>
      </c>
      <c r="B92" s="736" t="s">
        <v>556</v>
      </c>
      <c r="C92" s="736" t="s">
        <v>44</v>
      </c>
      <c r="D92" s="737" t="s">
        <v>669</v>
      </c>
      <c r="E92" s="736" t="s">
        <v>670</v>
      </c>
      <c r="F92" s="737">
        <v>0</v>
      </c>
      <c r="G92" s="737">
        <v>0</v>
      </c>
      <c r="H92" s="737">
        <v>0</v>
      </c>
      <c r="I92" s="737">
        <v>0</v>
      </c>
      <c r="J92" s="737">
        <v>9.7826086956521743E-2</v>
      </c>
      <c r="K92" s="737">
        <v>0.16666666666666666</v>
      </c>
      <c r="L92" s="737">
        <v>6.5384615384615388E-2</v>
      </c>
      <c r="M92" s="737">
        <v>3.9344262295081971E-2</v>
      </c>
      <c r="N92" s="737">
        <v>5.6179775280898875E-2</v>
      </c>
      <c r="O92" s="737">
        <v>4.912280701754386E-2</v>
      </c>
      <c r="P92" s="735" t="s">
        <v>764</v>
      </c>
      <c r="Q92" s="736"/>
      <c r="R92" s="736">
        <v>2510</v>
      </c>
      <c r="S92" s="736"/>
    </row>
    <row r="93" spans="1:19">
      <c r="A93" s="735" t="s">
        <v>550</v>
      </c>
      <c r="B93" s="736" t="s">
        <v>556</v>
      </c>
      <c r="C93" s="736" t="s">
        <v>44</v>
      </c>
      <c r="D93" s="737" t="s">
        <v>671</v>
      </c>
      <c r="E93" s="736" t="s">
        <v>672</v>
      </c>
      <c r="F93" s="737">
        <v>0</v>
      </c>
      <c r="G93" s="737">
        <v>0</v>
      </c>
      <c r="H93" s="737">
        <v>0</v>
      </c>
      <c r="I93" s="737">
        <v>0</v>
      </c>
      <c r="J93" s="737">
        <v>0</v>
      </c>
      <c r="K93" s="737">
        <v>3.8461538461538464E-2</v>
      </c>
      <c r="L93" s="737">
        <v>0.75</v>
      </c>
      <c r="M93" s="737">
        <v>0.6262295081967213</v>
      </c>
      <c r="N93" s="737">
        <v>0.6853932584269663</v>
      </c>
      <c r="O93" s="737">
        <v>0.39473684210526316</v>
      </c>
      <c r="P93" s="735" t="s">
        <v>765</v>
      </c>
      <c r="Q93" s="736"/>
      <c r="R93" s="736"/>
      <c r="S93" s="736"/>
    </row>
    <row r="94" spans="1:19">
      <c r="A94" s="735" t="s">
        <v>550</v>
      </c>
      <c r="B94" s="736" t="s">
        <v>556</v>
      </c>
      <c r="C94" s="736" t="s">
        <v>44</v>
      </c>
      <c r="D94" s="737" t="s">
        <v>673</v>
      </c>
      <c r="E94" s="736" t="s">
        <v>674</v>
      </c>
      <c r="F94" s="737">
        <v>0</v>
      </c>
      <c r="G94" s="737">
        <v>0</v>
      </c>
      <c r="H94" s="737">
        <v>0</v>
      </c>
      <c r="I94" s="737">
        <v>0</v>
      </c>
      <c r="J94" s="737">
        <v>0</v>
      </c>
      <c r="K94" s="737">
        <v>1.282051282051282E-2</v>
      </c>
      <c r="L94" s="737">
        <v>6.5384615384615388E-2</v>
      </c>
      <c r="M94" s="737">
        <v>9.1803278688524587E-2</v>
      </c>
      <c r="N94" s="737">
        <v>7.8651685393258425E-2</v>
      </c>
      <c r="O94" s="737">
        <v>4.6491228070175437E-2</v>
      </c>
      <c r="P94" s="735" t="s">
        <v>764</v>
      </c>
      <c r="Q94" s="736"/>
      <c r="R94" s="736">
        <v>2510</v>
      </c>
      <c r="S94" s="736"/>
    </row>
    <row r="95" spans="1:19">
      <c r="A95" s="735" t="s">
        <v>550</v>
      </c>
      <c r="B95" s="736" t="s">
        <v>556</v>
      </c>
      <c r="C95" s="736" t="s">
        <v>44</v>
      </c>
      <c r="D95" s="737" t="s">
        <v>675</v>
      </c>
      <c r="E95" s="736" t="s">
        <v>676</v>
      </c>
      <c r="F95" s="737">
        <v>0</v>
      </c>
      <c r="G95" s="737">
        <v>0</v>
      </c>
      <c r="H95" s="737">
        <v>0</v>
      </c>
      <c r="I95" s="737">
        <v>0</v>
      </c>
      <c r="J95" s="737">
        <v>0</v>
      </c>
      <c r="K95" s="737">
        <v>0</v>
      </c>
      <c r="L95" s="737">
        <v>0</v>
      </c>
      <c r="M95" s="737">
        <v>0.14754098360655737</v>
      </c>
      <c r="N95" s="737">
        <v>0.16853932584269662</v>
      </c>
      <c r="O95" s="737">
        <v>5.2631578947368418E-2</v>
      </c>
      <c r="P95" s="735" t="s">
        <v>765</v>
      </c>
      <c r="Q95" s="736"/>
      <c r="R95" s="736"/>
      <c r="S95" s="736"/>
    </row>
    <row r="96" spans="1:19">
      <c r="A96" s="735" t="s">
        <v>550</v>
      </c>
      <c r="B96" s="736" t="s">
        <v>556</v>
      </c>
      <c r="C96" s="736" t="s">
        <v>44</v>
      </c>
      <c r="D96" s="737" t="s">
        <v>677</v>
      </c>
      <c r="E96" s="736" t="s">
        <v>678</v>
      </c>
      <c r="F96" s="737">
        <v>0</v>
      </c>
      <c r="G96" s="737">
        <v>0</v>
      </c>
      <c r="H96" s="737">
        <v>0</v>
      </c>
      <c r="I96" s="737">
        <v>0</v>
      </c>
      <c r="J96" s="737">
        <v>0</v>
      </c>
      <c r="K96" s="737">
        <v>0</v>
      </c>
      <c r="L96" s="737">
        <v>0</v>
      </c>
      <c r="M96" s="737">
        <v>3.2786885245901639E-3</v>
      </c>
      <c r="N96" s="737">
        <v>1.1235955056179775E-2</v>
      </c>
      <c r="O96" s="737">
        <v>1.7543859649122807E-3</v>
      </c>
      <c r="P96" s="735" t="s">
        <v>765</v>
      </c>
      <c r="Q96" s="736"/>
      <c r="R96" s="736"/>
      <c r="S96" s="736"/>
    </row>
    <row r="97" spans="1:20">
      <c r="A97" s="735" t="s">
        <v>550</v>
      </c>
      <c r="B97" s="736" t="s">
        <v>556</v>
      </c>
      <c r="C97" s="736" t="s">
        <v>44</v>
      </c>
      <c r="D97" s="736" t="s">
        <v>679</v>
      </c>
      <c r="E97" s="736" t="s">
        <v>680</v>
      </c>
      <c r="F97" s="736"/>
      <c r="G97" s="736"/>
      <c r="H97" s="736"/>
      <c r="I97" s="736"/>
      <c r="J97" s="736"/>
      <c r="K97" s="736"/>
      <c r="L97" s="736"/>
      <c r="M97" s="736"/>
      <c r="N97" s="736"/>
      <c r="O97" s="736"/>
      <c r="P97" s="735" t="s">
        <v>765</v>
      </c>
      <c r="Q97" s="736"/>
      <c r="R97" s="736"/>
      <c r="S97" s="736"/>
    </row>
    <row r="98" spans="1:20">
      <c r="A98" s="735">
        <v>2602</v>
      </c>
      <c r="B98" s="736" t="s">
        <v>556</v>
      </c>
      <c r="C98" s="736" t="s">
        <v>285</v>
      </c>
      <c r="D98" s="737" t="s">
        <v>681</v>
      </c>
      <c r="E98" s="736" t="s">
        <v>682</v>
      </c>
      <c r="P98" s="735" t="s">
        <v>765</v>
      </c>
      <c r="S98" s="736" t="s">
        <v>308</v>
      </c>
    </row>
    <row r="99" spans="1:20">
      <c r="A99" s="735">
        <v>2602</v>
      </c>
      <c r="B99" s="736" t="s">
        <v>556</v>
      </c>
      <c r="C99" s="740" t="s">
        <v>190</v>
      </c>
      <c r="D99" s="737" t="s">
        <v>683</v>
      </c>
      <c r="E99" s="736" t="s">
        <v>309</v>
      </c>
      <c r="P99" s="735" t="s">
        <v>765</v>
      </c>
      <c r="S99" s="736" t="s">
        <v>308</v>
      </c>
    </row>
    <row r="100" spans="1:20">
      <c r="A100" s="735">
        <v>2602</v>
      </c>
      <c r="B100" s="736" t="s">
        <v>556</v>
      </c>
      <c r="C100" s="736" t="s">
        <v>23</v>
      </c>
      <c r="D100" s="737" t="s">
        <v>619</v>
      </c>
      <c r="E100" s="736" t="s">
        <v>310</v>
      </c>
      <c r="P100" s="735" t="s">
        <v>765</v>
      </c>
      <c r="S100" s="736" t="s">
        <v>308</v>
      </c>
    </row>
    <row r="101" spans="1:20">
      <c r="A101" s="735">
        <v>2602</v>
      </c>
      <c r="B101" s="736" t="s">
        <v>556</v>
      </c>
      <c r="C101" s="736" t="s">
        <v>23</v>
      </c>
      <c r="D101" s="737" t="s">
        <v>619</v>
      </c>
      <c r="E101" s="736" t="s">
        <v>311</v>
      </c>
      <c r="P101" s="735" t="s">
        <v>765</v>
      </c>
      <c r="S101" s="736" t="s">
        <v>308</v>
      </c>
    </row>
    <row r="102" spans="1:20">
      <c r="A102" s="735">
        <v>2602</v>
      </c>
      <c r="B102" s="736" t="s">
        <v>556</v>
      </c>
      <c r="C102" s="736" t="s">
        <v>23</v>
      </c>
      <c r="D102" s="737" t="s">
        <v>619</v>
      </c>
      <c r="E102" s="736" t="s">
        <v>312</v>
      </c>
      <c r="P102" s="735" t="s">
        <v>765</v>
      </c>
      <c r="S102" s="736" t="s">
        <v>308</v>
      </c>
    </row>
    <row r="103" spans="1:20">
      <c r="A103" s="735">
        <v>2602</v>
      </c>
      <c r="B103" s="736" t="s">
        <v>556</v>
      </c>
      <c r="C103" s="736" t="s">
        <v>23</v>
      </c>
      <c r="D103" s="737" t="s">
        <v>619</v>
      </c>
      <c r="E103" s="736" t="s">
        <v>313</v>
      </c>
      <c r="P103" s="735" t="s">
        <v>765</v>
      </c>
      <c r="S103" s="736" t="s">
        <v>308</v>
      </c>
    </row>
    <row r="104" spans="1:20">
      <c r="A104" s="735">
        <v>2602</v>
      </c>
      <c r="B104" s="736" t="s">
        <v>556</v>
      </c>
      <c r="C104" s="736" t="s">
        <v>23</v>
      </c>
      <c r="D104" s="737" t="s">
        <v>619</v>
      </c>
      <c r="E104" s="736" t="s">
        <v>314</v>
      </c>
      <c r="P104" s="735" t="s">
        <v>765</v>
      </c>
      <c r="S104" s="736" t="s">
        <v>308</v>
      </c>
    </row>
    <row r="105" spans="1:20">
      <c r="A105" s="735">
        <v>2602</v>
      </c>
      <c r="B105" s="736" t="s">
        <v>556</v>
      </c>
      <c r="C105" s="736" t="s">
        <v>23</v>
      </c>
      <c r="D105" s="737" t="s">
        <v>619</v>
      </c>
      <c r="E105" s="736" t="s">
        <v>315</v>
      </c>
      <c r="P105" s="735" t="s">
        <v>765</v>
      </c>
      <c r="S105" s="736" t="s">
        <v>308</v>
      </c>
    </row>
    <row r="106" spans="1:20">
      <c r="A106" s="735">
        <v>2602</v>
      </c>
      <c r="B106" s="736" t="s">
        <v>551</v>
      </c>
      <c r="C106" s="736" t="s">
        <v>23</v>
      </c>
      <c r="D106" s="737" t="s">
        <v>619</v>
      </c>
      <c r="E106" s="736" t="s">
        <v>316</v>
      </c>
      <c r="P106" s="735" t="s">
        <v>765</v>
      </c>
      <c r="S106" s="736" t="s">
        <v>308</v>
      </c>
    </row>
    <row r="107" spans="1:20">
      <c r="A107" s="735">
        <v>2602</v>
      </c>
      <c r="B107" s="736" t="s">
        <v>551</v>
      </c>
      <c r="C107" s="736" t="s">
        <v>23</v>
      </c>
      <c r="D107" s="737" t="s">
        <v>619</v>
      </c>
      <c r="E107" s="736" t="s">
        <v>317</v>
      </c>
      <c r="P107" s="735" t="s">
        <v>765</v>
      </c>
      <c r="S107" s="736" t="s">
        <v>308</v>
      </c>
    </row>
    <row r="108" spans="1:20">
      <c r="A108" s="735">
        <v>2602</v>
      </c>
      <c r="B108" s="736" t="s">
        <v>551</v>
      </c>
      <c r="C108" s="736" t="s">
        <v>23</v>
      </c>
      <c r="D108" s="737" t="s">
        <v>619</v>
      </c>
      <c r="E108" s="736" t="s">
        <v>318</v>
      </c>
      <c r="P108" s="735" t="s">
        <v>765</v>
      </c>
      <c r="S108" s="736" t="s">
        <v>308</v>
      </c>
    </row>
    <row r="109" spans="1:20">
      <c r="A109" s="735">
        <v>2602</v>
      </c>
      <c r="B109" s="736" t="s">
        <v>551</v>
      </c>
      <c r="C109" s="736" t="s">
        <v>23</v>
      </c>
      <c r="D109" s="737" t="s">
        <v>619</v>
      </c>
      <c r="E109" s="736" t="s">
        <v>319</v>
      </c>
      <c r="P109" s="735" t="s">
        <v>765</v>
      </c>
      <c r="S109" s="736" t="s">
        <v>308</v>
      </c>
    </row>
    <row r="110" spans="1:20">
      <c r="A110" s="735">
        <v>2602</v>
      </c>
      <c r="B110" s="736" t="s">
        <v>684</v>
      </c>
      <c r="C110" s="736" t="s">
        <v>258</v>
      </c>
      <c r="D110" s="737" t="s">
        <v>320</v>
      </c>
      <c r="E110" s="736" t="s">
        <v>320</v>
      </c>
      <c r="P110" s="735" t="s">
        <v>765</v>
      </c>
      <c r="S110" s="736" t="s">
        <v>308</v>
      </c>
    </row>
    <row r="111" spans="1:20">
      <c r="A111" s="735">
        <v>2603</v>
      </c>
      <c r="B111" s="736" t="s">
        <v>556</v>
      </c>
      <c r="C111" s="736" t="s">
        <v>285</v>
      </c>
      <c r="D111" s="737" t="s">
        <v>681</v>
      </c>
      <c r="E111" s="736" t="s">
        <v>337</v>
      </c>
      <c r="F111" s="736"/>
      <c r="G111" s="736"/>
      <c r="H111" s="736"/>
      <c r="I111" s="736"/>
      <c r="J111" s="736"/>
      <c r="K111" s="736"/>
      <c r="L111" s="736"/>
      <c r="M111" s="736"/>
      <c r="N111" s="736"/>
      <c r="O111" s="736"/>
      <c r="P111" s="735" t="s">
        <v>685</v>
      </c>
      <c r="Q111" s="736"/>
      <c r="R111" s="736"/>
      <c r="S111" s="736" t="s">
        <v>308</v>
      </c>
      <c r="T111" s="736"/>
    </row>
    <row r="112" spans="1:20">
      <c r="A112" s="735">
        <v>2603</v>
      </c>
      <c r="B112" s="736" t="s">
        <v>556</v>
      </c>
      <c r="C112" s="736" t="s">
        <v>23</v>
      </c>
      <c r="D112" s="737" t="s">
        <v>619</v>
      </c>
      <c r="E112" s="736" t="s">
        <v>328</v>
      </c>
      <c r="F112" s="736"/>
      <c r="G112" s="736"/>
      <c r="H112" s="736"/>
      <c r="I112" s="736"/>
      <c r="J112" s="736"/>
      <c r="K112" s="736"/>
      <c r="L112" s="736"/>
      <c r="M112" s="736"/>
      <c r="N112" s="736"/>
      <c r="O112" s="736"/>
      <c r="P112" s="735" t="s">
        <v>685</v>
      </c>
      <c r="Q112" s="736"/>
      <c r="R112" s="736"/>
      <c r="S112" s="736" t="s">
        <v>308</v>
      </c>
      <c r="T112" s="736"/>
    </row>
    <row r="113" spans="1:20">
      <c r="A113" s="735">
        <v>2603</v>
      </c>
      <c r="B113" s="736" t="s">
        <v>556</v>
      </c>
      <c r="C113" s="736" t="s">
        <v>23</v>
      </c>
      <c r="D113" s="737" t="s">
        <v>619</v>
      </c>
      <c r="E113" s="736" t="s">
        <v>329</v>
      </c>
      <c r="F113" s="736"/>
      <c r="G113" s="736"/>
      <c r="H113" s="736"/>
      <c r="I113" s="736"/>
      <c r="J113" s="736"/>
      <c r="K113" s="736"/>
      <c r="L113" s="736"/>
      <c r="M113" s="736"/>
      <c r="N113" s="736"/>
      <c r="O113" s="736"/>
      <c r="P113" s="735" t="s">
        <v>685</v>
      </c>
      <c r="Q113" s="736"/>
      <c r="R113" s="736"/>
      <c r="S113" s="736" t="s">
        <v>308</v>
      </c>
      <c r="T113" s="736"/>
    </row>
    <row r="114" spans="1:20">
      <c r="A114" s="735">
        <v>2603</v>
      </c>
      <c r="B114" s="736" t="s">
        <v>556</v>
      </c>
      <c r="C114" s="736" t="s">
        <v>23</v>
      </c>
      <c r="D114" s="737" t="s">
        <v>619</v>
      </c>
      <c r="E114" s="736" t="s">
        <v>327</v>
      </c>
      <c r="F114" s="736"/>
      <c r="G114" s="736"/>
      <c r="H114" s="736"/>
      <c r="I114" s="736"/>
      <c r="J114" s="736"/>
      <c r="K114" s="736"/>
      <c r="L114" s="736"/>
      <c r="M114" s="736"/>
      <c r="N114" s="736"/>
      <c r="O114" s="736"/>
      <c r="P114" s="735" t="s">
        <v>685</v>
      </c>
      <c r="Q114" s="736"/>
      <c r="R114" s="736"/>
      <c r="S114" s="736" t="s">
        <v>308</v>
      </c>
      <c r="T114" s="736"/>
    </row>
    <row r="115" spans="1:20">
      <c r="A115" s="735">
        <v>2603</v>
      </c>
      <c r="B115" s="736" t="s">
        <v>556</v>
      </c>
      <c r="C115" s="736" t="s">
        <v>23</v>
      </c>
      <c r="D115" s="737" t="s">
        <v>619</v>
      </c>
      <c r="E115" s="736" t="s">
        <v>330</v>
      </c>
      <c r="F115" s="736"/>
      <c r="G115" s="736"/>
      <c r="H115" s="736"/>
      <c r="I115" s="736"/>
      <c r="J115" s="736"/>
      <c r="K115" s="736"/>
      <c r="L115" s="736"/>
      <c r="M115" s="736"/>
      <c r="N115" s="736"/>
      <c r="O115" s="736"/>
      <c r="P115" s="735" t="s">
        <v>685</v>
      </c>
      <c r="Q115" s="736"/>
      <c r="R115" s="736"/>
      <c r="S115" s="736" t="s">
        <v>308</v>
      </c>
      <c r="T115" s="736"/>
    </row>
    <row r="116" spans="1:20">
      <c r="A116" s="735">
        <v>2603</v>
      </c>
      <c r="B116" s="736" t="s">
        <v>556</v>
      </c>
      <c r="C116" s="736" t="s">
        <v>23</v>
      </c>
      <c r="D116" s="737" t="s">
        <v>619</v>
      </c>
      <c r="E116" s="736" t="s">
        <v>331</v>
      </c>
      <c r="F116" s="736"/>
      <c r="G116" s="736"/>
      <c r="H116" s="736"/>
      <c r="I116" s="736"/>
      <c r="J116" s="736"/>
      <c r="K116" s="736"/>
      <c r="L116" s="736"/>
      <c r="M116" s="736"/>
      <c r="N116" s="736"/>
      <c r="O116" s="736"/>
      <c r="P116" s="735" t="s">
        <v>685</v>
      </c>
      <c r="Q116" s="736"/>
      <c r="R116" s="736"/>
      <c r="S116" s="736" t="s">
        <v>308</v>
      </c>
      <c r="T116" s="736"/>
    </row>
    <row r="117" spans="1:20">
      <c r="A117" s="735">
        <v>2603</v>
      </c>
      <c r="B117" s="736" t="s">
        <v>556</v>
      </c>
      <c r="C117" s="736" t="s">
        <v>23</v>
      </c>
      <c r="D117" s="737" t="s">
        <v>619</v>
      </c>
      <c r="E117" s="736" t="s">
        <v>332</v>
      </c>
      <c r="F117" s="736"/>
      <c r="G117" s="736"/>
      <c r="H117" s="736"/>
      <c r="I117" s="736"/>
      <c r="J117" s="736"/>
      <c r="K117" s="736"/>
      <c r="L117" s="736"/>
      <c r="M117" s="736"/>
      <c r="N117" s="736"/>
      <c r="O117" s="736"/>
      <c r="P117" s="735" t="s">
        <v>685</v>
      </c>
      <c r="Q117" s="736"/>
      <c r="R117" s="736"/>
      <c r="S117" s="736" t="s">
        <v>308</v>
      </c>
      <c r="T117" s="736"/>
    </row>
    <row r="118" spans="1:20">
      <c r="A118" s="735">
        <v>2603</v>
      </c>
      <c r="B118" s="736" t="s">
        <v>556</v>
      </c>
      <c r="C118" s="736" t="s">
        <v>44</v>
      </c>
      <c r="D118" s="736" t="s">
        <v>686</v>
      </c>
      <c r="E118" s="736" t="s">
        <v>687</v>
      </c>
      <c r="F118" s="736"/>
      <c r="G118" s="736"/>
      <c r="H118" s="736"/>
      <c r="I118" s="736"/>
      <c r="J118" s="736"/>
      <c r="K118" s="736"/>
      <c r="L118" s="736"/>
      <c r="M118" s="736"/>
      <c r="N118" s="736"/>
      <c r="O118" s="736"/>
      <c r="P118" s="735" t="s">
        <v>685</v>
      </c>
      <c r="Q118" s="736"/>
      <c r="R118" s="736"/>
      <c r="S118" s="736" t="s">
        <v>308</v>
      </c>
      <c r="T118" s="736" t="s">
        <v>688</v>
      </c>
    </row>
    <row r="119" spans="1:20">
      <c r="A119" s="735">
        <v>2604</v>
      </c>
      <c r="B119" s="736" t="s">
        <v>556</v>
      </c>
      <c r="C119" s="736" t="s">
        <v>44</v>
      </c>
      <c r="D119" s="736" t="s">
        <v>689</v>
      </c>
      <c r="E119" s="736" t="s">
        <v>483</v>
      </c>
      <c r="F119" s="736"/>
      <c r="G119" s="736"/>
      <c r="H119" s="736"/>
      <c r="I119" s="736"/>
      <c r="J119" s="736"/>
      <c r="K119" s="736"/>
      <c r="L119" s="736"/>
      <c r="M119" s="736"/>
      <c r="N119" s="736"/>
      <c r="O119" s="736"/>
      <c r="P119" s="735"/>
      <c r="Q119" s="736"/>
      <c r="R119" s="736"/>
      <c r="S119" s="736" t="s">
        <v>308</v>
      </c>
      <c r="T119" s="736"/>
    </row>
    <row r="120" spans="1:20">
      <c r="A120" s="735">
        <v>2603</v>
      </c>
      <c r="B120" s="736" t="s">
        <v>684</v>
      </c>
      <c r="C120" s="736" t="s">
        <v>690</v>
      </c>
      <c r="D120" s="736" t="s">
        <v>559</v>
      </c>
      <c r="E120" s="736" t="s">
        <v>390</v>
      </c>
      <c r="F120" s="736"/>
      <c r="G120" s="736"/>
      <c r="H120" s="736"/>
      <c r="I120" s="736"/>
      <c r="J120" s="736"/>
      <c r="K120" s="736"/>
      <c r="L120" s="736"/>
      <c r="M120" s="736"/>
      <c r="N120" s="736"/>
      <c r="O120" s="736"/>
      <c r="P120" s="735" t="s">
        <v>685</v>
      </c>
      <c r="Q120" s="736"/>
      <c r="R120" s="736"/>
      <c r="S120" s="736" t="s">
        <v>308</v>
      </c>
      <c r="T120" s="736" t="s">
        <v>688</v>
      </c>
    </row>
    <row r="121" spans="1:20">
      <c r="A121" s="735">
        <v>2608</v>
      </c>
      <c r="B121" s="736" t="s">
        <v>684</v>
      </c>
      <c r="C121" s="736" t="s">
        <v>690</v>
      </c>
      <c r="D121" s="736" t="s">
        <v>559</v>
      </c>
      <c r="E121" s="736" t="s">
        <v>691</v>
      </c>
      <c r="F121" s="736"/>
      <c r="G121" s="736"/>
      <c r="H121" s="736"/>
      <c r="I121" s="736"/>
      <c r="J121" s="736"/>
      <c r="K121" s="736"/>
      <c r="L121" s="736"/>
      <c r="M121" s="736"/>
      <c r="N121" s="736"/>
      <c r="O121" s="736"/>
      <c r="P121" s="735"/>
      <c r="Q121" s="736"/>
      <c r="R121" s="736"/>
      <c r="S121" s="736" t="s">
        <v>308</v>
      </c>
      <c r="T121" s="736"/>
    </row>
    <row r="122" spans="1:20">
      <c r="A122" s="735">
        <v>2608</v>
      </c>
      <c r="B122" s="736" t="s">
        <v>684</v>
      </c>
      <c r="C122" s="736" t="s">
        <v>690</v>
      </c>
      <c r="D122" s="736" t="s">
        <v>559</v>
      </c>
      <c r="E122" s="736" t="s">
        <v>691</v>
      </c>
      <c r="F122" s="736"/>
      <c r="G122" s="736"/>
      <c r="H122" s="736"/>
      <c r="I122" s="736"/>
      <c r="J122" s="736"/>
      <c r="K122" s="736"/>
      <c r="L122" s="736"/>
      <c r="M122" s="736"/>
      <c r="N122" s="736"/>
      <c r="O122" s="736"/>
      <c r="P122" s="735"/>
      <c r="Q122" s="736"/>
      <c r="R122" s="736"/>
      <c r="S122" s="736" t="s">
        <v>308</v>
      </c>
      <c r="T122" s="736"/>
    </row>
    <row r="123" spans="1:20">
      <c r="A123" s="735">
        <v>2608</v>
      </c>
      <c r="B123" s="736" t="s">
        <v>556</v>
      </c>
      <c r="C123" s="736" t="s">
        <v>690</v>
      </c>
      <c r="D123" s="736"/>
      <c r="E123" s="736" t="s">
        <v>692</v>
      </c>
      <c r="F123" s="736"/>
      <c r="G123" s="736"/>
      <c r="H123" s="736"/>
      <c r="I123" s="736"/>
      <c r="J123" s="736"/>
      <c r="K123" s="736"/>
      <c r="L123" s="736"/>
      <c r="M123" s="736"/>
      <c r="N123" s="736"/>
      <c r="O123" s="736"/>
      <c r="P123" s="735"/>
      <c r="Q123" s="736"/>
      <c r="R123" s="736"/>
      <c r="S123" s="736" t="s">
        <v>308</v>
      </c>
      <c r="T123" s="736"/>
    </row>
    <row r="124" spans="1:20">
      <c r="A124" s="735">
        <v>2603</v>
      </c>
      <c r="B124" s="736" t="s">
        <v>556</v>
      </c>
      <c r="C124" s="736" t="s">
        <v>693</v>
      </c>
      <c r="D124" s="736" t="s">
        <v>694</v>
      </c>
      <c r="E124" s="736" t="s">
        <v>443</v>
      </c>
      <c r="F124" s="736"/>
      <c r="G124" s="736"/>
      <c r="H124" s="736"/>
      <c r="I124" s="736"/>
      <c r="J124" s="736"/>
      <c r="K124" s="736"/>
      <c r="L124" s="736"/>
      <c r="M124" s="736"/>
      <c r="N124" s="736"/>
      <c r="O124" s="736"/>
      <c r="P124" s="735" t="s">
        <v>685</v>
      </c>
      <c r="Q124" s="736"/>
      <c r="R124" s="736"/>
      <c r="S124" s="736" t="s">
        <v>308</v>
      </c>
      <c r="T124" s="736"/>
    </row>
    <row r="125" spans="1:20">
      <c r="A125" s="735">
        <v>2603</v>
      </c>
      <c r="B125" s="736" t="s">
        <v>556</v>
      </c>
      <c r="C125" s="736" t="s">
        <v>693</v>
      </c>
      <c r="D125" s="736" t="s">
        <v>694</v>
      </c>
      <c r="E125" s="736" t="s">
        <v>391</v>
      </c>
      <c r="F125" s="736"/>
      <c r="G125" s="736"/>
      <c r="H125" s="736"/>
      <c r="I125" s="736"/>
      <c r="J125" s="736"/>
      <c r="K125" s="736"/>
      <c r="L125" s="736"/>
      <c r="M125" s="736"/>
      <c r="N125" s="736"/>
      <c r="O125" s="736"/>
      <c r="P125" s="735" t="s">
        <v>685</v>
      </c>
      <c r="Q125" s="736"/>
      <c r="R125" s="736"/>
      <c r="S125" s="736" t="s">
        <v>308</v>
      </c>
      <c r="T125" s="736"/>
    </row>
    <row r="126" spans="1:20">
      <c r="A126" s="735">
        <v>2605</v>
      </c>
      <c r="B126" s="736" t="s">
        <v>556</v>
      </c>
      <c r="C126" s="736" t="s">
        <v>693</v>
      </c>
      <c r="D126" s="736" t="s">
        <v>695</v>
      </c>
      <c r="E126" s="736" t="s">
        <v>696</v>
      </c>
      <c r="F126" s="736"/>
      <c r="G126" s="736"/>
      <c r="H126" s="736"/>
      <c r="I126" s="736"/>
      <c r="J126" s="736"/>
      <c r="K126" s="736"/>
      <c r="L126" s="736"/>
      <c r="M126" s="736"/>
      <c r="N126" s="736"/>
      <c r="O126" s="736"/>
      <c r="P126" s="735"/>
      <c r="Q126" s="736"/>
      <c r="R126" s="736"/>
      <c r="S126" s="736" t="s">
        <v>308</v>
      </c>
      <c r="T126" s="736"/>
    </row>
    <row r="127" spans="1:20">
      <c r="A127" s="735">
        <v>2507</v>
      </c>
      <c r="B127" s="736" t="s">
        <v>556</v>
      </c>
      <c r="C127" s="736" t="s">
        <v>693</v>
      </c>
      <c r="D127" s="736" t="s">
        <v>695</v>
      </c>
      <c r="E127" s="736" t="s">
        <v>697</v>
      </c>
      <c r="F127" s="736"/>
      <c r="G127" s="736"/>
      <c r="H127" s="736"/>
      <c r="I127" s="736"/>
      <c r="J127" s="736"/>
      <c r="K127" s="736"/>
      <c r="L127" s="736"/>
      <c r="M127" s="736"/>
      <c r="N127" s="736"/>
      <c r="O127" s="736"/>
      <c r="P127" s="735"/>
      <c r="Q127" s="736"/>
      <c r="R127" s="736"/>
      <c r="S127" s="736" t="s">
        <v>308</v>
      </c>
      <c r="T127" s="736"/>
    </row>
    <row r="128" spans="1:20">
      <c r="A128" s="735">
        <v>2504</v>
      </c>
      <c r="B128" s="736" t="s">
        <v>556</v>
      </c>
      <c r="C128" s="736" t="s">
        <v>693</v>
      </c>
      <c r="D128" s="736" t="s">
        <v>698</v>
      </c>
      <c r="E128" s="736" t="s">
        <v>699</v>
      </c>
      <c r="F128" s="736"/>
      <c r="G128" s="736"/>
      <c r="H128" s="736"/>
      <c r="I128" s="736"/>
      <c r="J128" s="736"/>
      <c r="K128" s="736"/>
      <c r="L128" s="736"/>
      <c r="M128" s="736"/>
      <c r="N128" s="736"/>
      <c r="O128" s="736"/>
      <c r="P128" s="735"/>
      <c r="Q128" s="736"/>
      <c r="R128" s="736"/>
      <c r="S128" s="736" t="s">
        <v>308</v>
      </c>
      <c r="T128" s="736"/>
    </row>
    <row r="129" spans="1:20">
      <c r="A129" s="735">
        <v>2605</v>
      </c>
      <c r="B129" s="736" t="s">
        <v>556</v>
      </c>
      <c r="C129" s="736" t="s">
        <v>693</v>
      </c>
      <c r="D129" s="736" t="s">
        <v>698</v>
      </c>
      <c r="E129" s="736" t="s">
        <v>700</v>
      </c>
      <c r="F129" s="736"/>
      <c r="G129" s="736"/>
      <c r="H129" s="736"/>
      <c r="I129" s="736"/>
      <c r="J129" s="736"/>
      <c r="K129" s="736"/>
      <c r="L129" s="736"/>
      <c r="M129" s="736"/>
      <c r="N129" s="736"/>
      <c r="O129" s="736"/>
      <c r="P129" s="735"/>
      <c r="Q129" s="736"/>
      <c r="R129" s="736"/>
      <c r="S129" s="736" t="s">
        <v>308</v>
      </c>
      <c r="T129" s="736"/>
    </row>
    <row r="130" spans="1:20">
      <c r="A130" s="735">
        <v>2602</v>
      </c>
      <c r="B130" s="736" t="s">
        <v>556</v>
      </c>
      <c r="C130" s="736" t="s">
        <v>693</v>
      </c>
      <c r="D130" s="736" t="s">
        <v>599</v>
      </c>
      <c r="E130" s="736" t="s">
        <v>701</v>
      </c>
      <c r="F130" s="736"/>
      <c r="G130" s="736"/>
      <c r="H130" s="736"/>
      <c r="I130" s="736"/>
      <c r="J130" s="736"/>
      <c r="K130" s="736"/>
      <c r="L130" s="736"/>
      <c r="M130" s="736"/>
      <c r="N130" s="736"/>
      <c r="O130" s="736"/>
      <c r="P130" s="735"/>
      <c r="Q130" s="736"/>
      <c r="R130" s="736"/>
      <c r="S130" s="736" t="s">
        <v>308</v>
      </c>
      <c r="T130" s="736"/>
    </row>
    <row r="131" spans="1:20">
      <c r="A131" s="735">
        <v>2602</v>
      </c>
      <c r="B131" s="736" t="s">
        <v>556</v>
      </c>
      <c r="C131" s="736" t="s">
        <v>693</v>
      </c>
      <c r="D131" s="736" t="s">
        <v>599</v>
      </c>
      <c r="E131" s="736" t="s">
        <v>702</v>
      </c>
      <c r="F131" s="736"/>
      <c r="G131" s="736"/>
      <c r="H131" s="736"/>
      <c r="I131" s="736"/>
      <c r="J131" s="736"/>
      <c r="K131" s="736"/>
      <c r="L131" s="736"/>
      <c r="M131" s="736"/>
      <c r="N131" s="736"/>
      <c r="O131" s="736"/>
      <c r="P131" s="735"/>
      <c r="Q131" s="736"/>
      <c r="R131" s="736"/>
      <c r="S131" s="736" t="s">
        <v>308</v>
      </c>
      <c r="T131" s="736"/>
    </row>
    <row r="132" spans="1:20">
      <c r="A132" s="735">
        <v>2602</v>
      </c>
      <c r="B132" s="736" t="s">
        <v>556</v>
      </c>
      <c r="C132" s="736" t="s">
        <v>693</v>
      </c>
      <c r="D132" s="736" t="s">
        <v>599</v>
      </c>
      <c r="E132" s="736" t="s">
        <v>366</v>
      </c>
      <c r="F132" s="736"/>
      <c r="G132" s="736"/>
      <c r="H132" s="736"/>
      <c r="I132" s="736"/>
      <c r="J132" s="736"/>
      <c r="K132" s="736"/>
      <c r="L132" s="736"/>
      <c r="M132" s="736"/>
      <c r="N132" s="736"/>
      <c r="O132" s="736"/>
      <c r="P132" s="735" t="s">
        <v>685</v>
      </c>
      <c r="Q132" s="736"/>
      <c r="R132" s="736"/>
      <c r="S132" s="736" t="s">
        <v>308</v>
      </c>
      <c r="T132" s="736"/>
    </row>
    <row r="133" spans="1:20">
      <c r="A133" s="735">
        <v>2605</v>
      </c>
      <c r="B133" s="736" t="s">
        <v>556</v>
      </c>
      <c r="C133" s="736" t="s">
        <v>693</v>
      </c>
      <c r="D133" s="736" t="s">
        <v>226</v>
      </c>
      <c r="E133" s="736" t="s">
        <v>703</v>
      </c>
      <c r="F133" s="736"/>
      <c r="G133" s="736"/>
      <c r="H133" s="736"/>
      <c r="I133" s="736"/>
      <c r="J133" s="736"/>
      <c r="K133" s="736"/>
      <c r="L133" s="736"/>
      <c r="M133" s="736"/>
      <c r="N133" s="736"/>
      <c r="O133" s="736"/>
      <c r="P133" s="735"/>
      <c r="Q133" s="736"/>
      <c r="R133" s="736"/>
      <c r="S133" s="736" t="s">
        <v>308</v>
      </c>
      <c r="T133" s="736"/>
    </row>
    <row r="134" spans="1:20">
      <c r="A134" s="735">
        <v>2610</v>
      </c>
      <c r="B134" s="736" t="s">
        <v>684</v>
      </c>
      <c r="C134" s="736" t="s">
        <v>704</v>
      </c>
      <c r="D134" s="736"/>
      <c r="E134" s="736" t="s">
        <v>705</v>
      </c>
      <c r="F134" s="736"/>
      <c r="G134" s="736"/>
      <c r="H134" s="736"/>
      <c r="I134" s="736"/>
      <c r="J134" s="736"/>
      <c r="K134" s="736"/>
      <c r="L134" s="736"/>
      <c r="M134" s="736"/>
      <c r="N134" s="736"/>
      <c r="O134" s="736"/>
      <c r="P134" s="735"/>
      <c r="Q134" s="736"/>
      <c r="R134" s="736"/>
      <c r="S134" s="736" t="s">
        <v>308</v>
      </c>
      <c r="T134" s="736"/>
    </row>
    <row r="135" spans="1:20">
      <c r="A135" s="735">
        <v>2605</v>
      </c>
      <c r="B135" s="736" t="s">
        <v>684</v>
      </c>
      <c r="C135" s="736" t="s">
        <v>704</v>
      </c>
      <c r="D135" s="736"/>
      <c r="E135" s="736" t="s">
        <v>706</v>
      </c>
      <c r="F135" s="736"/>
      <c r="G135" s="736"/>
      <c r="H135" s="736"/>
      <c r="I135" s="736"/>
      <c r="J135" s="736"/>
      <c r="K135" s="736"/>
      <c r="L135" s="736"/>
      <c r="M135" s="736"/>
      <c r="N135" s="736"/>
      <c r="O135" s="736"/>
      <c r="P135" s="735"/>
      <c r="Q135" s="736"/>
      <c r="R135" s="736"/>
      <c r="S135" s="736" t="s">
        <v>308</v>
      </c>
      <c r="T135" s="736"/>
    </row>
    <row r="136" spans="1:20">
      <c r="A136" s="735">
        <v>2605</v>
      </c>
      <c r="B136" s="736" t="s">
        <v>684</v>
      </c>
      <c r="C136" s="736" t="s">
        <v>704</v>
      </c>
      <c r="D136" s="736"/>
      <c r="E136" s="736" t="s">
        <v>707</v>
      </c>
      <c r="F136" s="736"/>
      <c r="G136" s="736"/>
      <c r="H136" s="736"/>
      <c r="I136" s="736"/>
      <c r="J136" s="736"/>
      <c r="K136" s="736"/>
      <c r="L136" s="736"/>
      <c r="M136" s="736"/>
      <c r="N136" s="736"/>
      <c r="O136" s="736"/>
      <c r="P136" s="735"/>
      <c r="Q136" s="736"/>
      <c r="R136" s="736"/>
      <c r="S136" s="736" t="s">
        <v>308</v>
      </c>
      <c r="T136" s="736"/>
    </row>
    <row r="137" spans="1:20">
      <c r="A137" s="735">
        <v>2607</v>
      </c>
      <c r="B137" s="736" t="s">
        <v>684</v>
      </c>
      <c r="C137" s="736" t="s">
        <v>704</v>
      </c>
      <c r="D137" s="736"/>
      <c r="E137" s="736" t="s">
        <v>708</v>
      </c>
      <c r="F137" s="736"/>
      <c r="G137" s="736"/>
      <c r="H137" s="736"/>
      <c r="I137" s="736"/>
      <c r="J137" s="736"/>
      <c r="K137" s="736"/>
      <c r="L137" s="736"/>
      <c r="M137" s="736"/>
      <c r="N137" s="736"/>
      <c r="O137" s="736"/>
      <c r="P137" s="735"/>
      <c r="Q137" s="736"/>
      <c r="R137" s="736"/>
      <c r="S137" s="736" t="s">
        <v>308</v>
      </c>
      <c r="T137" s="736"/>
    </row>
    <row r="138" spans="1:20">
      <c r="A138" s="735">
        <v>2604</v>
      </c>
      <c r="B138" s="736" t="s">
        <v>684</v>
      </c>
      <c r="C138" s="736" t="s">
        <v>704</v>
      </c>
      <c r="D138" s="736"/>
      <c r="E138" s="736" t="s">
        <v>709</v>
      </c>
      <c r="F138" s="736"/>
      <c r="G138" s="736"/>
      <c r="H138" s="736"/>
      <c r="I138" s="736"/>
      <c r="J138" s="736"/>
      <c r="K138" s="736"/>
      <c r="L138" s="736"/>
      <c r="M138" s="736"/>
      <c r="N138" s="736"/>
      <c r="O138" s="736"/>
      <c r="P138" s="735"/>
      <c r="Q138" s="736"/>
      <c r="R138" s="736"/>
      <c r="S138" s="736" t="s">
        <v>308</v>
      </c>
      <c r="T138" s="736"/>
    </row>
    <row r="139" spans="1:20">
      <c r="A139" s="735">
        <v>2606</v>
      </c>
      <c r="B139" s="736" t="s">
        <v>556</v>
      </c>
      <c r="C139" s="736" t="s">
        <v>22</v>
      </c>
      <c r="D139" s="736"/>
      <c r="E139" s="736" t="s">
        <v>710</v>
      </c>
      <c r="F139" s="736"/>
      <c r="G139" s="736"/>
      <c r="H139" s="736"/>
      <c r="I139" s="736"/>
      <c r="J139" s="736"/>
      <c r="K139" s="736"/>
      <c r="L139" s="736"/>
      <c r="M139" s="736"/>
      <c r="N139" s="736"/>
      <c r="O139" s="736"/>
      <c r="P139" s="735"/>
      <c r="Q139" s="736"/>
      <c r="R139" s="736"/>
      <c r="S139" s="736" t="s">
        <v>308</v>
      </c>
      <c r="T139" s="736"/>
    </row>
    <row r="140" spans="1:20">
      <c r="A140" s="735">
        <v>2606</v>
      </c>
      <c r="B140" s="736" t="s">
        <v>556</v>
      </c>
      <c r="C140" s="736" t="s">
        <v>22</v>
      </c>
      <c r="D140" s="736"/>
      <c r="E140" s="736" t="s">
        <v>711</v>
      </c>
      <c r="F140" s="736"/>
      <c r="G140" s="736"/>
      <c r="H140" s="736"/>
      <c r="I140" s="736"/>
      <c r="J140" s="736"/>
      <c r="K140" s="736"/>
      <c r="L140" s="736"/>
      <c r="M140" s="736"/>
      <c r="N140" s="736"/>
      <c r="O140" s="736"/>
      <c r="P140" s="735"/>
      <c r="Q140" s="736"/>
      <c r="R140" s="736"/>
      <c r="S140" s="736" t="s">
        <v>308</v>
      </c>
      <c r="T140" s="736"/>
    </row>
    <row r="141" spans="1:20">
      <c r="A141" s="735">
        <v>2605</v>
      </c>
      <c r="B141" s="736" t="s">
        <v>684</v>
      </c>
      <c r="C141" s="736" t="s">
        <v>712</v>
      </c>
      <c r="D141" s="736"/>
      <c r="E141" s="736" t="s">
        <v>713</v>
      </c>
      <c r="F141" s="736"/>
      <c r="G141" s="736"/>
      <c r="H141" s="736"/>
      <c r="I141" s="736"/>
      <c r="J141" s="736"/>
      <c r="K141" s="736"/>
      <c r="L141" s="736"/>
      <c r="M141" s="736"/>
      <c r="N141" s="736"/>
      <c r="O141" s="736"/>
      <c r="P141" s="735"/>
      <c r="Q141" s="736"/>
      <c r="R141" s="736"/>
      <c r="S141" s="736" t="s">
        <v>308</v>
      </c>
      <c r="T141" s="736"/>
    </row>
    <row r="142" spans="1:20">
      <c r="A142" s="735">
        <v>2609</v>
      </c>
      <c r="B142" s="736" t="s">
        <v>684</v>
      </c>
      <c r="C142" s="736" t="s">
        <v>712</v>
      </c>
      <c r="D142" s="736"/>
      <c r="E142" s="736" t="s">
        <v>714</v>
      </c>
      <c r="F142" s="736"/>
      <c r="G142" s="736"/>
      <c r="H142" s="736"/>
      <c r="I142" s="736"/>
      <c r="J142" s="736"/>
      <c r="K142" s="736"/>
      <c r="L142" s="736"/>
      <c r="M142" s="736"/>
      <c r="N142" s="736"/>
      <c r="O142" s="736"/>
      <c r="P142" s="735"/>
      <c r="Q142" s="736"/>
      <c r="R142" s="736"/>
      <c r="S142" s="736" t="s">
        <v>308</v>
      </c>
      <c r="T142" s="736"/>
    </row>
    <row r="143" spans="1:20">
      <c r="A143" s="735">
        <v>2605</v>
      </c>
      <c r="B143" s="736" t="s">
        <v>556</v>
      </c>
      <c r="C143" s="736" t="s">
        <v>285</v>
      </c>
      <c r="D143" s="736"/>
      <c r="E143" s="736" t="s">
        <v>715</v>
      </c>
      <c r="F143" s="736"/>
      <c r="G143" s="736"/>
      <c r="H143" s="736"/>
      <c r="I143" s="736"/>
      <c r="J143" s="736"/>
      <c r="K143" s="736"/>
      <c r="L143" s="736"/>
      <c r="M143" s="736"/>
      <c r="N143" s="736"/>
      <c r="O143" s="736"/>
      <c r="P143" s="735"/>
      <c r="Q143" s="736"/>
      <c r="R143" s="736"/>
      <c r="S143" s="736" t="s">
        <v>308</v>
      </c>
      <c r="T143" s="736"/>
    </row>
  </sheetData>
  <autoFilter ref="A1:S143" xr:uid="{2BE919A3-04DB-4013-A9F4-28745CAA8C5E}"/>
  <conditionalFormatting sqref="P2:P96">
    <cfRule type="cellIs" dxfId="1" priority="1" operator="equal">
      <formula>"X"</formula>
    </cfRule>
    <cfRule type="cellIs" dxfId="0" priority="2" operator="equal">
      <formula>"""X"""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01319-012A-4428-809C-49AE8BEA32B4}">
  <dimension ref="C6:K21"/>
  <sheetViews>
    <sheetView workbookViewId="0">
      <selection activeCell="D23" sqref="D23:E23"/>
    </sheetView>
  </sheetViews>
  <sheetFormatPr defaultColWidth="8.26953125" defaultRowHeight="14"/>
  <cols>
    <col min="1" max="2" width="8.26953125" style="439"/>
    <col min="3" max="3" width="10.90625" style="439" bestFit="1" customWidth="1"/>
    <col min="4" max="5" width="12.08984375" style="439" customWidth="1"/>
    <col min="6" max="6" width="8.26953125" style="439"/>
    <col min="7" max="7" width="14.26953125" style="439" bestFit="1" customWidth="1"/>
    <col min="8" max="8" width="14.26953125" style="439" customWidth="1"/>
    <col min="9" max="10" width="12.36328125" style="439" bestFit="1" customWidth="1"/>
    <col min="11" max="11" width="29.26953125" style="439" customWidth="1"/>
    <col min="12" max="16384" width="8.26953125" style="439"/>
  </cols>
  <sheetData>
    <row r="6" spans="3:11">
      <c r="C6" s="1399"/>
      <c r="D6" s="1401" t="s">
        <v>393</v>
      </c>
      <c r="E6" s="1401"/>
      <c r="F6" s="1402"/>
      <c r="G6" s="1403" t="s">
        <v>394</v>
      </c>
      <c r="H6" s="1404"/>
      <c r="I6" s="1399"/>
      <c r="J6" s="1399"/>
      <c r="K6" s="1399" t="s">
        <v>395</v>
      </c>
    </row>
    <row r="7" spans="3:11">
      <c r="C7" s="1399"/>
      <c r="D7" s="440" t="s">
        <v>396</v>
      </c>
      <c r="E7" s="440"/>
      <c r="F7" s="441" t="s">
        <v>323</v>
      </c>
      <c r="G7" s="442" t="s">
        <v>396</v>
      </c>
      <c r="H7" s="437" t="s">
        <v>397</v>
      </c>
      <c r="I7" s="437" t="s">
        <v>143</v>
      </c>
      <c r="J7" s="437" t="s">
        <v>144</v>
      </c>
      <c r="K7" s="1399"/>
    </row>
    <row r="8" spans="3:11">
      <c r="C8" s="1400" t="s">
        <v>398</v>
      </c>
      <c r="D8" s="443" t="s">
        <v>294</v>
      </c>
      <c r="E8" s="443" t="s">
        <v>399</v>
      </c>
      <c r="F8" s="444"/>
      <c r="G8" s="445" t="s">
        <v>294</v>
      </c>
      <c r="H8" s="446" t="s">
        <v>399</v>
      </c>
      <c r="I8" s="447" t="s">
        <v>400</v>
      </c>
      <c r="J8" s="447" t="s">
        <v>401</v>
      </c>
      <c r="K8" s="447" t="s">
        <v>402</v>
      </c>
    </row>
    <row r="9" spans="3:11">
      <c r="C9" s="1400"/>
      <c r="D9" s="448" t="s">
        <v>295</v>
      </c>
      <c r="E9" s="448" t="s">
        <v>399</v>
      </c>
      <c r="F9" s="449"/>
      <c r="G9" s="450" t="s">
        <v>295</v>
      </c>
      <c r="H9" s="451" t="s">
        <v>399</v>
      </c>
      <c r="I9" s="452" t="s">
        <v>403</v>
      </c>
      <c r="J9" s="452" t="s">
        <v>404</v>
      </c>
      <c r="K9" s="452" t="s">
        <v>402</v>
      </c>
    </row>
    <row r="10" spans="3:11">
      <c r="C10" s="1400"/>
      <c r="D10" s="448" t="s">
        <v>296</v>
      </c>
      <c r="E10" s="453" t="s">
        <v>405</v>
      </c>
      <c r="F10" s="454" t="s">
        <v>406</v>
      </c>
      <c r="G10" s="455" t="s">
        <v>310</v>
      </c>
      <c r="H10" s="456" t="s">
        <v>407</v>
      </c>
      <c r="I10" s="456" t="s">
        <v>408</v>
      </c>
      <c r="J10" s="456" t="s">
        <v>409</v>
      </c>
      <c r="K10" s="457" t="s">
        <v>265</v>
      </c>
    </row>
    <row r="11" spans="3:11">
      <c r="C11" s="1400"/>
      <c r="D11" s="458" t="s">
        <v>297</v>
      </c>
      <c r="E11" s="459" t="s">
        <v>410</v>
      </c>
      <c r="F11" s="460" t="s">
        <v>406</v>
      </c>
      <c r="G11" s="461" t="s">
        <v>311</v>
      </c>
      <c r="H11" s="462" t="s">
        <v>405</v>
      </c>
      <c r="I11" s="462" t="s">
        <v>411</v>
      </c>
      <c r="J11" s="462" t="s">
        <v>412</v>
      </c>
      <c r="K11" s="463" t="s">
        <v>265</v>
      </c>
    </row>
    <row r="12" spans="3:11">
      <c r="C12" s="1400" t="s">
        <v>413</v>
      </c>
      <c r="D12" s="464"/>
      <c r="E12" s="464"/>
      <c r="F12" s="444"/>
      <c r="G12" s="465" t="s">
        <v>414</v>
      </c>
      <c r="H12" s="466" t="s">
        <v>405</v>
      </c>
      <c r="I12" s="466" t="s">
        <v>415</v>
      </c>
      <c r="J12" s="466" t="s">
        <v>416</v>
      </c>
      <c r="K12" s="467" t="s">
        <v>417</v>
      </c>
    </row>
    <row r="13" spans="3:11">
      <c r="C13" s="1400"/>
      <c r="D13" s="468"/>
      <c r="E13" s="468"/>
      <c r="F13" s="469"/>
      <c r="G13" s="461" t="s">
        <v>418</v>
      </c>
      <c r="H13" s="462" t="s">
        <v>405</v>
      </c>
      <c r="I13" s="462" t="s">
        <v>419</v>
      </c>
      <c r="J13" s="462" t="s">
        <v>420</v>
      </c>
      <c r="K13" s="463" t="s">
        <v>417</v>
      </c>
    </row>
    <row r="14" spans="3:11">
      <c r="C14" s="1400" t="s">
        <v>421</v>
      </c>
      <c r="D14" s="443" t="s">
        <v>298</v>
      </c>
      <c r="E14" s="470" t="s">
        <v>422</v>
      </c>
      <c r="F14" s="471" t="s">
        <v>406</v>
      </c>
      <c r="G14" s="472" t="s">
        <v>312</v>
      </c>
      <c r="H14" s="473" t="s">
        <v>422</v>
      </c>
      <c r="I14" s="473" t="s">
        <v>423</v>
      </c>
      <c r="J14" s="473" t="s">
        <v>424</v>
      </c>
      <c r="K14" s="467" t="s">
        <v>265</v>
      </c>
    </row>
    <row r="15" spans="3:11">
      <c r="C15" s="1400"/>
      <c r="D15" s="448" t="s">
        <v>299</v>
      </c>
      <c r="E15" s="474" t="s">
        <v>422</v>
      </c>
      <c r="F15" s="454" t="s">
        <v>406</v>
      </c>
      <c r="G15" s="475" t="s">
        <v>313</v>
      </c>
      <c r="H15" s="476" t="s">
        <v>422</v>
      </c>
      <c r="I15" s="452" t="s">
        <v>425</v>
      </c>
      <c r="J15" s="452" t="s">
        <v>426</v>
      </c>
      <c r="K15" s="457" t="s">
        <v>265</v>
      </c>
    </row>
    <row r="16" spans="3:11">
      <c r="C16" s="1400"/>
      <c r="D16" s="448" t="s">
        <v>300</v>
      </c>
      <c r="E16" s="474" t="s">
        <v>422</v>
      </c>
      <c r="F16" s="454" t="s">
        <v>406</v>
      </c>
      <c r="G16" s="475" t="s">
        <v>314</v>
      </c>
      <c r="H16" s="476" t="s">
        <v>422</v>
      </c>
      <c r="I16" s="452" t="s">
        <v>427</v>
      </c>
      <c r="J16" s="452" t="s">
        <v>428</v>
      </c>
      <c r="K16" s="457" t="s">
        <v>265</v>
      </c>
    </row>
    <row r="17" spans="3:11">
      <c r="C17" s="1400"/>
      <c r="D17" s="458" t="s">
        <v>301</v>
      </c>
      <c r="E17" s="477" t="s">
        <v>422</v>
      </c>
      <c r="F17" s="460" t="s">
        <v>406</v>
      </c>
      <c r="G17" s="478" t="s">
        <v>315</v>
      </c>
      <c r="H17" s="479" t="s">
        <v>422</v>
      </c>
      <c r="I17" s="480" t="s">
        <v>429</v>
      </c>
      <c r="J17" s="480" t="s">
        <v>430</v>
      </c>
      <c r="K17" s="463" t="s">
        <v>265</v>
      </c>
    </row>
    <row r="18" spans="3:11">
      <c r="C18" s="1400" t="s">
        <v>431</v>
      </c>
      <c r="D18" s="481" t="s">
        <v>432</v>
      </c>
      <c r="E18" s="481" t="s">
        <v>433</v>
      </c>
      <c r="F18" s="438" t="s">
        <v>406</v>
      </c>
      <c r="G18" s="482" t="s">
        <v>316</v>
      </c>
      <c r="H18" s="483" t="s">
        <v>433</v>
      </c>
      <c r="I18" s="483" t="s">
        <v>434</v>
      </c>
      <c r="J18" s="483" t="s">
        <v>435</v>
      </c>
      <c r="K18" s="484" t="s">
        <v>436</v>
      </c>
    </row>
    <row r="19" spans="3:11">
      <c r="C19" s="1400"/>
      <c r="D19" s="481" t="s">
        <v>302</v>
      </c>
      <c r="E19" s="481" t="s">
        <v>433</v>
      </c>
      <c r="F19" s="438" t="s">
        <v>406</v>
      </c>
      <c r="G19" s="482" t="s">
        <v>317</v>
      </c>
      <c r="H19" s="483" t="s">
        <v>433</v>
      </c>
      <c r="I19" s="483" t="s">
        <v>437</v>
      </c>
      <c r="J19" s="483" t="s">
        <v>438</v>
      </c>
      <c r="K19" s="484" t="s">
        <v>436</v>
      </c>
    </row>
    <row r="20" spans="3:11">
      <c r="C20" s="1400"/>
      <c r="D20" s="481" t="s">
        <v>303</v>
      </c>
      <c r="E20" s="481" t="s">
        <v>433</v>
      </c>
      <c r="F20" s="438" t="s">
        <v>406</v>
      </c>
      <c r="G20" s="482" t="s">
        <v>318</v>
      </c>
      <c r="H20" s="483" t="s">
        <v>433</v>
      </c>
      <c r="I20" s="483" t="s">
        <v>439</v>
      </c>
      <c r="J20" s="483" t="s">
        <v>440</v>
      </c>
      <c r="K20" s="484" t="s">
        <v>436</v>
      </c>
    </row>
    <row r="21" spans="3:11">
      <c r="C21" s="1400"/>
      <c r="D21" s="481" t="s">
        <v>304</v>
      </c>
      <c r="E21" s="481" t="s">
        <v>433</v>
      </c>
      <c r="F21" s="438" t="s">
        <v>406</v>
      </c>
      <c r="G21" s="482" t="s">
        <v>319</v>
      </c>
      <c r="H21" s="483" t="s">
        <v>433</v>
      </c>
      <c r="I21" s="483" t="s">
        <v>441</v>
      </c>
      <c r="J21" s="483" t="s">
        <v>442</v>
      </c>
      <c r="K21" s="484" t="s">
        <v>436</v>
      </c>
    </row>
  </sheetData>
  <mergeCells count="8">
    <mergeCell ref="K6:K7"/>
    <mergeCell ref="C8:C11"/>
    <mergeCell ref="C12:C13"/>
    <mergeCell ref="C14:C17"/>
    <mergeCell ref="C18:C21"/>
    <mergeCell ref="C6:C7"/>
    <mergeCell ref="D6:F6"/>
    <mergeCell ref="G6:J6"/>
  </mergeCells>
  <pageMargins left="0.7" right="0.7" top="0.75" bottom="0.75" header="0.3" footer="0.3"/>
  <headerFooter>
    <oddHeader>&amp;C&amp;"Calibri"&amp;12&amp;K000000 LGE Internal Use Only&amp;1#_x000D_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4"/>
  <sheetViews>
    <sheetView workbookViewId="0">
      <selection activeCell="F17" sqref="F17"/>
    </sheetView>
  </sheetViews>
  <sheetFormatPr defaultColWidth="15.7265625" defaultRowHeight="15" customHeight="1"/>
  <cols>
    <col min="1" max="1" width="11.26953125" customWidth="1"/>
    <col min="2" max="2" width="26.1796875" customWidth="1"/>
    <col min="3" max="3" width="24.26953125" customWidth="1"/>
    <col min="4" max="4" width="26.453125" customWidth="1"/>
    <col min="5" max="5" width="26.81640625" customWidth="1"/>
    <col min="6" max="6" width="26" customWidth="1"/>
    <col min="7" max="7" width="26.54296875" customWidth="1"/>
    <col min="8" max="8" width="23.81640625" style="216" bestFit="1" customWidth="1"/>
  </cols>
  <sheetData>
    <row r="1" spans="1:8" ht="21" customHeight="1">
      <c r="A1" s="1405" t="s">
        <v>171</v>
      </c>
      <c r="B1" s="1405" t="s">
        <v>203</v>
      </c>
      <c r="C1" s="188">
        <v>1</v>
      </c>
      <c r="D1" s="188">
        <v>2</v>
      </c>
      <c r="E1" s="188">
        <v>3</v>
      </c>
      <c r="F1" s="188">
        <v>4</v>
      </c>
      <c r="G1" s="188">
        <v>5</v>
      </c>
    </row>
    <row r="2" spans="1:8" s="39" customFormat="1" ht="20.25" customHeight="1">
      <c r="A2" s="1405"/>
      <c r="B2" s="1405"/>
      <c r="C2" s="212" t="s">
        <v>198</v>
      </c>
      <c r="D2" s="212" t="s">
        <v>199</v>
      </c>
      <c r="E2" s="212" t="s">
        <v>169</v>
      </c>
      <c r="F2" s="212" t="s">
        <v>170</v>
      </c>
      <c r="G2" s="212" t="s">
        <v>202</v>
      </c>
      <c r="H2" s="216"/>
    </row>
    <row r="3" spans="1:8" ht="15" customHeight="1">
      <c r="A3" s="181" t="s">
        <v>200</v>
      </c>
      <c r="B3" s="215" t="s">
        <v>102</v>
      </c>
      <c r="C3" s="115" t="s">
        <v>130</v>
      </c>
      <c r="D3" s="115" t="s">
        <v>131</v>
      </c>
      <c r="E3" s="186"/>
      <c r="F3" s="186"/>
      <c r="G3" s="115" t="s">
        <v>197</v>
      </c>
    </row>
    <row r="4" spans="1:8" ht="15" customHeight="1">
      <c r="A4" s="181" t="s">
        <v>200</v>
      </c>
      <c r="B4" s="114" t="s">
        <v>103</v>
      </c>
      <c r="C4" s="115" t="s">
        <v>116</v>
      </c>
      <c r="D4" s="189" t="s">
        <v>132</v>
      </c>
      <c r="E4" s="187"/>
      <c r="F4" s="187"/>
      <c r="G4" s="115" t="s">
        <v>197</v>
      </c>
    </row>
    <row r="5" spans="1:8" ht="15" customHeight="1">
      <c r="A5" s="181" t="s">
        <v>200</v>
      </c>
      <c r="B5" s="114" t="s">
        <v>104</v>
      </c>
      <c r="C5" s="115" t="s">
        <v>117</v>
      </c>
      <c r="D5" s="115" t="s">
        <v>133</v>
      </c>
      <c r="E5" s="186"/>
      <c r="F5" s="186"/>
      <c r="G5" s="115" t="s">
        <v>197</v>
      </c>
    </row>
    <row r="6" spans="1:8" ht="15" customHeight="1">
      <c r="A6" s="181" t="s">
        <v>195</v>
      </c>
      <c r="B6" s="114" t="s">
        <v>105</v>
      </c>
      <c r="C6" s="115" t="s">
        <v>118</v>
      </c>
      <c r="D6" s="115" t="s">
        <v>134</v>
      </c>
      <c r="E6" s="115" t="s">
        <v>167</v>
      </c>
      <c r="F6" s="115" t="s">
        <v>168</v>
      </c>
      <c r="G6" s="115" t="s">
        <v>197</v>
      </c>
    </row>
    <row r="7" spans="1:8" ht="15" customHeight="1">
      <c r="A7" s="181" t="s">
        <v>147</v>
      </c>
      <c r="B7" s="215" t="s">
        <v>106</v>
      </c>
      <c r="C7" s="115" t="s">
        <v>119</v>
      </c>
      <c r="D7" s="115" t="s">
        <v>135</v>
      </c>
      <c r="E7" s="115" t="s">
        <v>167</v>
      </c>
      <c r="F7" s="115" t="s">
        <v>168</v>
      </c>
      <c r="G7" s="115" t="s">
        <v>197</v>
      </c>
    </row>
    <row r="8" spans="1:8" ht="15" customHeight="1">
      <c r="A8" s="181" t="s">
        <v>147</v>
      </c>
      <c r="B8" s="215" t="s">
        <v>107</v>
      </c>
      <c r="C8" s="115" t="s">
        <v>120</v>
      </c>
      <c r="D8" s="115" t="s">
        <v>136</v>
      </c>
      <c r="E8" s="115" t="s">
        <v>167</v>
      </c>
      <c r="F8" s="115" t="s">
        <v>168</v>
      </c>
      <c r="G8" s="115" t="s">
        <v>197</v>
      </c>
    </row>
    <row r="9" spans="1:8" ht="15" customHeight="1">
      <c r="A9" s="181" t="s">
        <v>147</v>
      </c>
      <c r="B9" s="114" t="s">
        <v>108</v>
      </c>
      <c r="C9" s="115" t="s">
        <v>121</v>
      </c>
      <c r="D9" s="115" t="s">
        <v>137</v>
      </c>
      <c r="E9" s="115" t="s">
        <v>167</v>
      </c>
      <c r="F9" s="115" t="s">
        <v>168</v>
      </c>
      <c r="G9" s="115" t="s">
        <v>197</v>
      </c>
    </row>
    <row r="10" spans="1:8" ht="15" customHeight="1">
      <c r="A10" s="181" t="s">
        <v>194</v>
      </c>
      <c r="B10" s="114" t="s">
        <v>109</v>
      </c>
      <c r="C10" s="115" t="s">
        <v>122</v>
      </c>
      <c r="D10" s="115" t="s">
        <v>138</v>
      </c>
      <c r="E10" s="115" t="s">
        <v>178</v>
      </c>
      <c r="F10" s="115" t="s">
        <v>177</v>
      </c>
      <c r="G10" s="115" t="s">
        <v>197</v>
      </c>
    </row>
    <row r="11" spans="1:8" ht="15" customHeight="1">
      <c r="A11" s="181" t="s">
        <v>194</v>
      </c>
      <c r="B11" s="114" t="s">
        <v>110</v>
      </c>
      <c r="C11" s="115" t="s">
        <v>123</v>
      </c>
      <c r="D11" s="115" t="s">
        <v>139</v>
      </c>
      <c r="E11" s="115" t="s">
        <v>179</v>
      </c>
      <c r="F11" s="115" t="s">
        <v>177</v>
      </c>
      <c r="G11" s="115" t="s">
        <v>197</v>
      </c>
    </row>
    <row r="12" spans="1:8" ht="15" customHeight="1">
      <c r="A12" s="181" t="s">
        <v>194</v>
      </c>
      <c r="B12" s="114" t="s">
        <v>111</v>
      </c>
      <c r="C12" s="115" t="s">
        <v>124</v>
      </c>
      <c r="D12" s="115" t="s">
        <v>140</v>
      </c>
      <c r="E12" s="115" t="s">
        <v>179</v>
      </c>
      <c r="F12" s="115" t="s">
        <v>177</v>
      </c>
      <c r="G12" s="115" t="s">
        <v>197</v>
      </c>
    </row>
    <row r="13" spans="1:8" ht="15" customHeight="1">
      <c r="A13" s="181" t="s">
        <v>145</v>
      </c>
      <c r="B13" s="114" t="s">
        <v>112</v>
      </c>
      <c r="C13" s="115" t="s">
        <v>125</v>
      </c>
      <c r="D13" s="115" t="s">
        <v>141</v>
      </c>
      <c r="E13" s="186"/>
      <c r="F13" s="213" t="s">
        <v>205</v>
      </c>
      <c r="G13" s="115" t="s">
        <v>197</v>
      </c>
    </row>
    <row r="14" spans="1:8" ht="15" customHeight="1">
      <c r="A14" s="181" t="s">
        <v>145</v>
      </c>
      <c r="B14" s="114" t="s">
        <v>113</v>
      </c>
      <c r="C14" s="115" t="s">
        <v>126</v>
      </c>
      <c r="D14" s="115" t="s">
        <v>142</v>
      </c>
      <c r="E14" s="186"/>
      <c r="F14" s="214" t="s">
        <v>205</v>
      </c>
      <c r="G14" s="115" t="s">
        <v>197</v>
      </c>
    </row>
  </sheetData>
  <mergeCells count="2">
    <mergeCell ref="B1:B2"/>
    <mergeCell ref="A1:A2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36"/>
  <sheetViews>
    <sheetView topLeftCell="A10" workbookViewId="0">
      <selection activeCell="D32" sqref="D32"/>
    </sheetView>
  </sheetViews>
  <sheetFormatPr defaultRowHeight="20.149999999999999" customHeight="1"/>
  <cols>
    <col min="1" max="1" width="30.1796875" customWidth="1"/>
    <col min="2" max="2" width="36.81640625" customWidth="1"/>
    <col min="3" max="3" width="13.7265625" customWidth="1"/>
    <col min="4" max="4" width="30.26953125" customWidth="1"/>
  </cols>
  <sheetData>
    <row r="1" spans="1:4" ht="20.149999999999999" customHeight="1">
      <c r="A1" s="98" t="s">
        <v>40</v>
      </c>
      <c r="B1" s="99"/>
    </row>
    <row r="2" spans="1:4" ht="20.149999999999999" customHeight="1">
      <c r="A2" s="100" t="s">
        <v>102</v>
      </c>
      <c r="B2" s="101" t="s">
        <v>127</v>
      </c>
    </row>
    <row r="3" spans="1:4" ht="20.149999999999999" customHeight="1">
      <c r="A3" s="100" t="s">
        <v>104</v>
      </c>
      <c r="B3" s="101" t="s">
        <v>127</v>
      </c>
    </row>
    <row r="4" spans="1:4" ht="20.149999999999999" customHeight="1">
      <c r="A4" s="100" t="s">
        <v>105</v>
      </c>
      <c r="B4" s="101" t="s">
        <v>128</v>
      </c>
    </row>
    <row r="5" spans="1:4" ht="20.149999999999999" customHeight="1">
      <c r="A5" s="100" t="s">
        <v>106</v>
      </c>
      <c r="B5" s="101" t="s">
        <v>128</v>
      </c>
    </row>
    <row r="6" spans="1:4" ht="20.149999999999999" customHeight="1">
      <c r="A6" s="100" t="s">
        <v>107</v>
      </c>
      <c r="B6" s="101" t="s">
        <v>128</v>
      </c>
    </row>
    <row r="7" spans="1:4" ht="20.149999999999999" customHeight="1">
      <c r="A7" s="100" t="s">
        <v>108</v>
      </c>
      <c r="B7" s="101" t="s">
        <v>128</v>
      </c>
    </row>
    <row r="8" spans="1:4" ht="20.149999999999999" customHeight="1">
      <c r="A8" s="100" t="s">
        <v>109</v>
      </c>
      <c r="B8" s="101" t="s">
        <v>129</v>
      </c>
    </row>
    <row r="9" spans="1:4" ht="20.149999999999999" customHeight="1">
      <c r="A9" s="100" t="s">
        <v>110</v>
      </c>
      <c r="B9" s="101" t="s">
        <v>129</v>
      </c>
    </row>
    <row r="10" spans="1:4" ht="20.149999999999999" customHeight="1">
      <c r="A10" s="100" t="s">
        <v>111</v>
      </c>
      <c r="B10" s="101" t="s">
        <v>129</v>
      </c>
    </row>
    <row r="11" spans="1:4" ht="20.149999999999999" customHeight="1">
      <c r="A11" s="100" t="s">
        <v>112</v>
      </c>
      <c r="B11" s="101" t="s">
        <v>145</v>
      </c>
    </row>
    <row r="12" spans="1:4" ht="20.149999999999999" customHeight="1">
      <c r="A12" s="100" t="s">
        <v>113</v>
      </c>
      <c r="B12" s="101" t="s">
        <v>145</v>
      </c>
    </row>
    <row r="13" spans="1:4" ht="20.149999999999999" customHeight="1">
      <c r="A13" s="102"/>
      <c r="B13" s="103"/>
    </row>
    <row r="14" spans="1:4" s="87" customFormat="1" ht="20.149999999999999" customHeight="1">
      <c r="A14" s="100" t="s">
        <v>148</v>
      </c>
      <c r="B14" s="108" t="s">
        <v>149</v>
      </c>
      <c r="C14" s="1415" t="s">
        <v>150</v>
      </c>
      <c r="D14" s="1416"/>
    </row>
    <row r="15" spans="1:4" s="87" customFormat="1" ht="20.149999999999999" customHeight="1">
      <c r="A15" s="1417" t="s">
        <v>127</v>
      </c>
      <c r="B15" s="1418" t="s">
        <v>151</v>
      </c>
      <c r="C15" s="104" t="s">
        <v>143</v>
      </c>
      <c r="D15" s="105" t="s">
        <v>130</v>
      </c>
    </row>
    <row r="16" spans="1:4" s="87" customFormat="1" ht="20.149999999999999" customHeight="1">
      <c r="A16" s="1417"/>
      <c r="B16" s="1419"/>
      <c r="C16" s="106" t="s">
        <v>144</v>
      </c>
      <c r="D16" s="107" t="s">
        <v>131</v>
      </c>
    </row>
    <row r="17" spans="1:4" s="87" customFormat="1" ht="20.149999999999999" customHeight="1">
      <c r="A17" s="1417" t="s">
        <v>127</v>
      </c>
      <c r="B17" s="1418" t="s">
        <v>152</v>
      </c>
      <c r="C17" s="104" t="s">
        <v>143</v>
      </c>
      <c r="D17" s="105" t="s">
        <v>117</v>
      </c>
    </row>
    <row r="18" spans="1:4" s="87" customFormat="1" ht="20.149999999999999" customHeight="1">
      <c r="A18" s="1417"/>
      <c r="B18" s="1419"/>
      <c r="C18" s="106" t="s">
        <v>144</v>
      </c>
      <c r="D18" s="107" t="s">
        <v>133</v>
      </c>
    </row>
    <row r="19" spans="1:4" s="87" customFormat="1" ht="20.149999999999999" customHeight="1">
      <c r="A19" s="1409" t="s">
        <v>147</v>
      </c>
      <c r="B19" s="1410" t="s">
        <v>153</v>
      </c>
      <c r="C19" s="104" t="s">
        <v>143</v>
      </c>
      <c r="D19" s="105" t="s">
        <v>118</v>
      </c>
    </row>
    <row r="20" spans="1:4" s="87" customFormat="1" ht="20.149999999999999" customHeight="1">
      <c r="A20" s="1409"/>
      <c r="B20" s="1411"/>
      <c r="C20" s="106" t="s">
        <v>144</v>
      </c>
      <c r="D20" s="107" t="s">
        <v>134</v>
      </c>
    </row>
    <row r="21" spans="1:4" s="87" customFormat="1" ht="20.149999999999999" customHeight="1">
      <c r="A21" s="1409" t="s">
        <v>147</v>
      </c>
      <c r="B21" s="1410" t="s">
        <v>154</v>
      </c>
      <c r="C21" s="104" t="s">
        <v>143</v>
      </c>
      <c r="D21" s="105" t="s">
        <v>119</v>
      </c>
    </row>
    <row r="22" spans="1:4" s="87" customFormat="1" ht="20.149999999999999" customHeight="1">
      <c r="A22" s="1409"/>
      <c r="B22" s="1411"/>
      <c r="C22" s="106" t="s">
        <v>144</v>
      </c>
      <c r="D22" s="107" t="s">
        <v>135</v>
      </c>
    </row>
    <row r="23" spans="1:4" s="87" customFormat="1" ht="20.149999999999999" customHeight="1">
      <c r="A23" s="1409" t="s">
        <v>147</v>
      </c>
      <c r="B23" s="1410" t="s">
        <v>155</v>
      </c>
      <c r="C23" s="104" t="s">
        <v>143</v>
      </c>
      <c r="D23" s="105" t="s">
        <v>120</v>
      </c>
    </row>
    <row r="24" spans="1:4" s="87" customFormat="1" ht="20.149999999999999" customHeight="1">
      <c r="A24" s="1409"/>
      <c r="B24" s="1411"/>
      <c r="C24" s="106" t="s">
        <v>144</v>
      </c>
      <c r="D24" s="107" t="s">
        <v>136</v>
      </c>
    </row>
    <row r="25" spans="1:4" s="87" customFormat="1" ht="20.149999999999999" customHeight="1">
      <c r="A25" s="1409" t="s">
        <v>147</v>
      </c>
      <c r="B25" s="1410" t="s">
        <v>156</v>
      </c>
      <c r="C25" s="104" t="s">
        <v>143</v>
      </c>
      <c r="D25" s="105" t="s">
        <v>121</v>
      </c>
    </row>
    <row r="26" spans="1:4" s="87" customFormat="1" ht="20.149999999999999" customHeight="1">
      <c r="A26" s="1409"/>
      <c r="B26" s="1411"/>
      <c r="C26" s="106" t="s">
        <v>144</v>
      </c>
      <c r="D26" s="107" t="s">
        <v>137</v>
      </c>
    </row>
    <row r="27" spans="1:4" s="87" customFormat="1" ht="20.149999999999999" customHeight="1">
      <c r="A27" s="1412" t="s">
        <v>129</v>
      </c>
      <c r="B27" s="1413" t="s">
        <v>157</v>
      </c>
      <c r="C27" s="104" t="s">
        <v>143</v>
      </c>
      <c r="D27" s="105" t="s">
        <v>122</v>
      </c>
    </row>
    <row r="28" spans="1:4" s="87" customFormat="1" ht="20.149999999999999" customHeight="1">
      <c r="A28" s="1412"/>
      <c r="B28" s="1414"/>
      <c r="C28" s="106" t="s">
        <v>144</v>
      </c>
      <c r="D28" s="107" t="s">
        <v>138</v>
      </c>
    </row>
    <row r="29" spans="1:4" s="87" customFormat="1" ht="20.149999999999999" customHeight="1">
      <c r="A29" s="1412" t="s">
        <v>129</v>
      </c>
      <c r="B29" s="1413" t="s">
        <v>158</v>
      </c>
      <c r="C29" s="104" t="s">
        <v>143</v>
      </c>
      <c r="D29" s="105" t="s">
        <v>123</v>
      </c>
    </row>
    <row r="30" spans="1:4" s="87" customFormat="1" ht="20.149999999999999" customHeight="1">
      <c r="A30" s="1412"/>
      <c r="B30" s="1414"/>
      <c r="C30" s="106" t="s">
        <v>144</v>
      </c>
      <c r="D30" s="107" t="s">
        <v>139</v>
      </c>
    </row>
    <row r="31" spans="1:4" s="87" customFormat="1" ht="20.149999999999999" customHeight="1">
      <c r="A31" s="1412" t="s">
        <v>129</v>
      </c>
      <c r="B31" s="1413" t="s">
        <v>159</v>
      </c>
      <c r="C31" s="104" t="s">
        <v>143</v>
      </c>
      <c r="D31" s="105" t="s">
        <v>124</v>
      </c>
    </row>
    <row r="32" spans="1:4" s="87" customFormat="1" ht="20.149999999999999" customHeight="1">
      <c r="A32" s="1412"/>
      <c r="B32" s="1414"/>
      <c r="C32" s="106" t="s">
        <v>144</v>
      </c>
      <c r="D32" s="107" t="s">
        <v>140</v>
      </c>
    </row>
    <row r="33" spans="1:4" s="87" customFormat="1" ht="20.149999999999999" customHeight="1">
      <c r="A33" s="1406" t="s">
        <v>145</v>
      </c>
      <c r="B33" s="1407" t="s">
        <v>160</v>
      </c>
      <c r="C33" s="104" t="s">
        <v>143</v>
      </c>
      <c r="D33" s="105" t="s">
        <v>125</v>
      </c>
    </row>
    <row r="34" spans="1:4" s="87" customFormat="1" ht="20.149999999999999" customHeight="1">
      <c r="A34" s="1406"/>
      <c r="B34" s="1408"/>
      <c r="C34" s="106" t="s">
        <v>144</v>
      </c>
      <c r="D34" s="107" t="s">
        <v>141</v>
      </c>
    </row>
    <row r="35" spans="1:4" s="87" customFormat="1" ht="20.149999999999999" customHeight="1">
      <c r="A35" s="1406" t="s">
        <v>145</v>
      </c>
      <c r="B35" s="1407" t="s">
        <v>161</v>
      </c>
      <c r="C35" s="104" t="s">
        <v>143</v>
      </c>
      <c r="D35" s="105" t="s">
        <v>126</v>
      </c>
    </row>
    <row r="36" spans="1:4" s="87" customFormat="1" ht="20.149999999999999" customHeight="1">
      <c r="A36" s="1406"/>
      <c r="B36" s="1408"/>
      <c r="C36" s="106" t="s">
        <v>144</v>
      </c>
      <c r="D36" s="107" t="s">
        <v>142</v>
      </c>
    </row>
  </sheetData>
  <mergeCells count="23">
    <mergeCell ref="C14:D14"/>
    <mergeCell ref="A31:A32"/>
    <mergeCell ref="B31:B32"/>
    <mergeCell ref="A33:A34"/>
    <mergeCell ref="B33:B34"/>
    <mergeCell ref="A19:A20"/>
    <mergeCell ref="B19:B20"/>
    <mergeCell ref="A21:A22"/>
    <mergeCell ref="B21:B22"/>
    <mergeCell ref="A23:A24"/>
    <mergeCell ref="B23:B24"/>
    <mergeCell ref="A15:A16"/>
    <mergeCell ref="B15:B16"/>
    <mergeCell ref="A17:A18"/>
    <mergeCell ref="B17:B18"/>
    <mergeCell ref="A35:A36"/>
    <mergeCell ref="B35:B36"/>
    <mergeCell ref="A25:A26"/>
    <mergeCell ref="B25:B26"/>
    <mergeCell ref="A27:A28"/>
    <mergeCell ref="B27:B28"/>
    <mergeCell ref="A29:A30"/>
    <mergeCell ref="B29:B30"/>
  </mergeCells>
  <pageMargins left="0.7" right="0.7" top="0.75" bottom="0.75" header="0.3" footer="0.3"/>
  <pageSetup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Price Jun_Water Purifier</vt:lpstr>
      <vt:lpstr>REF, WM, Styler,DW,MWO</vt:lpstr>
      <vt:lpstr>VCC, AP, Dehumidifier</vt:lpstr>
      <vt:lpstr>RAC, SAC</vt:lpstr>
      <vt:lpstr>TV, MNT, AV</vt:lpstr>
      <vt:lpstr>2606_RAW_All Channel</vt:lpstr>
      <vt:lpstr>2606_RAW_OBS Exclusive</vt:lpstr>
      <vt:lpstr>2606_Promotion </vt:lpstr>
      <vt:lpstr>Combo</vt:lpstr>
      <vt:lpstr>2605</vt:lpstr>
      <vt:lpstr>2605_RAW</vt:lpstr>
      <vt:lpstr>Subs.</vt:lpstr>
      <vt:lpstr>PRM</vt:lpstr>
      <vt:lpstr>RAC</vt:lpstr>
      <vt:lpstr>SAC data</vt:lpstr>
      <vt:lpstr>SAC1</vt:lpstr>
      <vt:lpstr>'Price Jun_Water Purifier'!Print_Area</vt:lpstr>
      <vt:lpstr>'TV, MNT, AV'!Print_Area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namsu.park</dc:creator>
  <cp:lastModifiedBy>SIRINART SRITHONGKHAM/LGETH DST SUBSCRIPTION</cp:lastModifiedBy>
  <cp:lastPrinted>2026-02-26T04:12:11Z</cp:lastPrinted>
  <dcterms:created xsi:type="dcterms:W3CDTF">2024-06-28T02:12:01Z</dcterms:created>
  <dcterms:modified xsi:type="dcterms:W3CDTF">2026-06-08T17:52:29Z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2025-03-18T05:24:42Z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dc622eaa-7e5a-4ec9-b524-6e40e1c820e0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